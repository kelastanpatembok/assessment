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564CA151-5A5B-428A-3C10-775976492406}"/>
  <workbookPr codeName="ThisWorkbook" defaultThemeVersion="166925"/>
  <mc:AlternateContent xmlns:mc="http://schemas.openxmlformats.org/markup-compatibility/2006">
    <mc:Choice Requires="x15">
      <x15ac:absPath xmlns:x15ac="http://schemas.microsoft.com/office/spreadsheetml/2010/11/ac" url="D:\PROFESI PSIKOLOG\Bank Kalteng\"/>
    </mc:Choice>
  </mc:AlternateContent>
  <xr:revisionPtr revIDLastSave="0" documentId="13_ncr:1_{146ABA83-B679-4738-9843-87D37DC1D7C2}" xr6:coauthVersionLast="47" xr6:coauthVersionMax="47" xr10:uidLastSave="{00000000-0000-0000-0000-000000000000}"/>
  <bookViews>
    <workbookView xWindow="-110" yWindow="-110" windowWidth="19420" windowHeight="10300" tabRatio="686" firstSheet="7" activeTab="7" xr2:uid="{9070C576-7FE7-43C9-BBDC-83E8A837379C}"/>
  </bookViews>
  <sheets>
    <sheet name="Ref" sheetId="9" state="hidden" r:id="rId1"/>
    <sheet name="PAPI" sheetId="1" state="hidden" r:id="rId2"/>
    <sheet name="DISC" sheetId="2" state="hidden" r:id="rId3"/>
    <sheet name="HOLLAND" sheetId="3" state="hidden" r:id="rId4"/>
    <sheet name="KREAPELIN" sheetId="6" state="hidden" r:id="rId5"/>
    <sheet name="IQ" sheetId="11" state="hidden" r:id="rId6"/>
    <sheet name="Datadiri" sheetId="15" r:id="rId7"/>
    <sheet name="INDIVIDUAL" sheetId="8" r:id="rId8"/>
    <sheet name="WORD" sheetId="7" r:id="rId9"/>
    <sheet name="REKAP" sheetId="13" r:id="rId10"/>
  </sheets>
  <externalReferences>
    <externalReference r:id="rId11"/>
  </externalReferences>
  <definedNames>
    <definedName name="_xlnm._FilterDatabase" localSheetId="6" hidden="1">Datadiri!$A$1:$F$1</definedName>
    <definedName name="_xlnm._FilterDatabase" localSheetId="2" hidden="1">DISC!$A$3:$T$502</definedName>
    <definedName name="_xlnm._FilterDatabase" localSheetId="1" hidden="1">PAPI!$B$2:$AQ$3</definedName>
    <definedName name="blanda">Ref!$C$25:$H$30</definedName>
    <definedName name="datadiri">Datadiri!$B$2:$F$308</definedName>
    <definedName name="disc">DISC!$B$4:$AG$502</definedName>
    <definedName name="discs">Ref!$B$19:$C$22</definedName>
    <definedName name="grafik">WORD!$D$5:$AG$7</definedName>
    <definedName name="hasil">INDIVIDUAL!$B$8:$E$24</definedName>
    <definedName name="holland">HOLLAND!$B$2:$H$304</definedName>
    <definedName name="judge">Ref!$B$34:$C$37</definedName>
    <definedName name="kreaplin">KREAPELIN!$B$2:$F$304</definedName>
    <definedName name="kreplins">Ref!$B$5:$C$9</definedName>
    <definedName name="normaa">'[1]Proses 2'!$K$122:$L$131</definedName>
    <definedName name="normab">'[1]Proses 2'!$K$155:$L$164</definedName>
    <definedName name="normac">'[1]Proses 2'!$K$89:$L$98</definedName>
    <definedName name="normad">'[1]Proses 2'!$K$78:$L$87</definedName>
    <definedName name="normae">'[1]Proses 2'!$K$100:$L$109</definedName>
    <definedName name="normaf">'[1]Proses 2'!$K$199:$L$208</definedName>
    <definedName name="NormaG">'[1]Proses 2'!$K$1:$L$10</definedName>
    <definedName name="Normai">'[1]Proses 2'!$K$23:$L$32</definedName>
    <definedName name="normak">'[1]Proses 2'!$K$188:$L$197</definedName>
    <definedName name="Normal">'[1]Proses 2'!$K$12:$L$21</definedName>
    <definedName name="norman">'[1]Proses 2'!$K$111:$L$120</definedName>
    <definedName name="normao">'[1]Proses 2'!$K$166:$L$175</definedName>
    <definedName name="normap">'[1]Proses 2'!$K$133:$L$142</definedName>
    <definedName name="normar">'[1]Proses 2'!$K$67:$L$76</definedName>
    <definedName name="normas">'[1]Proses 2'!$K$56:$L$65</definedName>
    <definedName name="normav">'[1]Proses 2'!$K$45:$L$54</definedName>
    <definedName name="normaw">'[1]Proses 2'!$K$210:$L$219</definedName>
    <definedName name="normax">'[1]Proses 2'!$K$144:$L$153</definedName>
    <definedName name="normaz">'[1]Proses 2'!$K$177:$L$186</definedName>
    <definedName name="Nromat">'[1]Proses 2'!$K$34:$L$43</definedName>
    <definedName name="papi">PAPI!$B$4:$BK$503</definedName>
    <definedName name="papis">Ref!$B$1:$C$4</definedName>
    <definedName name="pintar">Ref!$A$11:$C$16</definedName>
    <definedName name="REKOMENDASI">INDIVIDUAL!$N$8:$R$9</definedName>
    <definedName name="tiunam">IQ!$B$2:$D$304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8" l="1"/>
  <c r="AK309" i="13"/>
  <c r="AL309" i="13" s="1"/>
  <c r="AK308" i="13"/>
  <c r="AL308" i="13" s="1"/>
  <c r="AK307" i="13"/>
  <c r="AL307" i="13" s="1"/>
  <c r="AK306" i="13"/>
  <c r="AL306" i="13" s="1"/>
  <c r="AK305" i="13"/>
  <c r="AL305" i="13" s="1"/>
  <c r="AK304" i="13"/>
  <c r="AL304" i="13" s="1"/>
  <c r="AK303" i="13"/>
  <c r="AL303" i="13" s="1"/>
  <c r="AL12" i="13"/>
  <c r="AL16" i="13"/>
  <c r="AL20" i="13"/>
  <c r="AL24" i="13"/>
  <c r="AL28" i="13"/>
  <c r="AL32" i="13"/>
  <c r="AL36" i="13"/>
  <c r="AL40" i="13"/>
  <c r="AL44" i="13"/>
  <c r="AL48" i="13"/>
  <c r="AL52" i="13"/>
  <c r="AL56" i="13"/>
  <c r="AL60" i="13"/>
  <c r="AL64" i="13"/>
  <c r="AL68" i="13"/>
  <c r="AL72" i="13"/>
  <c r="AL76" i="13"/>
  <c r="AL80" i="13"/>
  <c r="AL84" i="13"/>
  <c r="AL88" i="13"/>
  <c r="AL92" i="13"/>
  <c r="AL96" i="13"/>
  <c r="AL100" i="13"/>
  <c r="AL104" i="13"/>
  <c r="AL108" i="13"/>
  <c r="AL112" i="13"/>
  <c r="AL116" i="13"/>
  <c r="AL120" i="13"/>
  <c r="AL124" i="13"/>
  <c r="AL128" i="13"/>
  <c r="AL132" i="13"/>
  <c r="AL136" i="13"/>
  <c r="AL140" i="13"/>
  <c r="AL144" i="13"/>
  <c r="AL148" i="13"/>
  <c r="AL152" i="13"/>
  <c r="AL156" i="13"/>
  <c r="AL160" i="13"/>
  <c r="AL164" i="13"/>
  <c r="AL168" i="13"/>
  <c r="AL172" i="13"/>
  <c r="AK4" i="13"/>
  <c r="AL4" i="13" s="1"/>
  <c r="AK5" i="13"/>
  <c r="AL5" i="13" s="1"/>
  <c r="AK6" i="13"/>
  <c r="AL6" i="13" s="1"/>
  <c r="AK7" i="13"/>
  <c r="AL7" i="13" s="1"/>
  <c r="AK8" i="13"/>
  <c r="AL8" i="13" s="1"/>
  <c r="AK9" i="13"/>
  <c r="AL9" i="13" s="1"/>
  <c r="AK10" i="13"/>
  <c r="AL10" i="13" s="1"/>
  <c r="AK11" i="13"/>
  <c r="AL11" i="13" s="1"/>
  <c r="AK12" i="13"/>
  <c r="AK13" i="13"/>
  <c r="AL13" i="13" s="1"/>
  <c r="AK14" i="13"/>
  <c r="AL14" i="13" s="1"/>
  <c r="AK15" i="13"/>
  <c r="AL15" i="13" s="1"/>
  <c r="AK16" i="13"/>
  <c r="AK17" i="13"/>
  <c r="AL17" i="13" s="1"/>
  <c r="AK18" i="13"/>
  <c r="AL18" i="13" s="1"/>
  <c r="AK19" i="13"/>
  <c r="AL19" i="13" s="1"/>
  <c r="AK20" i="13"/>
  <c r="AK21" i="13"/>
  <c r="AL21" i="13" s="1"/>
  <c r="AK22" i="13"/>
  <c r="AL22" i="13" s="1"/>
  <c r="AK23" i="13"/>
  <c r="AL23" i="13" s="1"/>
  <c r="AK24" i="13"/>
  <c r="AK25" i="13"/>
  <c r="AL25" i="13" s="1"/>
  <c r="AK26" i="13"/>
  <c r="AL26" i="13" s="1"/>
  <c r="AK27" i="13"/>
  <c r="AL27" i="13" s="1"/>
  <c r="AK28" i="13"/>
  <c r="AK29" i="13"/>
  <c r="AL29" i="13" s="1"/>
  <c r="AK30" i="13"/>
  <c r="AL30" i="13" s="1"/>
  <c r="AK31" i="13"/>
  <c r="AL31" i="13" s="1"/>
  <c r="AK32" i="13"/>
  <c r="AK33" i="13"/>
  <c r="AL33" i="13" s="1"/>
  <c r="AK34" i="13"/>
  <c r="AL34" i="13" s="1"/>
  <c r="AK35" i="13"/>
  <c r="AL35" i="13" s="1"/>
  <c r="AK36" i="13"/>
  <c r="AK37" i="13"/>
  <c r="AL37" i="13" s="1"/>
  <c r="AK38" i="13"/>
  <c r="AL38" i="13" s="1"/>
  <c r="AK39" i="13"/>
  <c r="AL39" i="13" s="1"/>
  <c r="AK40" i="13"/>
  <c r="AK41" i="13"/>
  <c r="AL41" i="13" s="1"/>
  <c r="AK42" i="13"/>
  <c r="AL42" i="13" s="1"/>
  <c r="AK43" i="13"/>
  <c r="AL43" i="13" s="1"/>
  <c r="AK44" i="13"/>
  <c r="AK45" i="13"/>
  <c r="AL45" i="13" s="1"/>
  <c r="AK46" i="13"/>
  <c r="AL46" i="13" s="1"/>
  <c r="AK47" i="13"/>
  <c r="AL47" i="13" s="1"/>
  <c r="AK48" i="13"/>
  <c r="AK49" i="13"/>
  <c r="AL49" i="13" s="1"/>
  <c r="AK50" i="13"/>
  <c r="AL50" i="13" s="1"/>
  <c r="AK51" i="13"/>
  <c r="AL51" i="13" s="1"/>
  <c r="AK52" i="13"/>
  <c r="AK53" i="13"/>
  <c r="AL53" i="13" s="1"/>
  <c r="AK54" i="13"/>
  <c r="AL54" i="13" s="1"/>
  <c r="AK55" i="13"/>
  <c r="AL55" i="13" s="1"/>
  <c r="AK56" i="13"/>
  <c r="AK57" i="13"/>
  <c r="AL57" i="13" s="1"/>
  <c r="AK58" i="13"/>
  <c r="AL58" i="13" s="1"/>
  <c r="AK59" i="13"/>
  <c r="AL59" i="13" s="1"/>
  <c r="AK60" i="13"/>
  <c r="AK61" i="13"/>
  <c r="AL61" i="13" s="1"/>
  <c r="AK62" i="13"/>
  <c r="AL62" i="13" s="1"/>
  <c r="AK63" i="13"/>
  <c r="AL63" i="13" s="1"/>
  <c r="AK64" i="13"/>
  <c r="AK65" i="13"/>
  <c r="AL65" i="13" s="1"/>
  <c r="AK66" i="13"/>
  <c r="AL66" i="13" s="1"/>
  <c r="AK67" i="13"/>
  <c r="AL67" i="13" s="1"/>
  <c r="AK68" i="13"/>
  <c r="AK69" i="13"/>
  <c r="AL69" i="13" s="1"/>
  <c r="AK70" i="13"/>
  <c r="AL70" i="13" s="1"/>
  <c r="AK71" i="13"/>
  <c r="AL71" i="13" s="1"/>
  <c r="AK72" i="13"/>
  <c r="AK73" i="13"/>
  <c r="AL73" i="13" s="1"/>
  <c r="AK74" i="13"/>
  <c r="AL74" i="13" s="1"/>
  <c r="AK75" i="13"/>
  <c r="AL75" i="13" s="1"/>
  <c r="AK76" i="13"/>
  <c r="AK77" i="13"/>
  <c r="AL77" i="13" s="1"/>
  <c r="AK78" i="13"/>
  <c r="AL78" i="13" s="1"/>
  <c r="AK79" i="13"/>
  <c r="AL79" i="13" s="1"/>
  <c r="AK80" i="13"/>
  <c r="AK81" i="13"/>
  <c r="AL81" i="13" s="1"/>
  <c r="AK82" i="13"/>
  <c r="AL82" i="13" s="1"/>
  <c r="AK83" i="13"/>
  <c r="AL83" i="13" s="1"/>
  <c r="AK84" i="13"/>
  <c r="AK85" i="13"/>
  <c r="AL85" i="13" s="1"/>
  <c r="AK86" i="13"/>
  <c r="AL86" i="13" s="1"/>
  <c r="AK87" i="13"/>
  <c r="AL87" i="13" s="1"/>
  <c r="AK88" i="13"/>
  <c r="AK89" i="13"/>
  <c r="AL89" i="13" s="1"/>
  <c r="AK90" i="13"/>
  <c r="AL90" i="13" s="1"/>
  <c r="AK91" i="13"/>
  <c r="AL91" i="13" s="1"/>
  <c r="AK92" i="13"/>
  <c r="AK93" i="13"/>
  <c r="AL93" i="13" s="1"/>
  <c r="AK94" i="13"/>
  <c r="AL94" i="13" s="1"/>
  <c r="AK95" i="13"/>
  <c r="AL95" i="13" s="1"/>
  <c r="AK96" i="13"/>
  <c r="AK97" i="13"/>
  <c r="AL97" i="13" s="1"/>
  <c r="AK98" i="13"/>
  <c r="AL98" i="13" s="1"/>
  <c r="AK99" i="13"/>
  <c r="AL99" i="13" s="1"/>
  <c r="AK100" i="13"/>
  <c r="AK101" i="13"/>
  <c r="AL101" i="13" s="1"/>
  <c r="AK102" i="13"/>
  <c r="AL102" i="13" s="1"/>
  <c r="AK103" i="13"/>
  <c r="AL103" i="13" s="1"/>
  <c r="AK104" i="13"/>
  <c r="AK105" i="13"/>
  <c r="AL105" i="13" s="1"/>
  <c r="AK106" i="13"/>
  <c r="AL106" i="13" s="1"/>
  <c r="AK107" i="13"/>
  <c r="AL107" i="13" s="1"/>
  <c r="AK108" i="13"/>
  <c r="AK109" i="13"/>
  <c r="AL109" i="13" s="1"/>
  <c r="AK110" i="13"/>
  <c r="AL110" i="13" s="1"/>
  <c r="AK111" i="13"/>
  <c r="AL111" i="13" s="1"/>
  <c r="AK112" i="13"/>
  <c r="AK113" i="13"/>
  <c r="AL113" i="13" s="1"/>
  <c r="AK114" i="13"/>
  <c r="AL114" i="13" s="1"/>
  <c r="AK115" i="13"/>
  <c r="AL115" i="13" s="1"/>
  <c r="AK116" i="13"/>
  <c r="AK117" i="13"/>
  <c r="AL117" i="13" s="1"/>
  <c r="AK118" i="13"/>
  <c r="AL118" i="13" s="1"/>
  <c r="AK119" i="13"/>
  <c r="AL119" i="13" s="1"/>
  <c r="AK120" i="13"/>
  <c r="AK121" i="13"/>
  <c r="AL121" i="13" s="1"/>
  <c r="AK122" i="13"/>
  <c r="AL122" i="13" s="1"/>
  <c r="AK123" i="13"/>
  <c r="AL123" i="13" s="1"/>
  <c r="AK124" i="13"/>
  <c r="AK125" i="13"/>
  <c r="AL125" i="13" s="1"/>
  <c r="AK126" i="13"/>
  <c r="AL126" i="13" s="1"/>
  <c r="AK127" i="13"/>
  <c r="AL127" i="13" s="1"/>
  <c r="AK128" i="13"/>
  <c r="AK129" i="13"/>
  <c r="AL129" i="13" s="1"/>
  <c r="AK130" i="13"/>
  <c r="AL130" i="13" s="1"/>
  <c r="AK131" i="13"/>
  <c r="AL131" i="13" s="1"/>
  <c r="AK132" i="13"/>
  <c r="AK133" i="13"/>
  <c r="AL133" i="13" s="1"/>
  <c r="AK134" i="13"/>
  <c r="AL134" i="13" s="1"/>
  <c r="AK135" i="13"/>
  <c r="AL135" i="13" s="1"/>
  <c r="AK136" i="13"/>
  <c r="AK137" i="13"/>
  <c r="AL137" i="13" s="1"/>
  <c r="AK138" i="13"/>
  <c r="AL138" i="13" s="1"/>
  <c r="AK139" i="13"/>
  <c r="AL139" i="13" s="1"/>
  <c r="AK140" i="13"/>
  <c r="AK141" i="13"/>
  <c r="AL141" i="13" s="1"/>
  <c r="AK142" i="13"/>
  <c r="AL142" i="13" s="1"/>
  <c r="AK143" i="13"/>
  <c r="AL143" i="13" s="1"/>
  <c r="AK144" i="13"/>
  <c r="AK145" i="13"/>
  <c r="AL145" i="13" s="1"/>
  <c r="AK146" i="13"/>
  <c r="AL146" i="13" s="1"/>
  <c r="AK147" i="13"/>
  <c r="AL147" i="13" s="1"/>
  <c r="AK148" i="13"/>
  <c r="AK149" i="13"/>
  <c r="AL149" i="13" s="1"/>
  <c r="AK150" i="13"/>
  <c r="AL150" i="13" s="1"/>
  <c r="AK151" i="13"/>
  <c r="AL151" i="13" s="1"/>
  <c r="AK152" i="13"/>
  <c r="AK153" i="13"/>
  <c r="AL153" i="13" s="1"/>
  <c r="AK154" i="13"/>
  <c r="AL154" i="13" s="1"/>
  <c r="AK155" i="13"/>
  <c r="AL155" i="13" s="1"/>
  <c r="AK156" i="13"/>
  <c r="AK157" i="13"/>
  <c r="AL157" i="13" s="1"/>
  <c r="AK158" i="13"/>
  <c r="AL158" i="13" s="1"/>
  <c r="AK159" i="13"/>
  <c r="AL159" i="13" s="1"/>
  <c r="AK160" i="13"/>
  <c r="AK161" i="13"/>
  <c r="AL161" i="13" s="1"/>
  <c r="AK162" i="13"/>
  <c r="AL162" i="13" s="1"/>
  <c r="AK163" i="13"/>
  <c r="AL163" i="13" s="1"/>
  <c r="AK164" i="13"/>
  <c r="AK165" i="13"/>
  <c r="AL165" i="13" s="1"/>
  <c r="AK166" i="13"/>
  <c r="AL166" i="13" s="1"/>
  <c r="AK167" i="13"/>
  <c r="AL167" i="13" s="1"/>
  <c r="AK168" i="13"/>
  <c r="AK169" i="13"/>
  <c r="AL169" i="13" s="1"/>
  <c r="AK170" i="13"/>
  <c r="AL170" i="13" s="1"/>
  <c r="AK171" i="13"/>
  <c r="AL171" i="13" s="1"/>
  <c r="AK172" i="13"/>
  <c r="AK173" i="13"/>
  <c r="AL173" i="13" s="1"/>
  <c r="AK174" i="13"/>
  <c r="AL174" i="13" s="1"/>
  <c r="AK175" i="13"/>
  <c r="AL175" i="13" s="1"/>
  <c r="AK176" i="13"/>
  <c r="AL176" i="13" s="1"/>
  <c r="AK177" i="13"/>
  <c r="AL177" i="13" s="1"/>
  <c r="AK178" i="13"/>
  <c r="AL178" i="13" s="1"/>
  <c r="AK179" i="13"/>
  <c r="AL179" i="13" s="1"/>
  <c r="AK180" i="13"/>
  <c r="AL180" i="13" s="1"/>
  <c r="AK181" i="13"/>
  <c r="AL181" i="13" s="1"/>
  <c r="AK182" i="13"/>
  <c r="AL182" i="13" s="1"/>
  <c r="AK183" i="13"/>
  <c r="AL183" i="13" s="1"/>
  <c r="AK184" i="13"/>
  <c r="AL184" i="13" s="1"/>
  <c r="AK185" i="13"/>
  <c r="AL185" i="13" s="1"/>
  <c r="AK186" i="13"/>
  <c r="AL186" i="13" s="1"/>
  <c r="AK187" i="13"/>
  <c r="AL187" i="13" s="1"/>
  <c r="AK188" i="13"/>
  <c r="AL188" i="13" s="1"/>
  <c r="AK189" i="13"/>
  <c r="AL189" i="13" s="1"/>
  <c r="AK190" i="13"/>
  <c r="AL190" i="13" s="1"/>
  <c r="AK191" i="13"/>
  <c r="AL191" i="13" s="1"/>
  <c r="AK192" i="13"/>
  <c r="AL192" i="13" s="1"/>
  <c r="AK193" i="13"/>
  <c r="AL193" i="13" s="1"/>
  <c r="AK194" i="13"/>
  <c r="AL194" i="13" s="1"/>
  <c r="AK195" i="13"/>
  <c r="AL195" i="13" s="1"/>
  <c r="AK196" i="13"/>
  <c r="AL196" i="13" s="1"/>
  <c r="AK197" i="13"/>
  <c r="AL197" i="13" s="1"/>
  <c r="AK198" i="13"/>
  <c r="AL198" i="13" s="1"/>
  <c r="AK199" i="13"/>
  <c r="AL199" i="13" s="1"/>
  <c r="AK200" i="13"/>
  <c r="AL200" i="13" s="1"/>
  <c r="AK201" i="13"/>
  <c r="AL201" i="13" s="1"/>
  <c r="AK202" i="13"/>
  <c r="AL202" i="13" s="1"/>
  <c r="AK203" i="13"/>
  <c r="AL203" i="13" s="1"/>
  <c r="AK204" i="13"/>
  <c r="AL204" i="13" s="1"/>
  <c r="AK205" i="13"/>
  <c r="AL205" i="13" s="1"/>
  <c r="AK206" i="13"/>
  <c r="AL206" i="13" s="1"/>
  <c r="AK207" i="13"/>
  <c r="AL207" i="13" s="1"/>
  <c r="AK208" i="13"/>
  <c r="AL208" i="13" s="1"/>
  <c r="AK209" i="13"/>
  <c r="AL209" i="13" s="1"/>
  <c r="AK210" i="13"/>
  <c r="AL210" i="13" s="1"/>
  <c r="AK211" i="13"/>
  <c r="AL211" i="13" s="1"/>
  <c r="AK212" i="13"/>
  <c r="AL212" i="13" s="1"/>
  <c r="AK213" i="13"/>
  <c r="AL213" i="13" s="1"/>
  <c r="AK214" i="13"/>
  <c r="AL214" i="13" s="1"/>
  <c r="AK215" i="13"/>
  <c r="AL215" i="13" s="1"/>
  <c r="AK216" i="13"/>
  <c r="AL216" i="13" s="1"/>
  <c r="AK217" i="13"/>
  <c r="AL217" i="13" s="1"/>
  <c r="AK218" i="13"/>
  <c r="AL218" i="13" s="1"/>
  <c r="AK219" i="13"/>
  <c r="AL219" i="13" s="1"/>
  <c r="AK220" i="13"/>
  <c r="AL220" i="13" s="1"/>
  <c r="AK221" i="13"/>
  <c r="AL221" i="13" s="1"/>
  <c r="AK222" i="13"/>
  <c r="AL222" i="13" s="1"/>
  <c r="AK223" i="13"/>
  <c r="AL223" i="13" s="1"/>
  <c r="AK224" i="13"/>
  <c r="AL224" i="13" s="1"/>
  <c r="AK225" i="13"/>
  <c r="AL225" i="13" s="1"/>
  <c r="AK226" i="13"/>
  <c r="AL226" i="13" s="1"/>
  <c r="AK227" i="13"/>
  <c r="AL227" i="13" s="1"/>
  <c r="AK228" i="13"/>
  <c r="AL228" i="13" s="1"/>
  <c r="AK229" i="13"/>
  <c r="AL229" i="13" s="1"/>
  <c r="AK230" i="13"/>
  <c r="AL230" i="13" s="1"/>
  <c r="AK231" i="13"/>
  <c r="AL231" i="13" s="1"/>
  <c r="AK232" i="13"/>
  <c r="AL232" i="13" s="1"/>
  <c r="AK233" i="13"/>
  <c r="AL233" i="13" s="1"/>
  <c r="AK234" i="13"/>
  <c r="AL234" i="13" s="1"/>
  <c r="AK235" i="13"/>
  <c r="AL235" i="13" s="1"/>
  <c r="AK236" i="13"/>
  <c r="AL236" i="13" s="1"/>
  <c r="AK237" i="13"/>
  <c r="AL237" i="13" s="1"/>
  <c r="AK238" i="13"/>
  <c r="AL238" i="13" s="1"/>
  <c r="AK239" i="13"/>
  <c r="AL239" i="13" s="1"/>
  <c r="AK240" i="13"/>
  <c r="AL240" i="13" s="1"/>
  <c r="AK241" i="13"/>
  <c r="AL241" i="13" s="1"/>
  <c r="AK242" i="13"/>
  <c r="AL242" i="13" s="1"/>
  <c r="AK243" i="13"/>
  <c r="AL243" i="13" s="1"/>
  <c r="AK244" i="13"/>
  <c r="AL244" i="13" s="1"/>
  <c r="AK245" i="13"/>
  <c r="AL245" i="13" s="1"/>
  <c r="AK246" i="13"/>
  <c r="AL246" i="13" s="1"/>
  <c r="AK247" i="13"/>
  <c r="AL247" i="13" s="1"/>
  <c r="AK248" i="13"/>
  <c r="AL248" i="13" s="1"/>
  <c r="AK249" i="13"/>
  <c r="AL249" i="13" s="1"/>
  <c r="AK250" i="13"/>
  <c r="AL250" i="13" s="1"/>
  <c r="AK251" i="13"/>
  <c r="AL251" i="13" s="1"/>
  <c r="AK252" i="13"/>
  <c r="AL252" i="13" s="1"/>
  <c r="AK253" i="13"/>
  <c r="AL253" i="13" s="1"/>
  <c r="AK254" i="13"/>
  <c r="AL254" i="13" s="1"/>
  <c r="AK255" i="13"/>
  <c r="AL255" i="13" s="1"/>
  <c r="AK256" i="13"/>
  <c r="AL256" i="13" s="1"/>
  <c r="AK257" i="13"/>
  <c r="AL257" i="13" s="1"/>
  <c r="AK258" i="13"/>
  <c r="AL258" i="13" s="1"/>
  <c r="AK259" i="13"/>
  <c r="AL259" i="13" s="1"/>
  <c r="AK260" i="13"/>
  <c r="AL260" i="13" s="1"/>
  <c r="AK261" i="13"/>
  <c r="AL261" i="13" s="1"/>
  <c r="AK262" i="13"/>
  <c r="AL262" i="13" s="1"/>
  <c r="AK263" i="13"/>
  <c r="AL263" i="13" s="1"/>
  <c r="AK264" i="13"/>
  <c r="AL264" i="13" s="1"/>
  <c r="AK265" i="13"/>
  <c r="AL265" i="13" s="1"/>
  <c r="AK266" i="13"/>
  <c r="AL266" i="13" s="1"/>
  <c r="AK267" i="13"/>
  <c r="AL267" i="13" s="1"/>
  <c r="AK268" i="13"/>
  <c r="AL268" i="13" s="1"/>
  <c r="AK269" i="13"/>
  <c r="AL269" i="13" s="1"/>
  <c r="AK270" i="13"/>
  <c r="AL270" i="13" s="1"/>
  <c r="AK271" i="13"/>
  <c r="AL271" i="13" s="1"/>
  <c r="AK272" i="13"/>
  <c r="AL272" i="13" s="1"/>
  <c r="AK273" i="13"/>
  <c r="AL273" i="13" s="1"/>
  <c r="AK274" i="13"/>
  <c r="AL274" i="13" s="1"/>
  <c r="AK275" i="13"/>
  <c r="AL275" i="13" s="1"/>
  <c r="AK276" i="13"/>
  <c r="AL276" i="13" s="1"/>
  <c r="AK277" i="13"/>
  <c r="AL277" i="13" s="1"/>
  <c r="AK278" i="13"/>
  <c r="AL278" i="13" s="1"/>
  <c r="AK279" i="13"/>
  <c r="AL279" i="13" s="1"/>
  <c r="AK280" i="13"/>
  <c r="AL280" i="13" s="1"/>
  <c r="AK281" i="13"/>
  <c r="AL281" i="13" s="1"/>
  <c r="AK282" i="13"/>
  <c r="AL282" i="13" s="1"/>
  <c r="AK283" i="13"/>
  <c r="AL283" i="13" s="1"/>
  <c r="AK284" i="13"/>
  <c r="AL284" i="13" s="1"/>
  <c r="AK285" i="13"/>
  <c r="AL285" i="13" s="1"/>
  <c r="AK286" i="13"/>
  <c r="AL286" i="13" s="1"/>
  <c r="AK287" i="13"/>
  <c r="AL287" i="13" s="1"/>
  <c r="AK288" i="13"/>
  <c r="AL288" i="13" s="1"/>
  <c r="AK289" i="13"/>
  <c r="AL289" i="13" s="1"/>
  <c r="AK290" i="13"/>
  <c r="AL290" i="13" s="1"/>
  <c r="AK291" i="13"/>
  <c r="AL291" i="13" s="1"/>
  <c r="AK292" i="13"/>
  <c r="AL292" i="13" s="1"/>
  <c r="AK293" i="13"/>
  <c r="AL293" i="13" s="1"/>
  <c r="AK294" i="13"/>
  <c r="AL294" i="13" s="1"/>
  <c r="AK295" i="13"/>
  <c r="AL295" i="13" s="1"/>
  <c r="AK296" i="13"/>
  <c r="AL296" i="13" s="1"/>
  <c r="AK297" i="13"/>
  <c r="AL297" i="13" s="1"/>
  <c r="AK298" i="13"/>
  <c r="AL298" i="13" s="1"/>
  <c r="AK299" i="13"/>
  <c r="AL299" i="13" s="1"/>
  <c r="AK300" i="13"/>
  <c r="AL300" i="13" s="1"/>
  <c r="AK301" i="13"/>
  <c r="AL301" i="13" s="1"/>
  <c r="AK302" i="13"/>
  <c r="AL302" i="13" s="1"/>
  <c r="AK3" i="13"/>
  <c r="AL3" i="13" s="1"/>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0" i="13"/>
  <c r="F81" i="13"/>
  <c r="F82"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F127" i="13"/>
  <c r="F128" i="13"/>
  <c r="F129" i="13"/>
  <c r="F130" i="13"/>
  <c r="F131" i="13"/>
  <c r="F132"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F198" i="13"/>
  <c r="F199" i="13"/>
  <c r="F200" i="13"/>
  <c r="F201" i="13"/>
  <c r="F202" i="13"/>
  <c r="F203" i="13"/>
  <c r="F204" i="13"/>
  <c r="F205" i="13"/>
  <c r="F206" i="13"/>
  <c r="F207" i="13"/>
  <c r="F208" i="13"/>
  <c r="F209" i="13"/>
  <c r="F210" i="13"/>
  <c r="F211" i="13"/>
  <c r="F212" i="13"/>
  <c r="F213" i="13"/>
  <c r="F214" i="13"/>
  <c r="F215" i="13"/>
  <c r="F216" i="13"/>
  <c r="F217" i="13"/>
  <c r="F218" i="13"/>
  <c r="F219" i="13"/>
  <c r="F220" i="13"/>
  <c r="F221" i="13"/>
  <c r="F222" i="13"/>
  <c r="F223" i="13"/>
  <c r="F224" i="13"/>
  <c r="F225" i="13"/>
  <c r="F226" i="13"/>
  <c r="F227" i="13"/>
  <c r="F228" i="13"/>
  <c r="F229" i="13"/>
  <c r="F230" i="13"/>
  <c r="F231" i="13"/>
  <c r="F232" i="13"/>
  <c r="F233" i="13"/>
  <c r="F234" i="13"/>
  <c r="F235" i="13"/>
  <c r="F236" i="13"/>
  <c r="F237" i="13"/>
  <c r="F238" i="13"/>
  <c r="F239" i="13"/>
  <c r="F240" i="13"/>
  <c r="F241" i="13"/>
  <c r="F242" i="13"/>
  <c r="F243" i="13"/>
  <c r="F244" i="13"/>
  <c r="F245" i="13"/>
  <c r="F246" i="13"/>
  <c r="F247" i="13"/>
  <c r="F248" i="13"/>
  <c r="F249" i="13"/>
  <c r="F250" i="13"/>
  <c r="F251" i="13"/>
  <c r="F252" i="13"/>
  <c r="F253" i="13"/>
  <c r="F254" i="13"/>
  <c r="F255" i="13"/>
  <c r="F256" i="13"/>
  <c r="F257" i="13"/>
  <c r="F258" i="13"/>
  <c r="F259" i="13"/>
  <c r="F260" i="13"/>
  <c r="F261" i="13"/>
  <c r="F262" i="13"/>
  <c r="F263" i="13"/>
  <c r="F264" i="13"/>
  <c r="F265" i="13"/>
  <c r="F266" i="13"/>
  <c r="F267" i="13"/>
  <c r="F268" i="13"/>
  <c r="F269" i="13"/>
  <c r="F270" i="13"/>
  <c r="F271" i="13"/>
  <c r="F272" i="13"/>
  <c r="F273" i="13"/>
  <c r="F274" i="13"/>
  <c r="F275" i="13"/>
  <c r="F276" i="13"/>
  <c r="F277" i="13"/>
  <c r="F278" i="13"/>
  <c r="F279" i="13"/>
  <c r="F280" i="13"/>
  <c r="F281" i="13"/>
  <c r="F282" i="13"/>
  <c r="F283" i="13"/>
  <c r="F284" i="13"/>
  <c r="F285" i="13"/>
  <c r="F286" i="13"/>
  <c r="F287" i="13"/>
  <c r="F288" i="13"/>
  <c r="F289" i="13"/>
  <c r="F290" i="13"/>
  <c r="F291" i="13"/>
  <c r="F292" i="13"/>
  <c r="F293" i="13"/>
  <c r="F294" i="13"/>
  <c r="F295" i="13"/>
  <c r="F296" i="13"/>
  <c r="F297" i="13"/>
  <c r="F298" i="13"/>
  <c r="F299" i="13"/>
  <c r="F300" i="13"/>
  <c r="F301" i="13"/>
  <c r="F302" i="13"/>
  <c r="F303" i="13"/>
  <c r="F304" i="13"/>
  <c r="F305" i="13"/>
  <c r="F306" i="13"/>
  <c r="F307" i="13"/>
  <c r="F308" i="13"/>
  <c r="F309" i="13"/>
  <c r="F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50" i="13"/>
  <c r="E251" i="13"/>
  <c r="E252" i="13"/>
  <c r="E253" i="13"/>
  <c r="E254" i="13"/>
  <c r="E255" i="13"/>
  <c r="E256" i="13"/>
  <c r="E257" i="13"/>
  <c r="E258" i="13"/>
  <c r="E259" i="13"/>
  <c r="E260" i="13"/>
  <c r="E261" i="13"/>
  <c r="E262" i="13"/>
  <c r="E263" i="13"/>
  <c r="E264" i="13"/>
  <c r="E265" i="13"/>
  <c r="E266" i="13"/>
  <c r="E267" i="13"/>
  <c r="E268" i="13"/>
  <c r="E269" i="13"/>
  <c r="E270" i="13"/>
  <c r="E271" i="13"/>
  <c r="E272" i="13"/>
  <c r="E273" i="13"/>
  <c r="E274" i="13"/>
  <c r="E275" i="13"/>
  <c r="E276" i="13"/>
  <c r="E277" i="13"/>
  <c r="E278" i="13"/>
  <c r="E279" i="13"/>
  <c r="E280" i="13"/>
  <c r="E281" i="13"/>
  <c r="E282" i="13"/>
  <c r="E283" i="13"/>
  <c r="E284" i="13"/>
  <c r="E285" i="13"/>
  <c r="E286" i="13"/>
  <c r="E287" i="13"/>
  <c r="E288" i="13"/>
  <c r="E289" i="13"/>
  <c r="E290" i="13"/>
  <c r="E291" i="13"/>
  <c r="E292" i="13"/>
  <c r="E293" i="13"/>
  <c r="E294" i="13"/>
  <c r="E295" i="13"/>
  <c r="E296" i="13"/>
  <c r="E297" i="13"/>
  <c r="E298" i="13"/>
  <c r="E299" i="13"/>
  <c r="E300" i="13"/>
  <c r="E301" i="13"/>
  <c r="E302" i="13"/>
  <c r="E303" i="13"/>
  <c r="E304" i="13"/>
  <c r="E305" i="13"/>
  <c r="E306" i="13"/>
  <c r="E307" i="13"/>
  <c r="E308" i="13"/>
  <c r="E309" i="13"/>
  <c r="E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205" i="13"/>
  <c r="C206" i="13"/>
  <c r="C207" i="13"/>
  <c r="C208" i="13"/>
  <c r="C209" i="13"/>
  <c r="C210" i="13"/>
  <c r="C211" i="13"/>
  <c r="C212" i="13"/>
  <c r="C213" i="13"/>
  <c r="C214" i="13"/>
  <c r="C215" i="13"/>
  <c r="C216" i="13"/>
  <c r="C217" i="13"/>
  <c r="C218" i="13"/>
  <c r="C219" i="13"/>
  <c r="C220" i="13"/>
  <c r="C221" i="13"/>
  <c r="C222" i="13"/>
  <c r="C223" i="13"/>
  <c r="C224" i="13"/>
  <c r="C225" i="13"/>
  <c r="C226" i="13"/>
  <c r="C227" i="13"/>
  <c r="C228" i="13"/>
  <c r="C229" i="13"/>
  <c r="C230" i="13"/>
  <c r="C231" i="13"/>
  <c r="C232" i="13"/>
  <c r="C233" i="13"/>
  <c r="C234" i="13"/>
  <c r="C235" i="13"/>
  <c r="C236" i="13"/>
  <c r="C237" i="13"/>
  <c r="C238" i="13"/>
  <c r="C239" i="13"/>
  <c r="C240" i="13"/>
  <c r="C241" i="13"/>
  <c r="C242" i="13"/>
  <c r="C243" i="13"/>
  <c r="C244" i="13"/>
  <c r="C245" i="13"/>
  <c r="C246" i="13"/>
  <c r="C247" i="13"/>
  <c r="C248" i="13"/>
  <c r="C249" i="13"/>
  <c r="C250" i="13"/>
  <c r="C251" i="13"/>
  <c r="C252" i="13"/>
  <c r="C253" i="13"/>
  <c r="C254" i="13"/>
  <c r="C255" i="13"/>
  <c r="C256" i="13"/>
  <c r="C257" i="13"/>
  <c r="C258" i="13"/>
  <c r="C259" i="13"/>
  <c r="C260" i="13"/>
  <c r="C261" i="13"/>
  <c r="C262" i="13"/>
  <c r="C263" i="13"/>
  <c r="C264" i="13"/>
  <c r="C265" i="13"/>
  <c r="C266" i="13"/>
  <c r="C267" i="13"/>
  <c r="C268" i="13"/>
  <c r="C269" i="13"/>
  <c r="C270" i="13"/>
  <c r="C271" i="13"/>
  <c r="C272" i="13"/>
  <c r="C273" i="13"/>
  <c r="C274" i="13"/>
  <c r="C275" i="13"/>
  <c r="C276" i="13"/>
  <c r="C277" i="13"/>
  <c r="C278" i="13"/>
  <c r="C279" i="13"/>
  <c r="C280" i="13"/>
  <c r="C281" i="13"/>
  <c r="C282" i="13"/>
  <c r="C283" i="13"/>
  <c r="C284" i="13"/>
  <c r="C285" i="13"/>
  <c r="C286" i="13"/>
  <c r="C287" i="13"/>
  <c r="C288" i="13"/>
  <c r="C289" i="13"/>
  <c r="C290" i="13"/>
  <c r="C291" i="13"/>
  <c r="C292" i="13"/>
  <c r="C293" i="13"/>
  <c r="C294" i="13"/>
  <c r="C295" i="13"/>
  <c r="C296" i="13"/>
  <c r="C297" i="13"/>
  <c r="C298" i="13"/>
  <c r="C299" i="13"/>
  <c r="C300" i="13"/>
  <c r="C301" i="13"/>
  <c r="C302" i="13"/>
  <c r="C303" i="13"/>
  <c r="C304" i="13"/>
  <c r="C305" i="13"/>
  <c r="C306" i="13"/>
  <c r="C307" i="13"/>
  <c r="C308" i="13"/>
  <c r="C309" i="13"/>
  <c r="C3" i="13"/>
  <c r="D5" i="8" l="1"/>
  <c r="D3" i="8"/>
  <c r="B3" i="8"/>
  <c r="B1" i="7" l="1"/>
  <c r="R21" i="7" l="1"/>
  <c r="B3" i="7"/>
  <c r="B2" i="7"/>
  <c r="R26" i="7"/>
  <c r="XFD152" i="3"/>
  <c r="XFD153" i="3"/>
  <c r="XFD154" i="3"/>
  <c r="XFD155" i="3"/>
  <c r="XFD156" i="3"/>
  <c r="XFD157" i="3"/>
  <c r="XFD158" i="3"/>
  <c r="XFD159" i="3"/>
  <c r="XFD160" i="3"/>
  <c r="XFD161" i="3"/>
  <c r="XFD162" i="3"/>
  <c r="XFD163" i="3"/>
  <c r="XFD164" i="3"/>
  <c r="XFD165" i="3"/>
  <c r="XFD166" i="3"/>
  <c r="XFD167" i="3"/>
  <c r="XFD168" i="3"/>
  <c r="XFD169" i="3"/>
  <c r="XFD170" i="3"/>
  <c r="XFD171" i="3"/>
  <c r="XFD172" i="3"/>
  <c r="XFD173" i="3"/>
  <c r="XFD174" i="3"/>
  <c r="XFD175" i="3"/>
  <c r="XFD176" i="3"/>
  <c r="XFD177" i="3"/>
  <c r="XFD178" i="3"/>
  <c r="XFD179" i="3"/>
  <c r="XFD180" i="3"/>
  <c r="XFD181" i="3"/>
  <c r="XFD182" i="3"/>
  <c r="XFD183" i="3"/>
  <c r="XFD184" i="3"/>
  <c r="XFD185" i="3"/>
  <c r="XFD186" i="3"/>
  <c r="XFD187" i="3"/>
  <c r="XFD188" i="3"/>
  <c r="XFD189" i="3"/>
  <c r="XFD190" i="3"/>
  <c r="XFD191" i="3"/>
  <c r="XFD192" i="3"/>
  <c r="XFD193" i="3"/>
  <c r="XFD194" i="3"/>
  <c r="XFD195" i="3"/>
  <c r="XFD196" i="3"/>
  <c r="XFD197" i="3"/>
  <c r="XFD198" i="3"/>
  <c r="XFD199" i="3"/>
  <c r="XFD200" i="3"/>
  <c r="XFD201" i="3"/>
  <c r="XFD202" i="3"/>
  <c r="XFD203" i="3"/>
  <c r="XFD204" i="3"/>
  <c r="XFD205" i="3"/>
  <c r="XFD206" i="3"/>
  <c r="XFD207" i="3"/>
  <c r="XFD208" i="3"/>
  <c r="XFD209" i="3"/>
  <c r="XFD210" i="3"/>
  <c r="XFD211" i="3"/>
  <c r="XFD212" i="3"/>
  <c r="XFD213" i="3"/>
  <c r="XFD214" i="3"/>
  <c r="XFD215" i="3"/>
  <c r="XFD216" i="3"/>
  <c r="XFD217" i="3"/>
  <c r="XFD218" i="3"/>
  <c r="XFD219" i="3"/>
  <c r="XFD220" i="3"/>
  <c r="XFD221" i="3"/>
  <c r="XFD222" i="3"/>
  <c r="XFD223" i="3"/>
  <c r="XFD224" i="3"/>
  <c r="XFD225" i="3"/>
  <c r="XFD226" i="3"/>
  <c r="XFD227" i="3"/>
  <c r="XFD228" i="3"/>
  <c r="XFD229" i="3"/>
  <c r="XFD230" i="3"/>
  <c r="XFD231" i="3"/>
  <c r="XFD232" i="3"/>
  <c r="XFD233" i="3"/>
  <c r="XFD234" i="3"/>
  <c r="XFD235" i="3"/>
  <c r="XFD236" i="3"/>
  <c r="XFD237" i="3"/>
  <c r="XFD238" i="3"/>
  <c r="XFD239" i="3"/>
  <c r="XFD240" i="3"/>
  <c r="XFD241" i="3"/>
  <c r="XFD242" i="3"/>
  <c r="XFD243" i="3"/>
  <c r="XFD244" i="3"/>
  <c r="XFD245" i="3"/>
  <c r="XFD246" i="3"/>
  <c r="XFD247" i="3"/>
  <c r="XFD248" i="3"/>
  <c r="XFD249" i="3"/>
  <c r="XFD250" i="3"/>
  <c r="XFD251" i="3"/>
  <c r="XFD252" i="3"/>
  <c r="XFD253" i="3"/>
  <c r="XFD254" i="3"/>
  <c r="XFD255" i="3"/>
  <c r="XFD256" i="3"/>
  <c r="XFD257" i="3"/>
  <c r="XFD258" i="3"/>
  <c r="XFD259" i="3"/>
  <c r="XFD260" i="3"/>
  <c r="XFD261" i="3"/>
  <c r="XFD262" i="3"/>
  <c r="XFD263" i="3"/>
  <c r="XFD264" i="3"/>
  <c r="XFD265" i="3"/>
  <c r="XFD266" i="3"/>
  <c r="XFD267" i="3"/>
  <c r="XFD268" i="3"/>
  <c r="XFD269" i="3"/>
  <c r="XFD270" i="3"/>
  <c r="XFD271" i="3"/>
  <c r="XFD272" i="3"/>
  <c r="XFD273" i="3"/>
  <c r="XFD274" i="3"/>
  <c r="XFD275" i="3"/>
  <c r="XFD276" i="3"/>
  <c r="XFD277" i="3"/>
  <c r="XFD278" i="3"/>
  <c r="XFD279" i="3"/>
  <c r="XFD280" i="3"/>
  <c r="XFD281" i="3"/>
  <c r="XFD282" i="3"/>
  <c r="XFD283" i="3"/>
  <c r="XFD284" i="3"/>
  <c r="XFD285" i="3"/>
  <c r="XFD286" i="3"/>
  <c r="XFD287" i="3"/>
  <c r="XFD288" i="3"/>
  <c r="XFD289" i="3"/>
  <c r="XFD290" i="3"/>
  <c r="XFD291" i="3"/>
  <c r="XFD292" i="3"/>
  <c r="XFD293" i="3"/>
  <c r="XFD294" i="3"/>
  <c r="XFD295" i="3"/>
  <c r="XFD296" i="3"/>
  <c r="XFD297" i="3"/>
  <c r="XFD298" i="3"/>
  <c r="XFD299" i="3"/>
  <c r="XFD151" i="3"/>
  <c r="J1048575" i="8" l="1"/>
  <c r="P10" i="7" l="1"/>
  <c r="U1048576" i="7" s="1"/>
  <c r="O10" i="7"/>
  <c r="V1048576" i="7" s="1"/>
  <c r="N10" i="7"/>
  <c r="W1048576" i="7" s="1"/>
  <c r="M10" i="7"/>
  <c r="X1048576" i="7" s="1"/>
  <c r="L10" i="7"/>
  <c r="Y1048576" i="7" s="1"/>
  <c r="K10" i="7"/>
  <c r="Z1048576" i="7" s="1"/>
  <c r="J10" i="7"/>
  <c r="AA1048576" i="7" s="1"/>
  <c r="I10" i="7"/>
  <c r="AB1048576" i="7" s="1"/>
  <c r="H10" i="7"/>
  <c r="AC1048576" i="7" s="1"/>
  <c r="G10" i="7"/>
  <c r="AD1048576" i="7" s="1"/>
  <c r="F10" i="7"/>
  <c r="AE1048576" i="7" s="1"/>
  <c r="E10" i="7"/>
  <c r="AF1048576" i="7" s="1"/>
  <c r="D10" i="7"/>
  <c r="AG1048576" i="7" l="1"/>
  <c r="Q10" i="7"/>
  <c r="E28" i="8" s="1"/>
  <c r="AD15" i="7"/>
  <c r="AC15" i="7"/>
  <c r="AB15" i="7"/>
  <c r="AA15" i="7"/>
  <c r="Z15" i="7"/>
  <c r="Y15" i="7"/>
  <c r="X15" i="7"/>
  <c r="W15" i="7"/>
  <c r="V15" i="7"/>
  <c r="U15" i="7"/>
  <c r="T15" i="7"/>
  <c r="S15" i="7"/>
  <c r="R15" i="7"/>
  <c r="J15" i="8"/>
  <c r="I15" i="8"/>
  <c r="H15" i="8"/>
  <c r="G15" i="8"/>
  <c r="L11" i="8"/>
  <c r="K11" i="8"/>
  <c r="J11" i="8"/>
  <c r="I11" i="8"/>
  <c r="H11" i="8"/>
  <c r="G11" i="8"/>
  <c r="M11" i="8" l="1"/>
  <c r="N12" i="8"/>
  <c r="N2" i="7" l="1"/>
  <c r="K1048571" i="7"/>
  <c r="K1048570" i="7" s="1"/>
  <c r="J1048571" i="7"/>
  <c r="J1048570" i="7" s="1"/>
  <c r="I1048571" i="7"/>
  <c r="I1048570" i="7" s="1"/>
  <c r="H1048571" i="7"/>
  <c r="H1048570" i="7" s="1"/>
  <c r="G1048571" i="7"/>
  <c r="G1048570" i="7" s="1"/>
  <c r="N27" i="8"/>
  <c r="AB1048575" i="8" s="1"/>
  <c r="AB1048576" i="8" s="1"/>
  <c r="O27" i="8"/>
  <c r="AC1048575" i="8" s="1"/>
  <c r="AC1048576" i="8" s="1"/>
  <c r="N23" i="8"/>
  <c r="AF7" i="8"/>
  <c r="AO1048575" i="8" s="1"/>
  <c r="AO1048576" i="8" s="1"/>
  <c r="AE7" i="8"/>
  <c r="AN1048575" i="8" s="1"/>
  <c r="AN1048576" i="8" s="1"/>
  <c r="AD7" i="8"/>
  <c r="AM1048575" i="8" s="1"/>
  <c r="AM1048576" i="8" s="1"/>
  <c r="AC7" i="8"/>
  <c r="AL1048575" i="8" s="1"/>
  <c r="AL1048576" i="8" s="1"/>
  <c r="AB7" i="8"/>
  <c r="AK1048575" i="8" s="1"/>
  <c r="AK1048576" i="8" s="1"/>
  <c r="AA7" i="8"/>
  <c r="AJ1048575" i="8" s="1"/>
  <c r="AJ1048576" i="8" s="1"/>
  <c r="Z7" i="8"/>
  <c r="AI1048575" i="8" s="1"/>
  <c r="AI1048576" i="8" s="1"/>
  <c r="Y7" i="8"/>
  <c r="AH1048575" i="8" s="1"/>
  <c r="AH1048576" i="8" s="1"/>
  <c r="X7" i="8"/>
  <c r="AG1048575" i="8" s="1"/>
  <c r="AG1048576" i="8" s="1"/>
  <c r="W7" i="8"/>
  <c r="AF1048575" i="8" s="1"/>
  <c r="AF1048576" i="8" s="1"/>
  <c r="V7" i="8"/>
  <c r="AE1048575" i="8" s="1"/>
  <c r="AE1048576" i="8" s="1"/>
  <c r="U7" i="8"/>
  <c r="AD1048575" i="8" s="1"/>
  <c r="AD1048576" i="8" s="1"/>
  <c r="Q31" i="8"/>
  <c r="P31" i="8"/>
  <c r="O31" i="8"/>
  <c r="N31" i="8"/>
  <c r="O28" i="8"/>
  <c r="N28" i="8"/>
  <c r="S18" i="8"/>
  <c r="R18" i="8"/>
  <c r="Q18" i="8"/>
  <c r="P18" i="8"/>
  <c r="O18" i="8"/>
  <c r="N18" i="8"/>
  <c r="Q23" i="8"/>
  <c r="P23" i="8"/>
  <c r="O23" i="8"/>
  <c r="S23" i="8"/>
  <c r="R23" i="8"/>
  <c r="S13" i="8"/>
  <c r="R13" i="8"/>
  <c r="Q13" i="8"/>
  <c r="P13" i="8"/>
  <c r="O13" i="8"/>
  <c r="N13" i="8"/>
  <c r="S17" i="8"/>
  <c r="U1048575" i="8" s="1"/>
  <c r="U1048576" i="8" s="1"/>
  <c r="R17" i="8"/>
  <c r="T1048575" i="8" s="1"/>
  <c r="T1048576" i="8" s="1"/>
  <c r="Q17" i="8"/>
  <c r="S1048575" i="8" s="1"/>
  <c r="S1048576" i="8" s="1"/>
  <c r="P17" i="8"/>
  <c r="R1048575" i="8" s="1"/>
  <c r="R1048576" i="8" s="1"/>
  <c r="O17" i="8"/>
  <c r="Q1048575" i="8" s="1"/>
  <c r="Q1048576" i="8" s="1"/>
  <c r="N17" i="8"/>
  <c r="P1048575" i="8" s="1"/>
  <c r="P1048576" i="8" s="1"/>
  <c r="Q22" i="8"/>
  <c r="Y1048575" i="8" s="1"/>
  <c r="Y1048576" i="8" s="1"/>
  <c r="P22" i="8"/>
  <c r="X1048575" i="8" s="1"/>
  <c r="X1048576" i="8" s="1"/>
  <c r="O22" i="8"/>
  <c r="W1048575" i="8" s="1"/>
  <c r="W1048576" i="8" s="1"/>
  <c r="N22" i="8"/>
  <c r="V1048575" i="8" s="1"/>
  <c r="V1048576" i="8" s="1"/>
  <c r="S22" i="8"/>
  <c r="AA1048575" i="8" s="1"/>
  <c r="AA1048576" i="8" s="1"/>
  <c r="R22" i="8"/>
  <c r="Z1048575" i="8" s="1"/>
  <c r="Z1048576" i="8" s="1"/>
  <c r="S12" i="8"/>
  <c r="O1048575" i="8" s="1"/>
  <c r="O1048576" i="8" s="1"/>
  <c r="R12" i="8"/>
  <c r="N1048575" i="8" s="1"/>
  <c r="N1048576" i="8" s="1"/>
  <c r="Q12" i="8"/>
  <c r="M1048575" i="8" s="1"/>
  <c r="M1048576" i="8" s="1"/>
  <c r="P12" i="8"/>
  <c r="L1048575" i="8" s="1"/>
  <c r="L1048576" i="8" s="1"/>
  <c r="O12" i="8"/>
  <c r="K1048575" i="8" s="1"/>
  <c r="K1048576" i="8" s="1"/>
  <c r="J1048576" i="8"/>
  <c r="AS1048575" i="8"/>
  <c r="AS1048576" i="8" s="1"/>
  <c r="C5" i="8"/>
  <c r="AR1048575" i="8" s="1"/>
  <c r="AR1048576" i="8" s="1"/>
  <c r="B5" i="8"/>
  <c r="AQ1048575" i="8" s="1"/>
  <c r="AQ1048576" i="8" s="1"/>
  <c r="A5" i="8"/>
  <c r="AP1048575" i="8" s="1"/>
  <c r="AP1048576" i="8" s="1"/>
  <c r="J1048569" i="8" l="1"/>
  <c r="J8" i="8" s="1"/>
  <c r="J1048568" i="8"/>
  <c r="I8" i="8" s="1"/>
  <c r="J1048570" i="8"/>
  <c r="K8" i="8" s="1"/>
  <c r="J1048567" i="8"/>
  <c r="H8" i="8" s="1"/>
  <c r="J1048566" i="8"/>
  <c r="G8" i="8" s="1"/>
  <c r="C13" i="8"/>
  <c r="E13" i="8" s="1"/>
  <c r="C14" i="8"/>
  <c r="E14" i="8" s="1"/>
  <c r="C16" i="8"/>
  <c r="E16" i="8" s="1"/>
  <c r="C22" i="8"/>
  <c r="E22" i="8" s="1"/>
  <c r="C19" i="8"/>
  <c r="E19" i="8" s="1"/>
  <c r="C21" i="8"/>
  <c r="E21" i="8" s="1"/>
  <c r="C23" i="8"/>
  <c r="E23" i="8" s="1"/>
  <c r="C20" i="8"/>
  <c r="E20" i="8" s="1"/>
  <c r="C18" i="8"/>
  <c r="E18" i="8" s="1"/>
  <c r="C17" i="8"/>
  <c r="E17" i="8" s="1"/>
  <c r="C12" i="8"/>
  <c r="E12" i="8" s="1"/>
  <c r="C24" i="8"/>
  <c r="E24" i="8" s="1"/>
  <c r="C15" i="8"/>
  <c r="E15" i="8" s="1"/>
  <c r="R23" i="7" l="1"/>
  <c r="R24" i="7"/>
  <c r="I6" i="7"/>
  <c r="O1048576" i="7" s="1"/>
  <c r="J6" i="7"/>
  <c r="N1048576" i="7" s="1"/>
  <c r="K6" i="7"/>
  <c r="M1048576" i="7" s="1"/>
  <c r="H6" i="7"/>
  <c r="P1048576" i="7" s="1"/>
  <c r="L6" i="7"/>
  <c r="L1048576" i="7" s="1"/>
  <c r="R22" i="7"/>
  <c r="O6" i="7"/>
  <c r="I1048576" i="7" s="1"/>
  <c r="B1048570" i="7"/>
  <c r="B1048571" i="7" s="1"/>
  <c r="S6" i="7"/>
  <c r="E1048576" i="7" s="1"/>
  <c r="N6" i="7"/>
  <c r="J1048576" i="7" s="1"/>
  <c r="E1048570" i="7"/>
  <c r="E1048571" i="7" s="1"/>
  <c r="R6" i="7"/>
  <c r="F1048576" i="7" s="1"/>
  <c r="M6" i="7"/>
  <c r="K1048576" i="7" s="1"/>
  <c r="D1048570" i="7"/>
  <c r="D1048571" i="7" s="1"/>
  <c r="Q6" i="7"/>
  <c r="G1048576" i="7" s="1"/>
  <c r="A1048570" i="7"/>
  <c r="A1048571" i="7" s="1"/>
  <c r="C1048570" i="7"/>
  <c r="C1048571" i="7" s="1"/>
  <c r="T6" i="7"/>
  <c r="D1048576" i="7" s="1"/>
  <c r="P6" i="7"/>
  <c r="H1048576" i="7" s="1"/>
  <c r="Q15" i="7" l="1"/>
  <c r="H15" i="7"/>
  <c r="F15" i="7"/>
  <c r="E15" i="7"/>
  <c r="N15" i="7"/>
  <c r="J15" i="7"/>
  <c r="K15" i="7"/>
  <c r="G15" i="7"/>
  <c r="I15" i="7"/>
  <c r="O15" i="7"/>
  <c r="P15" i="7"/>
  <c r="L15" i="7"/>
  <c r="M15" i="7"/>
  <c r="E8" i="8"/>
  <c r="D6" i="7" s="1"/>
  <c r="T1048576" i="7" s="1"/>
  <c r="E9" i="8"/>
  <c r="E6" i="7" s="1"/>
  <c r="E10" i="8"/>
  <c r="F6" i="7" s="1"/>
  <c r="R1048576" i="7" s="1"/>
  <c r="E11" i="8"/>
  <c r="G6" i="7" s="1"/>
  <c r="C15" i="7" l="1"/>
  <c r="A15" i="7"/>
  <c r="B15" i="7"/>
  <c r="S1048576" i="7"/>
  <c r="D15" i="7"/>
  <c r="Q1048576" i="7"/>
  <c r="U6" i="7"/>
  <c r="V6" i="7" l="1"/>
  <c r="D17" i="7"/>
  <c r="S1" i="7" l="1"/>
  <c r="P1" i="7"/>
  <c r="I1048575" i="8"/>
  <c r="I1048576" i="8" s="1"/>
  <c r="C9" i="8" s="1"/>
  <c r="C8" i="8" l="1"/>
  <c r="C11" i="8"/>
  <c r="C10" i="8"/>
</calcChain>
</file>

<file path=xl/sharedStrings.xml><?xml version="1.0" encoding="utf-8"?>
<sst xmlns="http://schemas.openxmlformats.org/spreadsheetml/2006/main" count="15013" uniqueCount="1529">
  <si>
    <t>NAMA</t>
  </si>
  <si>
    <t>NO</t>
  </si>
  <si>
    <t>Nama</t>
  </si>
  <si>
    <t>Arah Kerja</t>
  </si>
  <si>
    <t>Leadership</t>
  </si>
  <si>
    <t>Activity</t>
  </si>
  <si>
    <t>Social Nature</t>
  </si>
  <si>
    <t>Work Style</t>
  </si>
  <si>
    <t>Temperament</t>
  </si>
  <si>
    <t>Followership</t>
  </si>
  <si>
    <t>N</t>
  </si>
  <si>
    <t>G</t>
  </si>
  <si>
    <t>A</t>
  </si>
  <si>
    <t>L</t>
  </si>
  <si>
    <t>P</t>
  </si>
  <si>
    <t>I</t>
  </si>
  <si>
    <t>T</t>
  </si>
  <si>
    <t>V</t>
  </si>
  <si>
    <t>O</t>
  </si>
  <si>
    <t>B</t>
  </si>
  <si>
    <t>S</t>
  </si>
  <si>
    <t>X</t>
  </si>
  <si>
    <t>C</t>
  </si>
  <si>
    <t>D</t>
  </si>
  <si>
    <t>R</t>
  </si>
  <si>
    <t>Z</t>
  </si>
  <si>
    <t>E</t>
  </si>
  <si>
    <t>K</t>
  </si>
  <si>
    <t>F</t>
  </si>
  <si>
    <t>W</t>
  </si>
  <si>
    <t>Nomor</t>
  </si>
  <si>
    <t>TANGGAL LAHIR</t>
  </si>
  <si>
    <t>Kepribadian di muka umum</t>
  </si>
  <si>
    <t>Kepribadian saat mendapat tekanan</t>
  </si>
  <si>
    <t>Kepribadian asli yang tersembunyi</t>
  </si>
  <si>
    <t>Deskripsi Kepribadian</t>
  </si>
  <si>
    <t>LINE 1</t>
  </si>
  <si>
    <t>LINE 2</t>
  </si>
  <si>
    <t>LINE 3</t>
  </si>
  <si>
    <t>Kode DISC</t>
  </si>
  <si>
    <t>IQ</t>
  </si>
  <si>
    <t>KATEGORI</t>
  </si>
  <si>
    <t>Analisa Berpikir</t>
  </si>
  <si>
    <t>Pemecahan Masalah</t>
  </si>
  <si>
    <t>Daya Tangkap</t>
  </si>
  <si>
    <t>Kemampuan Intelektual</t>
  </si>
  <si>
    <t>Penyesuaian Diri</t>
  </si>
  <si>
    <t>Kerjasama</t>
  </si>
  <si>
    <t>Komunikasi persuasif</t>
  </si>
  <si>
    <t>Sosialibilitas</t>
  </si>
  <si>
    <t>Stabilitas Emosi</t>
  </si>
  <si>
    <t>Kepercayaan Diri</t>
  </si>
  <si>
    <t>Hasrat Berprestasi</t>
  </si>
  <si>
    <t>Inisiatif</t>
  </si>
  <si>
    <t>Kepribadian</t>
  </si>
  <si>
    <t>Ketelitian</t>
  </si>
  <si>
    <t>Ketaatan thd Aturan</t>
  </si>
  <si>
    <t>Kemampuan bekerja di bawah target</t>
  </si>
  <si>
    <t>Manajemen Kerja</t>
  </si>
  <si>
    <t>Tanggung Jawab</t>
  </si>
  <si>
    <t>Kecepatan</t>
  </si>
  <si>
    <t>Pola Kerja</t>
  </si>
  <si>
    <t>Intelejensi Umum</t>
  </si>
  <si>
    <t>Tempat, Tanggal lahir</t>
  </si>
  <si>
    <t>Pendidikan</t>
  </si>
  <si>
    <t>Intelektual</t>
  </si>
  <si>
    <t>Sosial</t>
  </si>
  <si>
    <t>Skor</t>
  </si>
  <si>
    <t>Judgement</t>
  </si>
  <si>
    <t>PANKER</t>
  </si>
  <si>
    <t>TIANKER</t>
  </si>
  <si>
    <t>HANKER</t>
  </si>
  <si>
    <t>JANKER</t>
  </si>
  <si>
    <t>PAPI</t>
  </si>
  <si>
    <t>kreplin</t>
  </si>
  <si>
    <t>KS</t>
  </si>
  <si>
    <t>BS</t>
  </si>
  <si>
    <t>Bawah Rata-rata</t>
  </si>
  <si>
    <t>Rata-rata</t>
  </si>
  <si>
    <t>Atas Rata-rata</t>
  </si>
  <si>
    <t>DISC</t>
  </si>
  <si>
    <t>KEBUTUHAN – MEMBANTU ATASAN - setia terhadap perusahaan, loyal</t>
  </si>
  <si>
    <t>PERFECTIONIST ,Detail &amp; Teliti ,Butuh Situasi Stabil ,Sistematik &amp; Prosedural ,Menghindari Konflik ,Anti Kritik ,Lambat Memutuskan ,Sulit Adaptasi ,Pendendam ,Anti Perubahan ,</t>
  </si>
  <si>
    <t>PEACEMAKER, RESPECTFULL &amp; ACCURATE ,Sulit Beradaptasi ,Anti Kritik ,Pendendam ,Sukar Berubah ,Detail ,Empati ,Memikirkan Dampak ke Orang Lain ,Terlalu Mendalam dalam Berpikir ,Concern ke Data dan Fakta ,Introvert ,Loyal ,</t>
  </si>
  <si>
    <t>Berpikir sistematis dan cenderung mengikuti prosedur dalam kehidupan pribadi dan pekerjaannya.  Teratur dan memiliki perencanaan yang baik, ia teliti dan fokus pada detil.  Bertindak dengan penuh kebijaksanaan, diplomatis dan jarang menentang rekan kerjanya dengan sengaja.  Ia sangat berhati-hati, sungguh-sungguh mengharapkan akurasi dan standard tinggi dalam pekerjaannya.  Ia cenderung terjebak dalam hal detil, khususnya jika harus memutuskan.  Menginginkan adanya petunjuk standard pelaksanaan kerja dan tanpa perubahan mendadak.</t>
  </si>
  <si>
    <t>S / C-S</t>
  </si>
  <si>
    <t>LOGICAL THINKER ,Pendiam ,Anti Kritik ,Perfeksionis ,Cenderung Santai ,Detail ,Empati ,Rapi ,Organized ,Kaku pada Metode &amp; Prosedur ,</t>
  </si>
  <si>
    <t>Full Self Control ,Sabar ,Penuh Pertimbangan ,Good Interpersonal ,Selektif ,Lambat Adaptasi ,Inisiatif kurang ,Result Oriented ,Kaku dan Keras Kepala ,Good Service ,Kurang dlm hal Managerial ,</t>
  </si>
  <si>
    <t>PRECISIONIST ,Sistematis dan Prosedural ,Teratur &amp; memiliki perencanaan yang baik ,Teliti ,Fokus pada detil ,Bijaksana ,Diplomatis ,Jarang menentang rekan kerjanya ,Ia sangat berhati-hati ,Mengharapkan akurasi dan standard tinggi ,Menginginkan adanya petunjuk standard ,Tidak menginginkan perubahan mendadak ,</t>
  </si>
  <si>
    <t>Berpikir sistematis dan cenderung mengikuti prosedur dalam kehidupan pribadi dan pekerjaannya.  Teratur dan memiliki perencanaan yang baik, ia teliti dan fokus pada detil.  Ia bertindak dengan penuh kebijaksanaan, diplomatis dan jarang menentang rekan kerjanya dengan sengaja.  Ia sangat berhati-hati, ia sungguh-sungguh mengharapkan akurasi dan standard tinggi dalam pekerjaannya.  Ia cenderung terjebak dalam hal detil, khususnya jika harus memutuskan.  ia menginginkan adanya petunjuk standard pelaksanaan kerja dan tanpa perubahan mendadak.</t>
  </si>
  <si>
    <t>C-S-D</t>
  </si>
  <si>
    <t>PRACTITIONER ,Perfeksionis ,Quality Oriented ,Scheduled ,Anti Kejutan ,Good Interpersonal Skill ,Terlalu Detail ,Sistematis ,Kaku / Tidak fleksibel ,Monoton ,</t>
  </si>
  <si>
    <t>Merupakan individu yang berorientasi pada orang, ia mampu menggabungkan ketepatan dan loyalitas.  Ia cenderung peka dan mempunyai standard yang tinggi.  Ia menginginkan stabilitas dan berorientasi terhadap sasaran.  Ia menginginkan pengakuan sosial dan perhatian pribadi.  Bersahabat, antusias, informal, banyak bicara, dan mungkin sangat mencemaskan apa yang dipikirkan oleh orang lain.  Ia menolak agresi dan mengharapkan suasana harmonis.  Ia cenderung cukup cerdas dalam berbagai hal. Ia merupakan pencari fakta yang sangat baik dan akan membuat keputusan yang baik setelah mengumpulkan fakta dan data pendukung.</t>
  </si>
  <si>
    <t>I / C-S-I</t>
  </si>
  <si>
    <t>Aktif</t>
  </si>
  <si>
    <t>Inovasi</t>
  </si>
  <si>
    <t>Dampak</t>
  </si>
  <si>
    <t>Empati</t>
  </si>
  <si>
    <t>Melayani</t>
  </si>
  <si>
    <t>Integritas</t>
  </si>
  <si>
    <t>Core Competency</t>
  </si>
  <si>
    <t>Orientasi Berprestasi</t>
  </si>
  <si>
    <t>Percaya Diri</t>
  </si>
  <si>
    <t>Proaktif</t>
  </si>
  <si>
    <t>Kerjasama Kelompok</t>
  </si>
  <si>
    <t>Soft Competency</t>
  </si>
  <si>
    <t>Kemampuan Beromunikasi</t>
  </si>
  <si>
    <t>Kemampuan Membangun Relasi</t>
  </si>
  <si>
    <t>Kemampuan Menjual</t>
  </si>
  <si>
    <t>Technical Competency</t>
  </si>
  <si>
    <t>tiu</t>
  </si>
  <si>
    <t>papi</t>
  </si>
  <si>
    <t>disc</t>
  </si>
  <si>
    <t>r</t>
  </si>
  <si>
    <t>c</t>
  </si>
  <si>
    <t>d</t>
  </si>
  <si>
    <t>v, s, e, b, w</t>
  </si>
  <si>
    <t>s, p, b, x</t>
  </si>
  <si>
    <t>e, k</t>
  </si>
  <si>
    <t>r, z, b, c</t>
  </si>
  <si>
    <t>s, d</t>
  </si>
  <si>
    <t>i, d</t>
  </si>
  <si>
    <t>i, s</t>
  </si>
  <si>
    <t>i, s, f, b, o</t>
  </si>
  <si>
    <t>c, d</t>
  </si>
  <si>
    <t>n, a, t, v, d</t>
  </si>
  <si>
    <t>n, a, z, w</t>
  </si>
  <si>
    <t>d, I, c</t>
  </si>
  <si>
    <t>c, s</t>
  </si>
  <si>
    <t>g, t, n, w</t>
  </si>
  <si>
    <t>s</t>
  </si>
  <si>
    <t>n, a, t, v, d, e</t>
  </si>
  <si>
    <t>r, d, c, w</t>
  </si>
  <si>
    <t>v, n, w</t>
  </si>
  <si>
    <t>s, c</t>
  </si>
  <si>
    <t xml:space="preserve">t, v, e, </t>
  </si>
  <si>
    <t>d, c</t>
  </si>
  <si>
    <t>PERAN PEKERJA KERAS (Hard Intense Worker) - Santai, kerja adalah sesuatu yang menyenangkan bukan beban yg membutuhkan usaha besar. Mungkin termotivasi utk mencari cara atau sistem yg dpt mempermudah dirinya dlm menyelesaikan pekerjaan, akan berusaha menghindari kerja keras, sehingga dapat memberi kesan malas.</t>
  </si>
  <si>
    <t>PERAN PEMIMPIN - Puas dengan peran sebagai bawahan, memberikan kesempatan pada orang lain untuk memimpin, tidak dominan. Tidak percaya diri (sama sekali tidak berminat untuk berperan sebagai pemimpin) bersikap pasif dalam kelompok.</t>
  </si>
  <si>
    <t xml:space="preserve">PERAN  MEMBUAT KEPUTUSAN - Sangat berhati - hati, memikirkan langkah-langkahnya secara bersungguh - sungguh. Lamban dlm mengambil keputusan, terlalu lama merenung, cenderung menghindar mengambil keputusan. </t>
  </si>
  <si>
    <t>PERAN - SIBUK (PACE) - Santai. Kurang peduli akan waktu, kurang memiliki rasa urgensi,membuang-buang waktu, bukan pekerja yang tepat waktu.</t>
  </si>
  <si>
    <t>PERAN PENUH SEMANGAT (Vigorous Type) - Cocok untuk pekerjaan 'di belakang meja'. Cenderung lamban, tidak tanggap, mudah lelah, daya tahan lemah.</t>
  </si>
  <si>
    <t>PERAN HUBUNGAN SOSIAL - Dpt. bekerja sendiri, tdk membutuhkan kehadiran org lain. Menarik diri, kaku dlm bergaul, canggung dlm situasi sosial, lebih memperhatikan hal - hal lain daripada manusia.</t>
  </si>
  <si>
    <t xml:space="preserve">PERAN ORANG YANG TEORITIS - Tipe pelaksana, praktis - pragmatis, mengandalkan pengalaman masa lalu dan intuisi. Bekerja tanpa perencanaan, mengandalkan perasaan. </t>
  </si>
  <si>
    <t>PERAN BEKERJA DENGAN DETAIL - Melihat pekerjaan scr makro, membedakan hal penting dari yg kurang penting, mendelegasikan detil pd org lain, generalis. Menghindari detail, konsekuensinya mungkin bertindak tanpa data yg cukup/akurat, bertindak ceroboh pada hal  yg butuh kecermatan. Dpt mengabaikan proses yg vital dlm evaluasi data.</t>
  </si>
  <si>
    <t>PERAN MENGATUR - Lebih mementingkan fleksibilitas daripada struktur, pendekatan kerja lebih ditentukan oleh situasi daripada oleh perencanaan sebelumnya, mudah beradaptasi.  Tidak mempedulikan keteraturanatau kerapihan, ceroboh.</t>
  </si>
  <si>
    <t>PERAN PENGENDALIAN EMOSI - Sangat terbuka, terus terang, mudah terbaca (dari air muka, tindakan,perkataan, sikap). Tidak dapat mengendalikan emosi, cepat bereaksi, kurang mengindahkan/tidak mempunyai 'nilai' yg mengharuskannya menahan emosi.</t>
  </si>
  <si>
    <t>KEBUTUHAN MENYELESAIKAN TUGAS - Tidak terlalu merasa perlu untuk menuntaskan sendiri tugas-tugasnya, senang menangani beberapa pekerjaan sekaligus, mudah mendelegasikan tugas. Komitmen rendah, cenderung meninggalkan tugas  sebelum tuntas, konsentrasi mudah buyar, mungkin suka berpindah pekerjaan.</t>
  </si>
  <si>
    <t>KEBUTUHAN BERPRESTASI - 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t>
  </si>
  <si>
    <t>KEBUTUHAN MENGATUR ORANG LAIN - Permisif, akan memberikan kesempatan pada orang lain untuk memimpin. Tidak mau mengontrol orang lain dan tidak mau mempertanggung jawabkan hasil kerja bawahannya.</t>
  </si>
  <si>
    <t xml:space="preserve">KEBUTUHAN UNTUK DIPERHATIKAN - Sederhana, rendah hati, tulus, tidak sombong dan tidak suka menampilkan diri. Terlalu sederhana, cenderung merendahkan kapasitas diri, tidak percaya diri, cenderung menarik diri dan pemalu. </t>
  </si>
  <si>
    <t xml:space="preserve">KEBUTUHAN DITERIMA DALAM KELOMPOK - Mandiri ( dari segi emosi ) , tdk mudah dipengaruhi oleh tekanan kelompok. Penyendiri, kurang peka akan sikap &amp; kebutuhan kelompok, mungkin sulit menyesuaikan diri. </t>
  </si>
  <si>
    <t>KEBUTUHAN KEDEKATAN DAN KASIH SAYANG - Menjaga jarak, lebih memperhatikan hal - hal kedinasan, tdk mudah dipengaruhi oleh individu tertentu, objektif &amp; analitis. Tampil dingin,tdk acuh, tdk ramah, suka berahasia, mungkin tdk sadar akan perasaan org lain, &amp; mungkin sulit menyesuaikan diri.</t>
  </si>
  <si>
    <t>KEBUTUHAN AKAN PERUBAHAN - Mudah beradaptasi dg pekerjaan rutin tanpa merasa bosan, tidak membutuhkan variasi, menyukai lingkungan stabil dan tidak berubah. Konservatif, menolak perubahan, sulit menerima hal-hal baru, tidakdapat beradaptasi dengan situasi yg  berbeda-beda.</t>
  </si>
  <si>
    <t>KEBUTUHAN UNTUK AGRESIF - Sabar, tidak menyukai konflik. Mengelak atau menghindar dari konflik,pasif, menekan atau menyembunyikan perasaan sesungguhnya, menghindari konfrontasi, lari dari konflik, tidak mau mengakui adanya konflik.</t>
  </si>
  <si>
    <t>KEBUTUHAN – MEMBANTU ATASAN - Otonom, dapat bekerja sendiri tanpa campur tangan orang lain,motivasi timbul krn pekerjaan itu sendiri, bukan krn pujian dr otoritas. Mempertanyakan otoritas, cenderung tidak puas thdp atasan, loyalitas lebih didasari kepentingan pribadi.</t>
  </si>
  <si>
    <t>KEBUTUHAN MENGIKUTI ATURAN DAN PENGAWASAN - Hanya butuh gambaran ttg kerangka tugas scr garis besar, berpatokan pada tujuan, dpt bekerja dlm suasana yg kurang berstruktur, berinsiatif, mandiri. Tdk patuh, cenderung mengabaikan/tdk paham pentingnya peraturan/prosedur, suka membuat peraturan sendiri yg bisa bertentangan dg yg telah ada.</t>
  </si>
  <si>
    <t>tian</t>
  </si>
  <si>
    <t>han</t>
  </si>
  <si>
    <t>pan</t>
  </si>
  <si>
    <t>pan, tian</t>
  </si>
  <si>
    <t>pan, jan</t>
  </si>
  <si>
    <t>Panker</t>
  </si>
  <si>
    <t>Tianker</t>
  </si>
  <si>
    <t>Janker</t>
  </si>
  <si>
    <t>Hanker</t>
  </si>
  <si>
    <t>Final</t>
  </si>
  <si>
    <t>Rekomendasi</t>
  </si>
  <si>
    <t>Marketing Officer</t>
  </si>
  <si>
    <t>Costumer Service</t>
  </si>
  <si>
    <t>Asisten Administrasi Keuangan </t>
  </si>
  <si>
    <t>Assiten Pelaporan Kredit</t>
  </si>
  <si>
    <t>Teller</t>
  </si>
  <si>
    <t>oke</t>
  </si>
  <si>
    <t>tidak</t>
  </si>
  <si>
    <t>Jabatan</t>
  </si>
  <si>
    <t>Disarankan</t>
  </si>
  <si>
    <t>Dipertimbangkan</t>
  </si>
  <si>
    <t>Tidak disarankan</t>
  </si>
  <si>
    <t>Total</t>
  </si>
  <si>
    <r>
      <t xml:space="preserve">Berdasarkan hasil tes psikologi dan wawancara bahwa dapat disimpulkan  bahwa kesesuaian potensi yang dimiliki oleh </t>
    </r>
    <r>
      <rPr>
        <b/>
        <sz val="10.5"/>
        <color theme="1"/>
        <rFont val="Calibri"/>
        <family val="2"/>
        <scheme val="minor"/>
      </rPr>
      <t>Sdr. Xxx</t>
    </r>
    <r>
      <rPr>
        <sz val="10.5"/>
        <color theme="1"/>
        <rFont val="Calibri"/>
        <family val="2"/>
        <scheme val="minor"/>
      </rPr>
      <t xml:space="preserve"> adalah sebesar </t>
    </r>
    <r>
      <rPr>
        <b/>
        <sz val="10.5"/>
        <color theme="1"/>
        <rFont val="Calibri"/>
        <family val="2"/>
        <scheme val="minor"/>
      </rPr>
      <t>XX %</t>
    </r>
    <r>
      <rPr>
        <sz val="10.5"/>
        <color theme="1"/>
        <rFont val="Calibri"/>
        <family val="2"/>
        <scheme val="minor"/>
      </rPr>
      <t xml:space="preserve"> </t>
    </r>
    <r>
      <rPr>
        <b/>
        <sz val="10.5"/>
        <color theme="1"/>
        <rFont val="Calibri"/>
        <family val="2"/>
        <scheme val="minor"/>
      </rPr>
      <t>Dapat Disarankan/Dipertimbangkan/Tidak Dapat Disarankan</t>
    </r>
    <r>
      <rPr>
        <sz val="8"/>
        <color theme="1"/>
        <rFont val="Calibri"/>
        <family val="2"/>
        <scheme val="minor"/>
      </rPr>
      <t> </t>
    </r>
    <r>
      <rPr>
        <sz val="10.5"/>
        <color theme="1"/>
        <rFont val="Calibri"/>
        <family val="2"/>
        <scheme val="minor"/>
      </rPr>
      <t xml:space="preserve"> sebagai Assistant Development Program dengan posisi sebagai</t>
    </r>
  </si>
  <si>
    <t xml:space="preserve">Berdasarkan hasil tes psikologi dan wawancara bahwa dapat disimpulkan  bahwa kesesuaian potensi yang dimiliki oleh Sdr. </t>
  </si>
  <si>
    <t xml:space="preserve"> adalah sebesar </t>
  </si>
  <si>
    <t xml:space="preserve"> sebagai Assistant Development Program dengan posisi sebagai </t>
  </si>
  <si>
    <t>:</t>
  </si>
  <si>
    <t>Nomor Tes</t>
  </si>
  <si>
    <t>Tempat, Tgl Lahir</t>
  </si>
  <si>
    <t xml:space="preserve">:  </t>
  </si>
  <si>
    <t>Posisi Tujuan</t>
  </si>
  <si>
    <t>Tanggal Tes</t>
  </si>
  <si>
    <t>Deskripsi</t>
  </si>
  <si>
    <t>Karakter</t>
  </si>
  <si>
    <t>Kelebihan</t>
  </si>
  <si>
    <t>Kelemahan</t>
  </si>
  <si>
    <t>Job Match</t>
  </si>
  <si>
    <t>Realistic</t>
  </si>
  <si>
    <t>Investigative</t>
  </si>
  <si>
    <t>Artistic</t>
  </si>
  <si>
    <t>Social</t>
  </si>
  <si>
    <t>Enterpreneurship</t>
  </si>
  <si>
    <t>Conventional</t>
  </si>
  <si>
    <t>Tipe R mengacu pada individu yang memiliki minat utama dalam pekerjaan yang melibatkan aktivitas fisik, keterampilan praktis, dan interaksi dengan lingkungan fisik. Orang-orang dengan tipe ini cenderung merasa nyaman dalam pekerjaan yang memerlukan penggunaan tangan, keterampilan teknis, dan tugas yang bersifat konkret. Individu tipe Realistic memiliki ciri-ciri seperti kemampuan untuk memecahkan masalah fisik, ketertarikan pada mekanik, konstruksi, perbaikan, serta minat pada pekerjaan yang melibatkan alat, mesin, dan bahan fisik. Mereka sering mengejar karier di bidang-bidang seperti konstruksi, manufaktur, teknik, pertanian, atau bidang-bidang yang membutuhkan keterampilan praktis dan tugas fisik.</t>
  </si>
  <si>
    <t>1.	Aktivitas Fisik: Orang tipe R lebih suka pekerjaan yang melibatkan aktivitas fisik, seperti bekerja dengan alat, mesin, atau bahan fisik.
2.	Keterampilan Praktis: Mereka memiliki keterampilan praktis yang kuat, yang meliputi kemampuan dalam penggunaan alat, peralatan, dan perbaikan.
3.	Ketertarikan pada Masalah Konkrit: Mereka lebih cenderung tertarik pada masalah yang memiliki solusi konkret, seperti memecahkan masalah mekanis atau konstruksi.
4.	Tindakan dan Kepemimpinan: Orang tipe R memiliki sifat tindakan dan kepemimpinan. Mereka merasa nyaman dalam situasi yang memerlukan pengambilan keputusan cepat dan tanggung jawab.
5.	Ketertarikan pada Alam: Banyak dari mereka memiliki ketertarikan alam dan lingkungan luar ruangan, serta bekerja di lingkungan yang melibatkan aktivitas di luar ruangan.</t>
  </si>
  <si>
    <t>1.	Keterampilan Praktis: Mereka memiliki keterampilan praktis yang kuat, yang bisa sangat berharga dalam berbagai pekerjaan dan situasi.
2.	Kemampuan Problem Solving: Kemampuan mereka dalam memecahkan masalah konkrit dan teknis dapat membantu mereka menjadi solvers yang andal dalam berbagai konteks.
3.	Tindakan dan Kepemimpinan: Sifat tindakan dan kepemimpinan mereka membuat mereka efektif dalam situasi-situasi yang memerlukan pengambilan keputusan cepat dan penyelesaian masalah.
4.	Keterampilan Fisik: Keterampilan fisik dan tugas praktis yang mereka kuasai membuat mereka ideal untuk pekerjaan yang memerlukan interaksi langsung dengan bahan fisik atau lingkungan.</t>
  </si>
  <si>
    <t>1.	Keterbatasan Pilihan Karier: Keterbatasan dalam minat utama mereka (fokus pada aktivitas fisik dan praktis) dapat membuat pilihan karier mereka kurang beragam.
2.	Ketidakcocokan dengan Pekerjaan Lain: Mereka mungkin merasa kurang cocok dalam pekerjaan yang sangat abstrak, intelektual, atau berorientasi sosial.
3.	Keterbatasan dalam Pekerjaan Kreatif: Pekerjaan yang sangat kreatif mungkin tidak sesuai dengan minat utama mereka, karena tipe R lebih cenderung berfokus pada tugas fisik.</t>
  </si>
  <si>
    <t>1.	Tukang Kayu: Pekerjaan ini memungkinkan mereka untuk menggunakan keterampilan praktis mereka dalam pembuatan atau perbaikan berbagai produk kayu.
2.	Mekanik: Mekanik mobil atau mesin memberikan kesempatan untuk memperbaiki dan merawat kendaraan atau peralatan.
3.	Teknisi Mesin: Teknisi mesin terlibat dalam perawatan dan perbaikan mesin industri.
4.	Pekerja Konstruksi: Pekerja konstruksi bertanggung jawab untuk membangun atau merenovasi bangunan.
5.	Petugas Keamanan: Petugas keamanan bank atau properti mengawasi keamanan fisik suatu tempat.
6.	Petani: Pekerjaan di bidang pertanian memungkinkan mereka untuk berinteraksi dengan alam dan tanah.
7.	Petugas Teknologi Informasi (TI): Di bidang TI, mereka dapat terlibat dalam pemeliharaan perangkat keras dan jaringan.
8.	Petugas Pemeliharaan Fasilitas: Pekerjaan ini melibatkan perawatan fisik fasilitas dan bangunan.
9.	Petugas Layanan Teknis: Mereka dapat membantu pelanggan dalam mengatasi masalah teknis terkait produk atau layanan.
10.	Petugas Logistik: Pekerjaan ini melibatkan manajemen pasokan dan peralatan.</t>
  </si>
  <si>
    <t>Tipe I memiliki minat utama dalam pekerjaan yang melibatkan investigasi, penelitian, analisis, serta pemecahan masalah intelektual. Mereka cenderung mencari pemahaman yang mendalam dan logis dalam berbagai aspek pekerjaan dan lingkungan mereka</t>
  </si>
  <si>
    <t>1.	Kecenderungan Analitis: Orang dengan tipe I cenderung memiliki kemampuan analitis yang kuat. Mereka suka menyusun data, mengidentifikasi pola, dan mengeksplorasi hubungan yang kompleks.
2.	Ketertarikan pada Penelitian: Tipe I memiliki ketertarikan yang tinggi pada penelitian ilmiah dan analisis data. Mereka senang mencari fakta dan informasi.
3.	Kemampuan Berpikir Logis: Mereka sering memiliki kemampuan berpikir logis dan pemikiran kritis yang baik. Hal ini memungkinkan mereka untuk memecahkan masalah yang rumit dengan efektif.
4.	Pencarian Pengetahuan: Orang tipe I cenderung ingin mengeksplorasi dan memahami dunia dengan lebih mendalam. Mereka tertarik pada ilmu pengetahuan, teknologi, dan bidang yang memerlukan pemahaman teknis.
5.	Keinginan untuk Mengeksplorasi: Mereka sering memiliki dorongan untuk menjelajahi ide-ide baru dan konsep yang kompleks, serta mengejar pemahaman yang lebih dalam tentang berbagai subjek.
6.	Minat pada Keakuratan dan Kepastian: Mereka menghargai akurasi, kepastian, dan pemahaman yang tepat dalam pekerjaan dan penelitian mereka.
7.	Kemampuan Berpikir Kreatif: Selain berpikir logis, beberapa individu tipe I juga memiliki kemampuan berpikir kreatif, yang mereka terapkan untuk menemukan solusi yang inovatif.</t>
  </si>
  <si>
    <t>1.	Kemampuan Analitis: Mereka memiliki kemampuan analitis yang kuat, yang membuat mereka ahli dalam pemecahan masalah yang rumit.
2.	Pemahaman yang Mendalam: Tipe I cenderung memahami isu-isu dengan lebih mendalam dan detail, yang dapat berkontribusi pada penemuan dan penelitian ilmiah.
3.	Pengetahuan Teknis: Mereka sering memiliki pengetahuan teknis dan ilmiah yang kuat, yang dapat diaplikasikan dalam berbagai konteks.</t>
  </si>
  <si>
    <t>1.	Terlalu Analitis: Mereka mungkin terjebak dalam analisis yang berlebihan dan kesulitan mengambil keputusan karena ingin memeriksa semua aspek.
2.	Kurang Fleksibilitas: Terkadang, mereka mungkin kurang fleksibel dalam berurusan dengan tugas-tugas praktis yang memerlukan kecepatan dan respons cepat.</t>
  </si>
  <si>
    <t>1.	Ilmuwan: Ilmuwan melakukan penelitian ilmiah dan eksperimen untuk meningkatkan pemahaman kita tentang dunia.
2.	Peneliti Pasar: Peneliti pasar mengumpulkan dan menganalisis data konsumen untuk membantu perusahaan dalam pengambilan keputusan bisnis.
3.	Insinyur: Insinyur merancang, mengembangkan, dan memelihara berbagai sistem dan teknologi.
4.	Dokter atau Ahli Kesehatan: Profesional kesehatan melakukan diagnosis, penelitian, dan pengobatan penyakit.
5.	Ahli Forensik: Ahli forensik mengumpulkan bukti dan menganalisis data dalam penyelidikan kejahatan.
6.	Analisis Data: Analis data bekerja dengan data untuk mengidentifikasi tren, pola, dan wawasan yang dapat membantu pengambilan keputusan.
7.	Programmer Komputer: Programmer mengembangkan dan mengkode perangkat lunak komputer.
8.	Pengajar atau Profesor: Pengajar dan profesor dapat terlibat dalam penelitian dan pembelajaran di berbagai disiplin ilmu.
9.	Dosen Peneliti: Dosen peneliti di perguruan tinggi melakukan penelitian dan mengajar di bidang akademik.</t>
  </si>
  <si>
    <t>Tipe A memiliki minat utama dalam pekerjaan yang melibatkan ekspresi kreatif, seni visual atau pertunjukan, serta imajinasi. Individu dengan tipe A cenderung mengejar pekerjaan yang memungkinkan mereka untuk mengungkapkan diri mereka melalui seni, desain, musik, atau bentuk-bentuk kreativitas lainnya.</t>
  </si>
  <si>
    <t>1.	Ekspresi Kreatif: Orang dengan tipe A memiliki kemampuan untuk berekspresi secara kreatif melalui berbagai media, termasuk seni visual, musik, seni pertunjukan, atau penulisan.
2.	Imajinasi yang Kuat: Mereka sering memiliki imajinasi yang kaya dan mampu berpikir kreatif menciptakan ide-ide baru.
3.	Kesenian dan Seni Visual: Tipe A cenderung memiliki minat dalam seni visual seperti lukisan, fotografi, desain grafis, atau seni pertunjukan seperti teater, tari, atau musik.
4.	Kemampuan Menghasilkan Karya: Mereka bisa menciptakan karya seni, baik itu melalui media fisik atau karya yang bisa diapresiasi, seperti karya seni rupa, karya sastra, atau pertunjukan.
5.	Minat dalam Penciptaan dan Desain: Individu tipe A cenderung tertarik pada proses kreatif, termasuk desain, pembuatan, atau pengembangan ide baru.
6.	Sensitivitas terhadap Emosi: Mereka sering memiliki sensitivitas terhadap emosi dan ekspresi perasaan, yang dapat tercermin dalam karya seni mereka.</t>
  </si>
  <si>
    <t>1.	Kreativitas yang Kuat: Individu tipe Artistic sering memiliki tingkat kreativitas yang tinggi, yang memungkinkan mereka untuk menghasilkan karya seni yang unik dan inovatif.
2.	Ekspresi Diri yang Bebas: Mereka dapat mengekspresikan diri dengan bebas melalui karya seni mereka, yang dapat memberikan kepuasan pribadi.
3.	Imajinasi yang Kaya: Mereka memiliki imajinasi yang kaya, yang memungkinkan mereka untuk berpikir di luar kotak dan menciptakan ide-ide baru.
4.	Sensitivitas terhadap Emosi: Tipe Artistic sering memiliki tingkat sensitivitas yang tinggi terhadap emosi, yang dapat membantu mereka menciptakan karya yang menggugah perasaan.
5.	Kemampuan untuk Berpikir Kreatif: Mereka memiliki kemampuan untuk berpikir kreatif dan menemukan solusi yang inovatif untuk masalah.</t>
  </si>
  <si>
    <t>1.	Ketidak patuhan: Seringkali merasa terlalu bebas dalam berekspresi sehingga kurang peduli dengan tata aturan yang berlaku.
2.	Resiko Ketidakstabilan Emosi: Keterbatasan dalam menuangkan ide atau respon yang tidak diharapkan dari lingkungan atas karya yang dihasilkan
3.	Kesulitan dalam Penerimaan Kritik: Beberapa individu tipe Artistic mungkin sulit menerima kritik terhadap karya seni mereka, karena karya tersebut sering memiliki nilai emosional yang tinggi.</t>
  </si>
  <si>
    <t>1.	Periklanan dan Pemasaran: Pekerjaan di bidang periklanan dan pemasaran memerlukan kemampuan kreatif dalam merancang kampanye iklan, materi promosi, atau strategi pemasaran yang menarik.
2.	Desain Interior: Desainer interior menciptakan ruang yang estetis dan fungsional untuk klien mereka, menggabungkan kreativitas dengan aspek-aspek praktis.
3.	Desain Mode: Meskipun terkait dengan seni, desain mode juga melibatkan aspek fungsional dan komersial, yang dapat menarik bagi individu tipe Artistic.
4.	Arsitek: Arsitek merancang bangunan dan struktur dengan mempertimbangkan aspek estetika dan fungsionalitas.
5.	Desain Produk: Desainer produk menciptakan produk yang menggabungkan desain estetis dengan fungsi yang baik.
6.	Penulisan Kreatif: Menulis bukan hanya tentang seni sastra, tetapi juga mencakup bidang seperti penulisan konten pemasaran, penulisan skenario, atau penulisan skripsi.
7.	Fotografi: Selain seni, fotografi juga memiliki aplikasi dalam bidang seperti jurnalisme, periklanan, dan fotografi pernikahan.
8.	Konsultan Kreatif: Menawarkan layanan konsultasi kreatif untuk berbagai perusahaan atau individu yang membutuhkan ide-ide inovatif.
9.	Desain Grafis: Desain grafis digunakan dalam berbagai konteks, termasuk media, perusahaan, dan desain web.
10.	Pekerjaan di Industri Hiburan: Pekerjaan di bidang hiburan seperti penyutradaraan, penulisan naskah, dan perencanaan acara memungkinkan individu untuk mengekspresikan kreativitas mereka.
11.	Jurnalis Foto: Fotografer yang berfokus pada jurnalisme foto dapat menggabungkan kreativitas dengan pelaporan berita.
12.	Pekerjaan di Bidang Sains dan Teknologi: Terkadang, tipe Artistic dapat menemukan cara untuk mengintegrasikan kreativitas mereka dalam pekerjaan ilmiah atau teknis, seperti komunikasi ilmiah atau desain interaksi pengguna (UI/UX).
13.	Pekerjaan di Bidang Desain Permainan: Industri game menggabungkan unsur-unsur kreatif dengan teknologi dan interaktivitas.
14.	Kurator Museum: Mereka dapat berkontribusi pada pengaturan pameran dan interpretasi seni di museum.</t>
  </si>
  <si>
    <t>Tipe S memiliki minat utama dalam pekerjaan yang melibatkan interaksi sosial, keterlibatan dengan orang lain, dan pelayanan masyarakat. Mereka cenderung mencari pekerjaan yang memungkinkan mereka untuk berhubungan dengan orang lain, memberikan dukungan, dan berpartisipasi dalam kegiatan yang bersifat sosial.</t>
  </si>
  <si>
    <t>1.	Kemampuan Komunikasi yang Baik: Individu tipe S cenderung memiliki kemampuan komunikasi yang kuat, yang memungkinkan mereka untuk berinteraksi dengan orang lain dengan efektif.
2.	Kemampuan Empati: Mereka sering memiliki kemampuan empati yang baik, yang memungkinkan mereka untuk memahami perasaan dan kebutuhan orang lain.
3.	Keterlibatan dalam Pelayanan Masyarakat: Tipe S cenderung tertarik pada pekerjaan yang melibatkan pelayanan masyarakat, seperti pekerjaan di sektor non-profit atau organisasi amal.
4.	Keterlibatan dalam Pekerjaan Sosial: Individu dengan tipe S mungkin tertarik pada pekerjaan sosial seperti konselor, terapis, pekerja sosial, atau guru.
5.	Pekerjaan yang Melibatkan Kolaborasi: Mereka sering mencari pekerjaan yang melibatkan kerja sama tim dan kolaborasi dengan orang lain.
6.	Pembangunan Hubungan: Tipe S cenderung memprioritaskan pembangunan hubungan sosial yang kuat dalam pekerjaan mereka.
7.	Pekerjaan dalam Pelayanan Kesehatan: Beberapa individu tipe S mungkin tertarik pada pekerjaan dalam bidang kesehatan, seperti perawat, dokter, atau terapis fisik.
8.	Kesediaan untuk Membantu Orang Lain: Mereka cenderung bersedia untuk memberikan dukungan dan membantu orang lain dalam berbagai konteks.</t>
  </si>
  <si>
    <t>1.	Kemampuan Komunikasi yang Kuat: Individu tipe S sering memiliki kemampuan komunikasi yang baik, yang memungkinkan mereka untuk berinteraksi dengan orang lain secara efektif.
2.	Kemampuan Empati: Mereka cenderung memiliki tingkat empati yang tinggi, sehingga dapat memahami dan merespons perasaan serta kebutuhan orang lain dengan baik.
3.	Keterampilan dalam Membangun Hubungan: Tipe S sering memiliki kemampuan yang baik dalam membangun hubungan sosial yang kuat dan positif.
4.	Pengalaman dalam Pekerjaan Sosial: Mereka mungkin memiliki pengalaman atau pengetahuan yang kuat dalam bidang pekerjaan sosial, yang dapat menjadi aset dalam berbagai pekerjaan.
5.	Kemauan untuk Membantu Orang Lain: Mereka memiliki kesediaan yang tinggi untuk memberikan dukungan, membantu, dan melayani orang lain.</t>
  </si>
  <si>
    <t>1.	Terlalu Sensitif terhadap Perasaan Orang Lain: Terkadang, individu tipe S dapat menjadi terlalu sensitif terhadap perasaan orang lain, yang dapat mengganggu keputusan atau tindakan yang obyektif.
2.	Kesulitan dalam Mengelola Konflik: Mereka mungkin menghindari konflik atau memiliki kesulitan dalam mengelolanya, terutama jika itu melibatkan orang-orang yang mereka pedulikan.
3.	Keterbatasan dalam Pengambilan Keputusan yang Berfokus pada Bisnis: Dalam konteks bisnis, mereka mungkin perlu bekerja untuk menjaga keseimbangan antara empati dan pengambilan keputusan yang rasional.</t>
  </si>
  <si>
    <t>1.	Manajemen Sumber Daya Manusia (HR): Dalam peran HR, mereka dapat membantu membangun budaya organisasi yang mendukung kesejahteraan karyawan dan kolaborasi.
2.	Pengembangan Produk dan Layanan Pelanggan: Berfokus pada pengembangan produk atau layanan yang memenuhi kebutuhan pelanggan dan berinteraksi dengan pelanggan untuk memahami umpan balik mereka.
3.	Pekerjaan dalam Pengajaran atau Pelatihan: Mereka dapat menjadi instruktur atau pelatih dalam berbagai konteks, membagikan pengetahuan dan keterampilan mereka kepada orang lain.
4.	Manajemen Acara: Mengatur dan mengelola acara-acara seperti konferensi, seminar, atau acara budaya.
5.	Bisnis Kewirausahaan: Berbisnis sendiri dalam bidang yang menawarkan produk atau layanan yang memberikan manfaat sosial atau mempromosikan hubungan positif.
6.	Manajemen Proyek: Memimpin dan mengelola proyek-proyek dengan fokus pada kolaborasi dan interaksi sosial.
7.	Pekerjaan di Sektor Pariwisata: Pekerjaan yang melibatkan pengaturan perjalanan, resepsi tamu, atau promosi destinasi.
8.	Manajemen Restoran atau Hotel: Berfokus pada pelayanan pelanggan dan memastikan pengalaman positif bagi tamu.
9.	Pekerjaan di Pelayanan Kesehatan Non-Klinis: Peran seperti manajer pelayanan kesehatan atau administrator rumah sakit.
10.	Bidang Konseling Karier: Membantu individu dalam pengambilan keputusan karier dan pengembangan profesional.</t>
  </si>
  <si>
    <t>Tipe E memiliki minat utama dalam pekerjaan yang melibatkan kepemimpinan, inisiatif, wirausaha, serta kemampuan berkomunikasi dan mempengaruhi orang lain. Orang-orang dengan tipe E cenderung mencari peluang untuk berinteraksi dengan orang lain, memimpin, memotivasi, dan mencapai tujuan karier atau bisnis.</t>
  </si>
  <si>
    <t>1.	Kemampuan Berbicara dan Memimpin: Orang dengan tipe E memiliki kemampuan komunikasi yang kuat dan cenderung merasa nyaman dalam situasi kepemimpinan.
2.	Kreativitas dalam Bisnis: Mereka sering memiliki jiwa wirausaha dan dapat mengidentifikasi peluang bisnis serta mengembangkan ide-ide inovatif.
3.	Pengambilan Risiko yang Terkontrol: Individu tipe E cenderung bersedia mengambil risiko yang terkendali dan melihat peluang dalam situasi yang lain mungkin anggap berisiko.
4.	Negosiasi dan Penjualan: Mereka sering memiliki keterampilan dalam negosiasi, penjualan, dan mempengaruhi orang lain untuk mencapai tujuan bersama.
5.	Keinginan untuk Sukses Bisnis: Tipe E cenderung berorientasi pada kesuksesan dalam bisnis dan berpikir strategis dalam mencapai tujuan karier mereka.
6.	Inisiatif: Mereka cenderung aktif mengambil inisiatif dalam situasi pekerjaan dan bisnis.
7.	Kesadaran akan Peluang: Tipe E dapat dengan cepat mengidentifikasi peluang dalam lingkungan mereka dan bergerak untuk memanfaatkannya.
8.	Keterampilan dalam Manajemen dan Organisasi: Mereka mungkin memiliki kemampuan manajemen yang kuat, baik dalam mengatur bisnis mereka sendiri maupun dalam mengelola tim atau proyek.</t>
  </si>
  <si>
    <t>1.	Kepemimpinan yang Kuat: Individu tipe E sering memiliki kemampuan kepemimpinan yang kuat, yang memungkinkan mereka untuk memotivasi orang lain dan mencapai tujuan bersama.
2.	Wirausaha dan Inovatif: Mereka cenderung memiliki bakat wirausaha dan kemampuan untuk mengidentifikasi peluang bisnis serta mengembangkan ide-ide inovatif.
3.	Kemampuan Komunikasi yang Kuat: Tipe E memiliki kemampuan komunikasi yang baik, yang memungkinkan mereka untuk berinteraksi dengan orang lain dengan efektif.
4.	Kemampuan Negosiasi dan Penjualan: Mereka sering memiliki keterampilan negosiasi dan penjualan yang berguna dalam berbagai konteks profesional.
5.	Kesadaran akan Peluang: Individu tipe E cenderung peka terhadap peluang dan bisa mengambil tindakan untuk memanfaatkannya.
6.	Inisiatif: Mereka memiliki inisiatif dan kemauan untuk mengambil tindakan dalam mencapai tujuan mereka.</t>
  </si>
  <si>
    <t>1.	Terlalu  Kompetitif: Tipe E mungkin menjadi sangat kompetitif dalam mencapai tujuan mereka, yang dapat mengarah pada tekanan dan stres yang tinggi.
2.	Resiko yang Tinggi: Karena kecenderungan untuk mengambil risiko, individu tipe E mungkin menghadapi risiko finansial atau profesional yang tinggi dalam usaha bisnis.
3.	Kurangnya Kesabaran: Mereka mungkin kurang sabar dalam menghadapi situasi yang memerlukan waktu yang lebih lama untuk mencapai hasil yang diharapkan.</t>
  </si>
  <si>
    <t>1.	Pengusaha: Berbisnis sendiri dan mengembangkan perusahaan atau startup.
2.	Manajer Proyek: Memimpin dan mengelola proyek-proyek yang melibatkan berbagai orang dan sumber daya.
3.	Pemasar: Merencanakan, mengembangkan, dan mengimplementasikan strategi pemasaran untuk produk atau layanan.
4.	Pengembang Bisnis: Bertanggung jawab untuk mengidentifikasi peluang bisnis, mengembangkan strategi pertumbuhan, dan memperluas bisnis.
5.	Manajer Tim: Memimpin dan mengelola tim dalam organisasi.
6.	Sales Manager: Bertanggung jawab atas manajemen penjualan dan pengembangan strategi penjualan.
7.	Konsultan Bisnis: Memberikan konsultasi kepada perusahaan atau individu dalam berbagai aspek bisnis.
8.	Wirausaha Sosial: Memadukan tujuan bisnis dengan tujuan sosial dalam usaha mereka.
9.	Dosen Bisnis: Mengajar dan memberikan pengetahuan bisnis kepada mahasiswa atau peserta pelatihan.
10.	Broker Keuangan: Membantu individu dan perusahaan dalam pengelolaan keuangan dan investasi.</t>
  </si>
  <si>
    <t>Tipe C memiliki minat utama dalam pekerjaan yang melibatkan pengaturan, pengendalian, dan pematuhan terhadap aturan, prosedur, dan standar yang telah ditetapkan. Mereka cenderung mencari pekerjaan yang memerlukan ketelitian, perencanaan, dan pemantauan untuk mencapai tujuan yang telah ditetapkan.</t>
  </si>
  <si>
    <t>1.	Kemampuan Organisasi: Individu tipe C cenderung memiliki kemampuan organisasi yang baik, yang memungkinkan mereka untuk mengatur dan mengelola informasi, tugas, dan proses dengan efisien.
2.	Kemampuan Pemecahan Masalah: Mereka sering memiliki kemampuan untuk mengidentifikasi masalah dan mengembangkan solusi yang sistematis.
3.	Ketelitian dan Kepedulian terhadap Detail: Tipe C cenderung sangat peduli terhadap detail dan akan bekerja dengan teliti untuk memastikan tugas dan pekerjaan mereka dilakukan dengan benar.
4.	Pentingnya Aturan dan Prosedur: Mereka sangat memperhatikan aturan, prosedur, dan standar yang telah ditetapkan, dan cenderung mematuhi mereka dengan ketat.
5.	Ketertarikan dalam Bidang Keuangan dan Akuntansi: Beberapa individu tipe C mungkin tertarik pada pekerjaan dalam bidang keuangan, akuntansi, atau administrasi.
6.	Keterampilan dalam Pengelolaan Data: Mereka sering memiliki keterampilan dalam pengumpulan, analisis, dan presentasi data.
7.	Keinginan untuk Menghindari Resiko: Tipe C cenderung memilih pekerjaan yang memiliki tingkat risiko yang rendah dan lebih dapat diandalkan.
8.	Penghargaan terhadap Rutinitas: Mereka sering merasa nyaman dengan rutinitas dan pekerjaan yang memiliki tugas-tugas yang terstruktur.</t>
  </si>
  <si>
    <t>1.	Kemampuan Organisasi yang Kuat: Individu tipe C memiliki kemampuan organisasi yang sangat baik, yang memungkinkan mereka mengatur tugas dan proses dengan efisien.
2.	Ketelitian yang Tinggi: Mereka sangat peduli terhadap detail dan akan bekerja dengan sangat teliti untuk memastikan pekerjaan dilakukan dengan benar.
3.	Pemecahan Masalah yang Sistematis: Tipe C cenderung mendekati masalah dengan cara yang sistematis dan mengembangkan solusi yang terstruktur.
4.	Kepatuhan terhadap Aturan dan Prosedur: Mereka sangat mematuhi aturan, prosedur, dan standar yang ditetapkan.
5.	Ketertarikan pada Bidang Keuangan: Beberapa individu tipe C mungkin memiliki minat yang kuat dalam bidang keuangan, akuntansi, dan administrasi.</t>
  </si>
  <si>
    <t>1.	Keterbatasan dalam Kreativitas: Terlalu fokus pada rutinitas dan aturan tertentu dapat membatasi kreativitas dan inovasi.
2.	Kesulitan dalam Menghadapi Perubahan: Tipe C mungkin kesulitan beradaptasi dengan perubahan atau situasi yang tidak terstruktur.
3.	Penghindaran Risiko Berlebihan: Mereka cenderung menghindari risiko secara berlebihan, yang dapat menghambat pengembangan karier atau pertumbuhan bisnis.
4.	Kesulitan dalam Berinteraksi dengan Situasi Sosial yang Tidak Terstruktur: Tipe C mungkin merasa tidak nyaman dalam situasi sosial yang tidak terstruktur atau mengharuskan improvisasi.</t>
  </si>
  <si>
    <t>1.	Akuntan: Memproses laporan keuangan, mengaudit, dan mengelola informasi keuangan.
2.	Administrator Bisnis: Bertanggung jawab atas manajemen operasional, administrasi, dan perencanaan bisnis.
3.	Petugas Data Entry: Memasukkan dan mengelola data dalam basis data atau sistem informasi.
4.	Pegawai Keuangan: Mengelola aspek keuangan perusahaan, termasuk anggaran, pelaporan, dan analisis keuangan.
5.	Manajer Proyek: Mengelola proyek-proyek dengan mengatur dan mengawasi setiap tahapan.
6.	Manajer Operasi: Bertanggung jawab atas operasi harian perusahaan dan pengelolaan staf.
7.	Asisten Eksekutif: Mendukung eksekutif dalam tugas-tugas administrasi dan pengelolaan jadwal.
8.	Koordinator Acara: Mengorganisasi dan mengelola acara-acara khusus atau konferensi.
9.	Spesialis Data Analisis: Menganalisis data untuk menghasilkan wawasan yang mendukung pengambilan keputusan.
10.	Auditor: Memeriksa dan mengaudit catatan keuangan dan proses bisnis untuk memastikan kepatuhan dan akurasi.</t>
  </si>
  <si>
    <t>No</t>
  </si>
  <si>
    <t>Kategori</t>
  </si>
  <si>
    <t>%</t>
  </si>
  <si>
    <t>Area Pengembagan</t>
  </si>
  <si>
    <t>-</t>
  </si>
  <si>
    <t>1.
2.
3.
dst</t>
  </si>
  <si>
    <t>Alternatif 1</t>
  </si>
  <si>
    <t>Alternatif 2</t>
  </si>
  <si>
    <t>Alternatif 3</t>
  </si>
  <si>
    <t>Gregorius Goklas Silaban</t>
  </si>
  <si>
    <t>Yesania Anggrainie</t>
  </si>
  <si>
    <t>Normiati</t>
  </si>
  <si>
    <t>Juan pintaryo</t>
  </si>
  <si>
    <t>VIKI RAMADHAN</t>
  </si>
  <si>
    <t>Frederikus Fredynaldo</t>
  </si>
  <si>
    <t>SHIMON WASHI RIKO</t>
  </si>
  <si>
    <t>Muhammad Ridha</t>
  </si>
  <si>
    <t>AYUMI TRASTIDELIANANDITA</t>
  </si>
  <si>
    <t>GUSTI NIA MULGINA</t>
  </si>
  <si>
    <t>Clarissa Phelia Winona</t>
  </si>
  <si>
    <t>Jelika Maharani</t>
  </si>
  <si>
    <t>ALEXNANDAR PUTRA</t>
  </si>
  <si>
    <t>AKBAR YANUAR RAMA DHANI</t>
  </si>
  <si>
    <t>Karina yayang</t>
  </si>
  <si>
    <t>Ni Wayan Gita Noviani</t>
  </si>
  <si>
    <t>JOSE IMANUEL</t>
  </si>
  <si>
    <t>Novia Nurjanah</t>
  </si>
  <si>
    <t>Febrianthi Regina Adelika</t>
  </si>
  <si>
    <t>MIGEL YORDAN</t>
  </si>
  <si>
    <t>Yorannisa maharlita</t>
  </si>
  <si>
    <t>Peggy livia novianty</t>
  </si>
  <si>
    <t>NIKITA APRILIA</t>
  </si>
  <si>
    <t>SITI NORCHALISA</t>
  </si>
  <si>
    <t>CHINDI MERTIS</t>
  </si>
  <si>
    <t>NONI FITRIAH INDARSIH</t>
  </si>
  <si>
    <t>Muhammad Sesar Anikat Putra</t>
  </si>
  <si>
    <t>Fitriana</t>
  </si>
  <si>
    <t>Agung Dwi Putra</t>
  </si>
  <si>
    <t>Indra Natanael</t>
  </si>
  <si>
    <t>Andika Nyuwito</t>
  </si>
  <si>
    <t>Kevin Savazio Ramadhana</t>
  </si>
  <si>
    <t>MAYA SIOKLAN</t>
  </si>
  <si>
    <t>Novanza Pebrianata</t>
  </si>
  <si>
    <t>Muhammad amin</t>
  </si>
  <si>
    <t>Aljo Leonardo</t>
  </si>
  <si>
    <t>Muhammad Rafi</t>
  </si>
  <si>
    <t>Helen Oktamonica</t>
  </si>
  <si>
    <t>Johanes Wavo</t>
  </si>
  <si>
    <t>ADI NOVARI CHANDRA</t>
  </si>
  <si>
    <t>Dita Oktarini Thea</t>
  </si>
  <si>
    <t>RIPATUL MAHMUDAH</t>
  </si>
  <si>
    <t>Pauzul Kamilah Purnomo Putri</t>
  </si>
  <si>
    <t>HARYO TEGUH KURNIAWAN</t>
  </si>
  <si>
    <t>Tifan Aqilla</t>
  </si>
  <si>
    <t>MIKHO IRALDA DEWEL</t>
  </si>
  <si>
    <t>GIOVANNI ULIMA NIBRAS</t>
  </si>
  <si>
    <t>TULUS PUTRA NUSANTARA</t>
  </si>
  <si>
    <t>MAISIE CLARESTA</t>
  </si>
  <si>
    <t>Bella Marcelina Putri</t>
  </si>
  <si>
    <t>Steven wisnu cahya putra</t>
  </si>
  <si>
    <t>Dian Aswari</t>
  </si>
  <si>
    <t>Winda Melania</t>
  </si>
  <si>
    <t>NADYA ALFIANA A. R.</t>
  </si>
  <si>
    <t>Yuvita Sulisti</t>
  </si>
  <si>
    <t>Dessika Natallia</t>
  </si>
  <si>
    <t>GENE GIUSTI NYUNTING</t>
  </si>
  <si>
    <t>Nanda Satriyani Dewi</t>
  </si>
  <si>
    <t>SATRIA NUGRAHA</t>
  </si>
  <si>
    <t>Muhammad Azwar Reza</t>
  </si>
  <si>
    <t>RIZKI SURYA RISNANDA</t>
  </si>
  <si>
    <t>Innocent Passage</t>
  </si>
  <si>
    <t>Efranata</t>
  </si>
  <si>
    <t>Tri Novani</t>
  </si>
  <si>
    <t>INDAH DIRZA LESTARI</t>
  </si>
  <si>
    <t>FONIVEBRISIA LOMANTRI SUSIANA BENU</t>
  </si>
  <si>
    <t>Elizabeth</t>
  </si>
  <si>
    <t>Yolanda Amelia</t>
  </si>
  <si>
    <t>RICHARD FRIZTGERALD ELVIRO HARAPAN LAMBUNG</t>
  </si>
  <si>
    <t>Willy Jaya Putra</t>
  </si>
  <si>
    <t>AMARETA KRISTINA KESUMADEWI</t>
  </si>
  <si>
    <t>Arilla Pasca Rindary</t>
  </si>
  <si>
    <t>CHINTYA PRISCA PRICILLA</t>
  </si>
  <si>
    <t>Istiningtyas Nurdzahabiyyah</t>
  </si>
  <si>
    <t>Aulia Rosita Meilya Devi</t>
  </si>
  <si>
    <t>ALFINA DAMAYANTI</t>
  </si>
  <si>
    <t>AGUSTIN NIARA PUTRI</t>
  </si>
  <si>
    <t>MARZUQ ZAIDAN PRAMUDYARANA</t>
  </si>
  <si>
    <t>Stefanus Alexander Imanuel Amann</t>
  </si>
  <si>
    <t>RAHMAT HIDAYAT</t>
  </si>
  <si>
    <t>Gusti Riswanda Himawan</t>
  </si>
  <si>
    <t>JOJEFFREY ETTER</t>
  </si>
  <si>
    <t>Ade Anugrya Yahya</t>
  </si>
  <si>
    <t>Alqodrianto</t>
  </si>
  <si>
    <t>Firman Vajero Hutajulu</t>
  </si>
  <si>
    <t>MISRANSYAH</t>
  </si>
  <si>
    <t>Dodi irwandi</t>
  </si>
  <si>
    <t>DWIKY KRISTINALALA</t>
  </si>
  <si>
    <t>Aditya Bima Ujiano</t>
  </si>
  <si>
    <t>Senprianthi</t>
  </si>
  <si>
    <t>SENDRA LASMANA</t>
  </si>
  <si>
    <t>PATRICIA AURORA OKTRIBELLA</t>
  </si>
  <si>
    <t>ISRADIANOOR</t>
  </si>
  <si>
    <t>ARI PRABOWO</t>
  </si>
  <si>
    <t>Hanna Fikriyani</t>
  </si>
  <si>
    <t>EMMA PURNAMASARI</t>
  </si>
  <si>
    <t>Natasya Yesvitha Putrianti</t>
  </si>
  <si>
    <t>Kristy Adelia Gayatri</t>
  </si>
  <si>
    <t>JOYNATHAN WILDAN FERNANDA</t>
  </si>
  <si>
    <t>NAUFAL ZAKI MABHUT</t>
  </si>
  <si>
    <t>Vicitra Pradyavita</t>
  </si>
  <si>
    <t>ALDI ANUR</t>
  </si>
  <si>
    <t>Rania Nabilla Putri</t>
  </si>
  <si>
    <t>M. IHSAN NUR RASID</t>
  </si>
  <si>
    <t>Niko Rezalfino</t>
  </si>
  <si>
    <t>Adittia Hermawan</t>
  </si>
  <si>
    <t>Erina Adeline</t>
  </si>
  <si>
    <t>DHIENDA ZIANSIS NATASHA UNJUNG</t>
  </si>
  <si>
    <t>Dwi chandra achmad saputra</t>
  </si>
  <si>
    <t>Aprian Herva Indra Pratama</t>
  </si>
  <si>
    <t>Maharani Kartika Ariesta</t>
  </si>
  <si>
    <t>FILDAE EKA FERRILYA</t>
  </si>
  <si>
    <t>Dewi Amalina</t>
  </si>
  <si>
    <t>Afifah Ayura Firdaus</t>
  </si>
  <si>
    <t>Nova Sari</t>
  </si>
  <si>
    <t>ALEXANDRO BARRENT</t>
  </si>
  <si>
    <t>Nawang Aprillia Sekar Jati</t>
  </si>
  <si>
    <t>Angelina priscilla</t>
  </si>
  <si>
    <t>HENGKI SAFARJI</t>
  </si>
  <si>
    <t>Alvin Titan Puryamadha</t>
  </si>
  <si>
    <t>Dhea Meisty Valega</t>
  </si>
  <si>
    <t>MELDA RESKIONY SITORUS</t>
  </si>
  <si>
    <t>WILLY YULIANO</t>
  </si>
  <si>
    <t>Jihan Dwi Insani</t>
  </si>
  <si>
    <t>Reyana claudia valentin</t>
  </si>
  <si>
    <t>Mega Maria Sibagariang</t>
  </si>
  <si>
    <t>Indra Bagus Christiawan</t>
  </si>
  <si>
    <t>REGINA NURHALIZA PUTRI</t>
  </si>
  <si>
    <t>ADITACAHYA ARISETASYA</t>
  </si>
  <si>
    <t>TRI SAPUTRA SITOHANG</t>
  </si>
  <si>
    <t>MUHAMMAD HASBI</t>
  </si>
  <si>
    <t>Dimas Prayoga</t>
  </si>
  <si>
    <t>Grace Sela Wahyuni Devi</t>
  </si>
  <si>
    <t>PUTRI RAMADHANA</t>
  </si>
  <si>
    <t>Elfindo Redie</t>
  </si>
  <si>
    <t>Hannia Yuliana Sapangan</t>
  </si>
  <si>
    <t>SHERINA TERESIA</t>
  </si>
  <si>
    <t>ROSSAIDA IRIANI</t>
  </si>
  <si>
    <t>Ameido Yonathan</t>
  </si>
  <si>
    <t>Elvi Agustina</t>
  </si>
  <si>
    <t>ADITYA PRABOWO</t>
  </si>
  <si>
    <t>MUCH ICHSAN</t>
  </si>
  <si>
    <t>DEFRIZAL WIRATAMA</t>
  </si>
  <si>
    <t>NUGRAHA EKATAMA</t>
  </si>
  <si>
    <t>RAUDHATUL JANNAH</t>
  </si>
  <si>
    <t>NADYA OKTAVIA</t>
  </si>
  <si>
    <t>ALDO ALESSANDRO TUKAT</t>
  </si>
  <si>
    <t>Tarutung, 25 April 1998</t>
  </si>
  <si>
    <t>Sampit, 28 September 1996</t>
  </si>
  <si>
    <t>Palangkaraya, 23 September 1999</t>
  </si>
  <si>
    <t>Basarang, 22 November 1996</t>
  </si>
  <si>
    <t>Sampit, 05 November 1997</t>
  </si>
  <si>
    <t>Palangka Raya, 04 November 1998</t>
  </si>
  <si>
    <t>Banjarmasin, 30 April 1998</t>
  </si>
  <si>
    <t>Kuala Kuayan, 11 September 1997</t>
  </si>
  <si>
    <t>Palangka Raya, 08 September 1994</t>
  </si>
  <si>
    <t>Pangkalan Bun, 27 September 1998</t>
  </si>
  <si>
    <t>Palangka Raya, 07 April 1999</t>
  </si>
  <si>
    <t>Kuala Pembuang, 23 September 1999</t>
  </si>
  <si>
    <t>Buntok, 13 November 1998</t>
  </si>
  <si>
    <t>Muara Teweh, 23 November 1997</t>
  </si>
  <si>
    <t>Banjarbaru, 13 September 1997</t>
  </si>
  <si>
    <t>Kuala Kapuas, 21 November 2000</t>
  </si>
  <si>
    <t>Palangka Raya, 10 November 1996</t>
  </si>
  <si>
    <t>Palangka Raya, 04 April 2000</t>
  </si>
  <si>
    <t>Palangka Raya, 18 November 1998</t>
  </si>
  <si>
    <t>Banjarmasin, 05 September 2000</t>
  </si>
  <si>
    <t>Kampung Baru, 10 April 2000</t>
  </si>
  <si>
    <t>Palangka Raya, 24 September 1998</t>
  </si>
  <si>
    <t>Gunung Mas, 12 September 2002</t>
  </si>
  <si>
    <t>Pangkalan Bun, 06 November 1995</t>
  </si>
  <si>
    <t>Juking Sopan, 12 April 1996</t>
  </si>
  <si>
    <t>Kuala Kapuas, 28 November 1997</t>
  </si>
  <si>
    <t>Palangka Raya, 26 November 1999</t>
  </si>
  <si>
    <t>Palangka Raya, 25 November 1995</t>
  </si>
  <si>
    <t>Banjarbaru, 28 November 2000</t>
  </si>
  <si>
    <t>Palangka Raya, 09 September 1999</t>
  </si>
  <si>
    <t>Kuala Kapuas, 25 September 1997</t>
  </si>
  <si>
    <t>Pangkalan Bun, 24 April 2001</t>
  </si>
  <si>
    <t>Palangka Raya, 13 April 1997</t>
  </si>
  <si>
    <t>Palangka Raya, 09 November 2000</t>
  </si>
  <si>
    <t>Nganjuk, 22 April 1999</t>
  </si>
  <si>
    <t>Yogyakarta, 09 November 1999</t>
  </si>
  <si>
    <t>Banjarmasin, 21 September 2000</t>
  </si>
  <si>
    <t>Palangka Raya, 28 September 1997</t>
  </si>
  <si>
    <t>Palangka Raya, 21 April 1999</t>
  </si>
  <si>
    <t>Banjarmasin, 24 April 1998</t>
  </si>
  <si>
    <t>Palangka Raya, 16 Mei 1996</t>
  </si>
  <si>
    <t>Pundu, 11 Juli 1996</t>
  </si>
  <si>
    <t>Palangka Raya, 01 Juli 1999</t>
  </si>
  <si>
    <t>Palangka Raya, 02 Januari 1996</t>
  </si>
  <si>
    <t>Kuala Kapuas, 21 Desember 2000</t>
  </si>
  <si>
    <t>Palangka Raya, 18 Juli 1997</t>
  </si>
  <si>
    <t>Palangka Raya, 15 Oktober 2000</t>
  </si>
  <si>
    <t>Sapporo, 12 Februari 2000</t>
  </si>
  <si>
    <t>Palangka Raya, 28 Oktober 1999</t>
  </si>
  <si>
    <t>Palangkaraya, 17 Desember 1999</t>
  </si>
  <si>
    <t>Palangka Raya, 28 Januari 1998</t>
  </si>
  <si>
    <t>Gunung Mas, 09 Juli 1998</t>
  </si>
  <si>
    <t>Malang, 26 Oktober 1995</t>
  </si>
  <si>
    <t>Buntok, 11 Februari 1998</t>
  </si>
  <si>
    <t>Palangka Raya, 04 Mei 2001</t>
  </si>
  <si>
    <t>Sampit, 19 Juni 1999</t>
  </si>
  <si>
    <t>Tumbang Hiran, 26 Mei 1999</t>
  </si>
  <si>
    <t>Baruyan, 10 Juli 1997</t>
  </si>
  <si>
    <t>Gohong, 29 Maret 2002</t>
  </si>
  <si>
    <t>Palangka Raya, 09 Desember 1999</t>
  </si>
  <si>
    <t>Palangka Raya, 03 Februari 1999</t>
  </si>
  <si>
    <t>Pangkalan Bun, 13 Februari 1995</t>
  </si>
  <si>
    <t>Palangka Raya, 01 Juli 1997</t>
  </si>
  <si>
    <t>Buntok, 10 Oktober 1998</t>
  </si>
  <si>
    <t>Manusup, 15 Juli 1998</t>
  </si>
  <si>
    <t>Gantung Pengayuh, 24 Januari 2000</t>
  </si>
  <si>
    <t>Buntok, 26 Juni 2000</t>
  </si>
  <si>
    <t>Kuala Kapuas, 17 Juni 2000</t>
  </si>
  <si>
    <t>Palangka Raya, 20 Maret 1999</t>
  </si>
  <si>
    <t>Tangerang, 09 Oktober 1995</t>
  </si>
  <si>
    <t>Banjarmasin, 17 Mei 1999</t>
  </si>
  <si>
    <t>Sampit, 17 Maret 1999</t>
  </si>
  <si>
    <t>Aek Baru Jae, 29 Oktober 1997</t>
  </si>
  <si>
    <t>Tumbang Lahang, 15 Oktober 1998</t>
  </si>
  <si>
    <t>Ciamis, 11 Februari 2000</t>
  </si>
  <si>
    <t>Katimpun, 13 Januari 2000</t>
  </si>
  <si>
    <t>Tumbang Lahang, 23 Desember 1998</t>
  </si>
  <si>
    <t>Muara Teweh, 04 Oktober 1999</t>
  </si>
  <si>
    <t>Sampit, 04 Juni 1999</t>
  </si>
  <si>
    <t>Perigi, 12 Desember 1995</t>
  </si>
  <si>
    <t>Palangka Raya, 31 Desember 1999</t>
  </si>
  <si>
    <t>Jangkit, 24 Desember 1998</t>
  </si>
  <si>
    <t>Palangkaraya, 12 Juli 2001</t>
  </si>
  <si>
    <t>Palangka Raya, 16 Februari 1995</t>
  </si>
  <si>
    <t>Palangka Raya, 18 Maret 2001</t>
  </si>
  <si>
    <t>Kuala Kapuas, 27 Oktober 1999</t>
  </si>
  <si>
    <t>Sampit, 11 Juli 1999</t>
  </si>
  <si>
    <t>Bandung, 15 Januari 1997</t>
  </si>
  <si>
    <t>Jombang, 23 Mei 2000</t>
  </si>
  <si>
    <t>Buntok, 18 Agustus 2000</t>
  </si>
  <si>
    <t>Pulang Pisau, 18 Agustus 1999</t>
  </si>
  <si>
    <t>Yogyakarta, 30 Agustus 2000</t>
  </si>
  <si>
    <t>Palangka Raya, 25 Juli 1997</t>
  </si>
  <si>
    <t>Tumbang Miri, 09 Juni 1997</t>
  </si>
  <si>
    <t>Depok, 06 Oktober 1995</t>
  </si>
  <si>
    <t>Tumbang Rungan, 16 Mei 1996</t>
  </si>
  <si>
    <t>Bangkuang, 02 Agustus 1999</t>
  </si>
  <si>
    <t>Palangka Raya, 28 Juni 1998</t>
  </si>
  <si>
    <t>Kuala Kapuas, 30 Oktober 2001</t>
  </si>
  <si>
    <t>Kasongan, 03 Maret 1997</t>
  </si>
  <si>
    <t>Muara Teweh, 25 Desember 2001</t>
  </si>
  <si>
    <t>Palangka Raya, 02 Juni 1997</t>
  </si>
  <si>
    <t>Palangka Raya, 01 Februari 1996</t>
  </si>
  <si>
    <t>Cempaka Mulia Timur, 28 Januari 2000</t>
  </si>
  <si>
    <t>Kuala Kapuas, 21 Oktober 2000</t>
  </si>
  <si>
    <t>Tanah Laut, 07 Agustus 2000</t>
  </si>
  <si>
    <t>Palangka Raya, 18 Agustus 1999</t>
  </si>
  <si>
    <t>Palangka Raya, 02 Agustus 1997</t>
  </si>
  <si>
    <t>Kuala Kapuas, 23 Desember 1999</t>
  </si>
  <si>
    <t>Kuala Kapuas, 30 Juni 1997</t>
  </si>
  <si>
    <t>Palangka Raya, 07 Desember 1996</t>
  </si>
  <si>
    <t>Palangka Raya, 22 Maret 1996</t>
  </si>
  <si>
    <t>Banjarmasin, 06 Februari 2000</t>
  </si>
  <si>
    <t>Puruk Cahu, 03 Oktober 2000</t>
  </si>
  <si>
    <t>Sungai Jaya, 30 Mei 1998</t>
  </si>
  <si>
    <t>Palangka Raya, 24 Mei 1998</t>
  </si>
  <si>
    <t>Palangka Raya, 02 Mei 1999</t>
  </si>
  <si>
    <t>Kuala Kapuas, 08 Juli 2000</t>
  </si>
  <si>
    <t>Palangka Raya, 16 Agustus 1996</t>
  </si>
  <si>
    <t>Ciamis, 20 Agustus 2000</t>
  </si>
  <si>
    <t>Jaya Kelapa, 15 Juli 2002</t>
  </si>
  <si>
    <t>Kapuas, 10 Oktober 2001</t>
  </si>
  <si>
    <t>Kuala Kapuas, 20 Februari 1997</t>
  </si>
  <si>
    <t>Tumbang Tahai, 25 Mei 2001</t>
  </si>
  <si>
    <t>Lawang Uru, 05 Januari 1995</t>
  </si>
  <si>
    <t>Biak, 26 Juli 1998</t>
  </si>
  <si>
    <t>Kuala Kapuas, 03 Juli 2000</t>
  </si>
  <si>
    <t>Banjar, 03 Juni 1995</t>
  </si>
  <si>
    <t>Palangka Raya, 29 Mei 1998</t>
  </si>
  <si>
    <t>Tumbang Habaon, 22 Agustus 2000</t>
  </si>
  <si>
    <t>Palangka Raya, 20 Oktober 1999</t>
  </si>
  <si>
    <t>Palangka Raya, 21 Desember 1996</t>
  </si>
  <si>
    <t>Pangkalan Bun, 06 Februari 1995</t>
  </si>
  <si>
    <t>Palangka Raya, 15 Maret 2000</t>
  </si>
  <si>
    <t>Palangka Raya, 20 Juni 1999</t>
  </si>
  <si>
    <t>KEBUTUHAN MENYELESAIKAN TUGAS - Cukup memiliki komitmen untuk menuntaskan tugas, akan tetapi jika memungkinkan akan mendelegasikan sebagian dari pekerjaannya kepada orang lain.</t>
  </si>
  <si>
    <t xml:space="preserve">PERAN PEKERJA KERAS (Hard Intense Worker) - Bekerja keras, tetapi  jelas tujuan yg ingin dicapainya.   </t>
  </si>
  <si>
    <t>KEBUTUHAN BERPRESTASI - Tahu akan tujuan yang ingin dicapainya dan dapat merumuskannya, realistis akan kemampuan diri, dan berusaha untuk mencapai target.</t>
  </si>
  <si>
    <t>PERAN PEMIMPIN - Memproyeksikan diri sebagai pemimpin dan mencoba menggunakan orang lain untuk mencapai tujuannya.</t>
  </si>
  <si>
    <t>KEBUTUHAN MENGATUR ORANG LAIN - Enggan mengontrol org lain &amp; tidak mau mempertanggung jawabkan hasil kerja bawahannya, lebih memberi kebebasan kpd bawahan utkmemilih cara sendiri dlm penyelesaian tugas dan meminta bawahan utk mempertanggungjawabkan hasilnya masing-masing.</t>
  </si>
  <si>
    <t>PERAN MEMBUAT KEPUTUSAN - Enggan mengambil keputusan.</t>
  </si>
  <si>
    <t>PERAN - SIBUK (PACE) - Cekatan, selalu siaga, bekerja cepat, ingin segera menyelesaikan tugas.  Negatifnya : Tegang, cemas, impulsif, mungkin ceroboh,banyak gerakan yang tidak perlu.</t>
  </si>
  <si>
    <t xml:space="preserve">PERAN PENUH SEMANGAT (Vigorous Type) - Dapat bekerja di belakang meja dan senang jika sesekali harus terjun ke lapangan atau melaksanakan tugas-tugas yang bersifat mobile. </t>
  </si>
  <si>
    <t>KEBUTUHAN KEDEKATAN DAN KASIH SAYANG - Peka akan kebutuhan org lain, sangat memikirkan hal - hal yg dibutuhkanorg lain, suka menjalin hub persahabatan yg hangat &amp; tulus. Sangat perasa, mudah tersinggung, cenderung subjektif, dpt terlibat terlalu dlm/intim dg individu tertentu dlm pekerjaan, sangat tergantung pd individu tertentu.</t>
  </si>
  <si>
    <t>KEBUTUHAN DITERIMA DALAM KELOMPOK - Suka bergabung dlm kelompok, sadar akan sikap &amp; kebutuhan kelompok, suka bekerja sama, ingin menjadi bagian dari kelompok,ingin disukai &amp; diakui oleh lingkungan; sangat tergantung pd kelompok, lebih memperhatikan kebutuhan kelompok daripada pekerjaan.</t>
  </si>
  <si>
    <t>PERAN HUBUNGAN SOSIAL - Percaya diri &amp; sangat senang bergaul, menyukai interaksi sosial, bisa menciptakan suasana yg menyenangkan, mempunyai inisiatif &amp; mampu menjalin hubungan &amp; komunikasi, memperhatikan org lain. Mungkin membuang-buang waktu utk aktifitas sosial, kurang peduli akan penyelesaian tugas.</t>
  </si>
  <si>
    <t>KEBUTUHAN UNTUK DIPERHATIKAN - memiliki perilaku unik untuk mendapatkan perhatian</t>
  </si>
  <si>
    <t xml:space="preserve">PERAN MENGATUR -Fleksibel tapi masih cukup memperhatikan keteraturan atau sistematika kerja.  </t>
  </si>
  <si>
    <t xml:space="preserve">PERAN BEKERJA DENGAN DETAIL - Cukup peduli akan akurasi dan kelengkapan data.   </t>
  </si>
  <si>
    <t xml:space="preserve">KEBUTUHAN AKAN PERUBAHAN - Antusias terhadap perubahan dan akan mencari hal-hal baru, tetapi masih selektif ( menilai kemanfaatannya ).  </t>
  </si>
  <si>
    <t>PERAN PENGENDALIAN EMOSI - punya pendekatan emosional seimbang ,mampu mengendalikan, mampu mengungkap atau menyimpan perasaan</t>
  </si>
  <si>
    <t xml:space="preserve">KEBUTUHAN UNTUK AGRESIF - Tidak mencari atau menghindari konflik, mau mendengarkan pandangan orang lain tetapi dapat menjadi keras kepala saat mempertahankan pandangannya. </t>
  </si>
  <si>
    <t>KEBUTUHAN MENYELESAIKAN TUGAS - Komitmen tinggi, lebih suka menangani pekerjaan satu demi satu, akan tetapi masih dapat mengubah prioritas jika terpaksa.</t>
  </si>
  <si>
    <t xml:space="preserve">PERAN PEKERJA KERAS (Hard Intense Worker) - Bekerja keras sesuai tuntutan, menyalurkan usahanya untuk hal-hal yang bermanfaat / menguntungkan.  </t>
  </si>
  <si>
    <t>PERAN MEMBUAT KEPUTUSAN - Cukup percaya diri dlm pengambilan keputusan, mau mengambil resiko, dpt memutuskan dgn cepat, mengikuti alur logika.</t>
  </si>
  <si>
    <t>KEBUTUHAN KEDEKATAN DAN KASIH SAYANG - Tidak mencari atau menghindari hubungan antar pribadi di lingkungan kerja, masih mampu menjaga jarak.</t>
  </si>
  <si>
    <t xml:space="preserve">PERAN MENGATUR -Memperhatikan keteraturan dan sistematika kerja, tapi cukup fleksibel.  </t>
  </si>
  <si>
    <t xml:space="preserve">PERAN BEKERJA DENGAN DETAIL - Tertarik untuk menangani sendiri detail.   </t>
  </si>
  <si>
    <t xml:space="preserve">PERAN ORANG YANG TEORITIS - Pertimbangan mencakup aspek teoritis ( konsep atau pemikiran baru ) dan aspek praktis ( pengalaman ) secara berimbang  </t>
  </si>
  <si>
    <t xml:space="preserve">KEBUTUHAN AKAN PERUBAHAN - Mudah beradaptasi, cukup menyukai perubahan.    </t>
  </si>
  <si>
    <t>PERAN PENGENDALIAN EMOSI - Terbuka , cepat bereaksi , tidak normatif, mudah mengungkap pendapat atau perasaannya mengenai suatu hal kepada org lain.</t>
  </si>
  <si>
    <t xml:space="preserve">KEBUTUHAN UNTUK AGRESIF - Lebih suka menghindari konflik, akan mencari rasionalisasi untuk dapat menerima situasi dan melihat permasalahan dari sudut pandang orang lain. </t>
  </si>
  <si>
    <t xml:space="preserve">KEBUTUHAN MENGIKUTI ATURAN DAN PENGAWASAN - Membutuhkan uraian rinci mengenai tugas, dan batasan tanggung jawab serta wewenang.  </t>
  </si>
  <si>
    <t>PERAN PEMIMPIN - Tidak secara aktif menggunakan orang lain dalam bekerja</t>
  </si>
  <si>
    <t xml:space="preserve">KEBUTUHAN MENGATUR ORANG LAIN - Dominan dan bertanggung jawab, akan melakukan fungsi pengarahan,pengendalian dan pengawasan  </t>
  </si>
  <si>
    <t>PERAN MEMBUAT KEPUTUSAN - Berhati - hati dlm pengambilan keputusan.</t>
  </si>
  <si>
    <t xml:space="preserve">KEBUTUHAN DITERIMA DALAM KELOMPOK - Selektif dlm bergabung dg kelompok, hanya mau berhubungan dg kelompok di lingkungan kerja apabila bernilai &amp; sesuai minat, tdk terlalu mudah dipengaruhi. </t>
  </si>
  <si>
    <t>KEBUTUHAN UNTUK DIPERHATIKAN - Sederhana, cenderung diam, cenderung pemalu, tidak suka menonjolkan diri.</t>
  </si>
  <si>
    <t>KEBUTUHAN MENGIKUTI ATURAN DAN PENGAWASAN - Perlu pengarahan awal dan tolok ukur keberhasilan.</t>
  </si>
  <si>
    <t>PERAN PEMIMPIN - Tidak percaya diri dan tidak ingin memimpin atau mengawasi orang lain.</t>
  </si>
  <si>
    <t xml:space="preserve">PERAN PENGENDALIAN EMOSI - Mampu menyimpan pendapat atau perasaannya, tenang, dapat mengendalikan emosi, menjaga jarak. Tampil pasif dan tidak acuh,mungkin sulit mengungkapkan emosi/perasaan/pandangan. </t>
  </si>
  <si>
    <t>PERAN - SIBUK (PACE) - Cukup aktif dalam segi mental, dapat menyesuaikan tempo kerjanya dengan tuntutan pekerjaan / lingkungan.</t>
  </si>
  <si>
    <t>PERAN PEMIMPIN - Sangat percaya diri utk berperan sbg atasan &amp; sangat mengharapkan posisi tersebut. Lebih mementingkan citra &amp; status kepemimpinannya dari pada efektifitas kelompok, mungkin akan tampil angkuh atau terlalu percaya diri.</t>
  </si>
  <si>
    <t>KEBUTUHAN MENGATUR ORANG LAIN - Sangat dominan, sangat mempengaruhi &amp; mengawasi org lain, bertanggung jawab atas tindakan &amp; hasil kerja bawahan. Posesif, tdk ingin berada di bawah pimpinan org lain, cemas bila tdk berada di posisi pemimpin, mungkin sulit utk bekerja sama dgn rekan yg sejajar kedudukannya.</t>
  </si>
  <si>
    <t>KEBUTUHAN MENGATUR ORANG LAIN - Cenderung enggan melakukan fungsi pengarahan, pengendalian dan pengawasan, kurang aktif memanfaatkan kapasitas bawahansecara optimal, cenderung bekerja sendiri dalam mencapaitujuan kelompok.</t>
  </si>
  <si>
    <t>PERAN HUBUNGAN SOSIAL - Perhatian rendah terhadap hubungan sosial , kurang percaya pada orang lain</t>
  </si>
  <si>
    <t xml:space="preserve">PERAN MENGATUR -Sistematis, bermetoda, berstruktur, rapi dan teratur, dapat menata tugas dengan baik.  Cenderung kaku, tidak fleksibel.  </t>
  </si>
  <si>
    <t xml:space="preserve">PERAN BEKERJA DENGAN DETAIL - Sangat menyukai detail, sangat peduli akan akurasi dan kelengkapan data.  Cenderung terlalu terlibat dengan detail sehingga melupakan tujuan utama. </t>
  </si>
  <si>
    <t xml:space="preserve">KEBUTUHAN AKAN PERUBAHAN - Enggan berubah, tidak siap untuk beradaptasi, hanya mau menerima perubahan jika alasannya jelas dan meyakinkan.   </t>
  </si>
  <si>
    <t xml:space="preserve">KEBUTUHAN MENGATUR ORANG LAIN - Bertanggung jawab, akan melakukan fungsi pengarahan, pengendalian dan pengawasan, tapi tidak mendominasi.  </t>
  </si>
  <si>
    <t xml:space="preserve">PERAN ORANG YANG TEORITIS - Suka memikirkan suatu problem secara mendalam, merujuk pada teori dan konsep.  </t>
  </si>
  <si>
    <t>KEBUTUHAN AKAN PERUBAHAN - Sangat menyukai perubahan, gagasan baru/variasi, aktif mencari per-ubahan, antusias dg hal-hal baru, fleksibel dlm berpikir, mudah beradaptasi pd situasi yg berbeda-beda. Gelisah, frustasi, mudah bosan, sangat membutuhkan variasi, tidak menyukai tugas/situasi yg rutin-monoton.</t>
  </si>
  <si>
    <t>PERAN PEKERJA KERAS (Hard Intense Worker) - Ingin tampil sbg pekerja keras, sangat suka bila orang lain memandangnya sbg pekerja keras. Cenderung menciptakan pekerjaanyang tidak perlu agar terlihat tetap sibuk, kadang kala tanpa tujuan yang jelas.</t>
  </si>
  <si>
    <t>PERAN PEMIMPIN - Cukup percaya diri, tidak secara aktif mencari posisi kepemimpinan akan tetapi juga tidak akan menghindarinya.</t>
  </si>
  <si>
    <t>KEBUTUHAN UNTUK DIPERHATIKAN - Mengharapkan pengakuan lingkungan dan tidak mau diabaikan tetapi tidak mencari-cari perhatian.</t>
  </si>
  <si>
    <t>PERAN MEMBUAT KEPUTUSAN - Sangat yakin dl mengambil keputusan, cepat tanggap thd situasi, berani mengambil resiko, mau memanfaatkan kesempatan. Impulsif, dpt membuat keputusan yg tdk praktis, cenderung lebih mementingkan kecepatan daripada akurasi, tdk sabar, cenderung meloncat pd keputusan.</t>
  </si>
  <si>
    <t>KEBUTUHAN BERPRESTASI - Sangat berambisi untuk berprestasi dan menjadi yg terbaik, menyukai tantangan, cenderung mengejar kesempurnaan, menetapkan target yg tinggi, 'self-starter', merumuskan kerja dg baik. Tdk realistis akan kemampuannya, sulit dipuaskan, mudah kecewa, harapan yg tinggi mungkin mengganggu org lain.</t>
  </si>
  <si>
    <t>KEBUTUHAN MENGIKUTI ATURAN DAN PENGAWASAN - Patuh pada kebijaksanaan, peraturan dan struktur organisasi. Ingin segala sesuatunya diuraikan secara rinci, kurang memiliki inisiatif, tdk fleksibel, terlalu tergantung pada organisasi, berharap'disuapi'.</t>
  </si>
  <si>
    <t xml:space="preserve">PERAN PENUH SEMANGAT (Vigorous Type) - Menyukai aktifitas fisik ( a.l. : olah raga), enerjik, memiliki stamina untuk menangani tugas-tugas berat, tidak mudah lelah. Tidak betah duduk lama, kurang dapat konsentrasi  'di belakang meja'. </t>
  </si>
  <si>
    <t xml:space="preserve">KEBUTUHAN UNTUK AGRESIF - Akan menghadapi konflik, mengungkapkan serta memaksakan pandangan dengan cara positif.   </t>
  </si>
  <si>
    <t>PERAN ORANG YANG TEORITIS - Tipe pemikir, sangat berminat pada gagasan, konsep, teori, mencari alternatif baru, menyukai perencanaan. Mungkin sulit dimengerti oleh orang lain, terlalu teoritis dan tidak praktis, mengawang-awang dan berbelit-belit.</t>
  </si>
  <si>
    <t>KEBUTUHAN MENYELESAIKAN TUGAS - Memiliki komitmen yg sangat tinggi thd tugas, sangat ingin menyelesaikantugas, tekun dan tuntas dlm menangani pekerjaan satu demi satu hingga  tuntas. Perhatian terpaku pada satu tugas, sulit utk menangani beberapa pekerjaan sekaligus, sulit di interupsi, tidak melihat masalah sampingan.</t>
  </si>
  <si>
    <t>KEBUTUHAN UNTUK DIPERHATIKAN - Bangga akan diri dan gayanya sendiri, senang menjadi pusat perhatian, mengharapkan penghargaan dari lingkungan. Mencari-cari perhatian dan suka menyombongkan diri.</t>
  </si>
  <si>
    <t xml:space="preserve">KEBUTUHAN UNTUK AGRESIF - Terbuka, jujur, terus terang, asertif, agresif, reaktif, mudah tersinggung, mudah meledak, curiga, berprasangka, suka berkelahi atau berkonfrontasi, berpikir negatif. </t>
  </si>
  <si>
    <t>Septiana Karolin</t>
  </si>
  <si>
    <t>EFRONICO</t>
  </si>
  <si>
    <t>Ripatul Mahmudah</t>
  </si>
  <si>
    <t>REYANA CLAUDIA VALENTIN</t>
  </si>
  <si>
    <t>CONFIDENT &amp; DETERMINED ,Pandai Memilih Orang ,Leader ,Good Interpersonal Skill ,Dominan ,Agresif ,Perfeksionis ,Good Communication Skill ,Aktif ,Need Recognition n Reward ,Kurang Peduli pada Aturan ,Terburu-buru ,</t>
  </si>
  <si>
    <t>REFORMER ,Mudah Bergaul ,Leader ,Sadar Diri ,Butuh Pujian &amp; Penghargaan ,Cepat Percaya Orang ,Mudah Simpati &amp; Empati ,Motivator ,Optimis &amp; Positif ,Anti Aturan ,Kurang Detail ,Terlalu Selektif ,</t>
  </si>
  <si>
    <t>NEGOTIATOR ,Suka Bergaul ,Anti Rutin ,Aktif ,Terlalu Percaya Diri ,Agresif ,Optimis ,Kurang Detail ,Result Oriented ,</t>
  </si>
  <si>
    <t>Merupakan seorang pemimpin integratif yang bekerja dengan dan melalui orang lain.  Ia ramah, memiliki perhatian yang tinggi akan orang dan juga mempunyai kemampuan untuk memperoleh hormat dan penghargaan dari berbagai tipe orang.  Melakukan pekerjaannya dengan cara yang bersahabat, baik dalam mencapai sasarannya maupun meyakinkan pandangannya kepada orang lain.  Ia tidak begitu memperhatikan hal-hal kecil.  Kadang bertindak sesuai dengan kata hati/impulsif, terlalu antusias dan sangat banyak bicara.  Ia terlalu berlebihan menilai kemampuannya dalam memotivasi atau mengubah perilaku orang lain.  Mencari kebebasan dari rutinitas, menginginkan otoritas/wewenang dan juga prestise.  Ia menginginkan aktivitas yang bervariasi dan bekerja lebih efisien jika data-data analitis disediakan oleh orang lain.  Menginginkan penugasan yang mengutamakan mobilitas dan tantangan.</t>
  </si>
  <si>
    <t>DESIGNER ,Sensitif ,Kurang Cepat ,Anti Tekanan  ,Terlalu Mandiri ,Kurang Percaya Orang Lain ,Anti Kritik ,Dingin ,Kreatif ,Result Oriented ,Suka Tantangan ,</t>
  </si>
  <si>
    <t>CHALLENGER ,Seorang yang tekun ,Sensitif terhadap permasalahan ,Mempunyai keputusan yang kuat ,Kreatif  dalam memecahkan masalah ,Memiliki reaksi yang cepat ,Mampu mencari solusi permasalahan ,Banyak memberikan ide-ide. ,Usaha yang keras pada ketepatan ,Cenderung perfeksionis ,</t>
  </si>
  <si>
    <t>Seorang yang sangat berorientasi pada tugas dan sensitif pada permasalahan. Ia lebih mempedulikan tugas yang ada dibanding orang-orang di sekitarnya, termasuk perasaan mereka. Sangat kukuh/keras dan mempunyai pendekatan yang efektif dalam pemecahan masalah. Oleh karena sifat alamiah dan keinginannya akan hasil yang terukur, Akan tampak dingin, tidak berperasaan dan menjaga jarak. Ia membuat keputusan berdasar pada fakta, bukan emosi. Cenderung pendiam dan tidak mudah percaya.</t>
  </si>
  <si>
    <t>ASSESSOR ,Analitis ,Berwatak hati-hati ,Ramah pada saat merasa nyaman ,Sangat biasa dengan orang asing ,Mudah mengembangkan hubungan baru ,Dapat mengendalikan diri ,Peduli dan ramah ,Memusatkan perhatian pada penyelesaian tugas ,Perfeksionis secara alami ,Mengisolasi dirinya jika diperlukan ,Mudah diramalkan ,Berorientasi pada kualitas ,</t>
  </si>
  <si>
    <t>ASSESSOR ,Ramah ,Suka berteman ,Nyaman walapun dengan orang asing ,Mudah mengembangkan hubungan baru ,Dapat mengendalikan diri ,Sangat sosial ,Cenderung perfeksionis alamiah ,Mempromosikan tugas-tugas orang lain ,</t>
  </si>
  <si>
    <t>Ia adalah orang yang baik secara alamiah dan sangat berorientasi detil.  Ia peduli dengan orang-orang di sekitarnya dan mempunyai kualitas yang membuatnya sangat teliti dalam penyelesaian tugas.  Ia mempertimbangkan sekelilingnya dengan hati-hati sebelum membuat keputusan untuk melihat pengaruhnya pada mereka; saat tertentu ia terlalu hati-hati.  Jika ia merasa seseorang memanfaatkan situasi, ia akan memperlambat kerjanya sehingga dapat mengamati apa yang sedang berlangsung di sekitarnya.</t>
  </si>
  <si>
    <t>RESPONSIVE &amp; THOUGHTFUL ,High Energy ,Good Communication Skill ,To The Point ,Sensitif ,Banyak Bicara ,Need Recognation ,Need Socialism ,Anti thd Kritik ,Terlalu banyak bersosialisasi ,Leadership kurang ,Kurang Fokus ,Anti Deadline ,</t>
  </si>
  <si>
    <t>Merupakan seorang yang ramah dan suka berteman; ia merasa nyaman walaupun dengan orang asing. Ia dapat mengembangkan hubungan baru dengan mudah, dan pada umumnya dapat mengendalikan diri sampai pada tingkat dimana ia jarang menimbulkan rasa benci pada orang lain dengan sengaja. Ia seorang yang sangat sosial, menunjukkan kepedulian dan persahabatan ketika sedang melakukan tugas-tugas di tangannya. Ia cenderung perfeksionis secara alamiah, dan akan mengisolasi dirinya jika diperlukan untuk melaksanakan pekerjaan.  Ia berkeinginan mempromosikan tugas-tugas orang lain, juga kepunyaannya.  Kadang-kadang ia salah menilai kemampuan orang lain dikarenakan pandangan-pandangannya yang optimis.</t>
  </si>
  <si>
    <t>INQUIRER ,Seorang yang baik ,Sangat berorientasi pada detil ,Sangat teliti dalam penyelesaian tugas ,Sangat berhati-hati ,Penuh pertimbangan ,Lambat adaptasi ,Kaku dan keras kepala ,</t>
  </si>
  <si>
    <t>CHALLENGER ,Sangat berorientasi pada tugas ,Sensitif terhadap permasalahan ,Lebih mempedulikan tugas daripada orang ,Kukuh/keras ,Dingin ,Tidak berperasaan ,Menjaga jarak ,Membuat keputusan berdasarkan fakta ,Pendiam ,Tidak mudah percaya ,</t>
  </si>
  <si>
    <t>CONTEMPLATOR ,Berorientasi pada hal-hal detil ,Mempunyai standar tinggi untuk dirinya ,Logis dan analitis ,Ingin berbuat yang terbaik ,Selalu berpikir ada ruang untuk kemajuan ,Kompetitif ,Ingin menghasilkan mutu yang terbaik ,Mampu mencapai sasarannya ,Sangat memusatkan perhatian pada tugas ,Mantap dan dapat diandalkan ,</t>
  </si>
  <si>
    <t>Berorientasi pada hal detil dan mempunyai standard tinggi untuk dirinya. Ia logis dan analitis. Ia ingin berbuat yang terbaik, dan ia selalu berpikir ada ruang untuk peningkatan/kemajuan. Ia cenderung kompetitif dan ingin menghasilkan pekerjaan dengan mutu yang terbaik. Ia sebenarnya sensitif terhadap orang-orang, tetapi karena sifat logisnya, orientasinya terhadap tugas dapat menutupinya dengan mudah. Ia suka dihargai untuk pekerjaannya yang berkualitas. Ia mampu mengerjakan tugas-tugas; dan mencapai sasarannya. Ia sangat memusatkan perhatian pada tugas yang ada, mantap dan dapat diandalkan.</t>
  </si>
  <si>
    <t>Seorang yang praktis, cakap dan unik. Ia orang yang mampu menilai diri sendiri dan kritis terhadap dirinya dan orang lain. Ia menyukai hal yang detil dan logis; secara alamiah ia sangat analitis. Karena menyimpan informasi, ia meneliti isu berulang-ulang kali. Ia cenderung malu dan tertutup; ia hati-hati dalam membuat keputusan yang berdasarkan pada logika, bukan emosi, selalu menggunakan pertanyaan "bagaimana dan mengapa". Ia mengerjakan sesuatu dengan sistematis dan akurat. Ia rapi dan terorganisir sebab ia merasa bahwa keadaan berantakan sama dengan mutu yang rendah; demikian juga, rapi dan teratur merupakan mutu yang tinggi. Sangat teliti dalam segala sesuatu seperti halnya dalam pekerjaan dan penggunaan waktunya. Ia merencanakan dan mengorganisir semua sisi kehidupannya. Kelambanan sangat mengganggunya dan tak dapat ditolerir.</t>
  </si>
  <si>
    <t>ADVISOR ,Hangat ,Simpati ,Tenang dalam situasi sosial ,Pendengar yang baik ,Demonstratif ,Tidak memaksakan idenya pada orang lain ,Kurang tegas dalam memberi perintah ,Menerima kritik ,Toleran dan sabar ,Penjaga damai ,</t>
  </si>
  <si>
    <t>Seorang yang sabar, terkontrol dan suka menggali fakta dan jalan keluar.  Ia tenang dan ramah.  Ia merencanakan pekerjaan dengan hati-hati, tetapi agresif, menanyakan sesuatu serta mengumpulkan data pendukung.  Kemudian ia bekerja dengan konsisten dengan arahan yang benar.  Menjadi individu yang penuh perhatian, rendah hati, dan ia berhubungan baik dengan hampir semua orang.  Seorang yang konsisten dan suka menolong. People skill darinya melebihi orientasi tugasnya.</t>
  </si>
  <si>
    <t>SELF-MOTIVATED ,Objektif &amp; Analitis ,Mandiri ,Good planner ,Komitmen terhadap target ,Menghindari konflik ,Ingin terlibat dalam situasi ,Ingin memberikan bantuan dan dukungan ,Termotivasi oleh target pribadi ,Stabil ,Tekun ,</t>
  </si>
  <si>
    <t>Merupakan seorang yang obyektif dan analitis.  Ia ingin terlibat dalam situasi, dan juga ingin memberikan bantuan dan dukungan.  Secara internal termotivasi oleh target pribadi, Ia menyukai orang-orang, tetapi juga mempunyai kemampuan untuk berorientasi pada pekerjaannya pada saat dibutuhkan.  Karena determinasinya yang kuat, ia sering berhasil dalam berbagai hal; karakternya yang tenang, stabil dan daya tahannya memiliki kontribusi akan keberhasilannya.  Keuletannya setelah memulai pekerjaan, ia akan berusaha keras untuk mendapatkan sasarannya.  Seorang yang bebas, ia orang yang cermat dan memiliki tindak lanjut yang baik.  Ia bisa menjadi tidak ramah walaupun ia pada dasarnya ia yang berorientasi pada orang; dan pada situasi yang tidak membuatnya nyaman, ia lebih suka mendukung pemimpinnya dari pada keterlibatannya dengan situasi.</t>
  </si>
  <si>
    <t>ADVOCATE ,Stabil ,Ramah ,Detail ketika situasi membutuhkan ,Cenderung individualis ,Teguh pendirian ,Menyukai hubungan dengan orang ,Mendukung pihak yang lemah ,Ingin diterima sebagai anggota tim ,Ingin orang lain menyukainya ,Sulit membuat keputusan ,Moderat ,Cermat dan dapat diandalkan ,</t>
  </si>
  <si>
    <t>MEDIATOR ,Loyal ,Tight Scheduled ,Curious ,Sensitif ,Good Communication Skill ,Good Analitical Think ,Good Interpersonal Skill ,Cepat Beradaptasi ,Anti Kritik ,Not Leader ,Work/Play Conflict ,</t>
  </si>
  <si>
    <t>ESTABLISHER ,Individualis ,Ego Tinggi, Kurang Sensitif ,Kurang Pertimbangan ,Efektif ,High Motivation ,Bersemangat Tinggi ,Percaya Diri, cenderung Nekat ,Kreatif ,Terlalu Dominan ,Agresif ,Terlalu Dinamis ,Penuh Ambisi ,</t>
  </si>
  <si>
    <t>Merupakan individu yang berorientasi pada orang, ia mampu menggabungkan ketepatan dan loyalitas.  Ia cenderung peka dan mempunyai standard yang tinggi.  Ia menginginkan stabilitas dan berorientasi terhadap sasaran.  Ia menginginkan pengakuan sosial dan perhatian pribadi.  Ia bersahabat, antusias, informal, banyak bicara, dan mungkin sangat mencemaskan apa yang dipikirkan oleh orang lain.  Ia menolak agresi, dan mengharapkan suasana harmonis.  Ia cenderung cukup cerdas dalam berbagai hal. Ia merupakan pencari fakta yang sangat baik dan akan membuat keputusan yang baik setelah mengumpulkan fakta dan data pendukung.</t>
  </si>
  <si>
    <t>DIRECTOR ,Seorang yang obyektif dan analitis ,Ingin terlibat dalam situasi ,Ingin memberikan bantuan dan dukungan ,Termotivasi oleh target pribadi ,Berorientasi terhadap pekerjaannya ,Menyukai hubungan dengan sesama ,Mempunyai determinasi yang kuat ,Karakternya tenang ,Stabil dan daya tahannya tinggi ,Ulet dalam memulai pekerjaan ,Berusaha keras mencapai sasarannya ,Mandiri dan cermat ,</t>
  </si>
  <si>
    <t>Sangat berorientasi terhadap tugas dan juga menyukai orang.  Ia sangat baik dalam menarik orang/recruiting.  Seorang yang bersahabat, tetapi menyukai keadaan di mana tugas-tugas harus dilakukan dengan benar.  Ia kadang-kadang tampak dingin dan mendominasi.  Ia juga bisa sangat fokus pada tugas dan melupakan orang-orang di sekitarnya.  Sangat mengharapkan orang-orang terlibat dalam proyeknya, tetapi tidak memperdulikan apa yang diinginkan oleh orang-orang itu.  Ia perlu mendengar dan memikirkan  apa yang menjadi keinginan orang di sekitarnya, khususnya kesempatan untuk mencoba.  Ia sangat membutuhkan persetujuan sosial seperti halnya ia sangat mempercayai orang lain.  Karena itu, ia kadang-kadang berlebihan dalam menilai orang dan kemampuannya.  Ia tampak tidak konsisten dan tidak karuan karena ketidakmampuannya berkonsentrasi dan fokus dalam waktu yang lama.  Perlu belajar untuk secara sungguh-sungguh mendengarkan orang-orang di sekitarnya dari pada selalu berpikir apa yang ingin dikatakan.  Ia mempunyai kemampuan logika yang tinggi ketika ia mau menggunakannya.</t>
  </si>
  <si>
    <t>Seorang yang baik secara alamiah dan sangat berorientasi detil.  Ia peduli dengan orang-orang di sekitarnya dan mempunyai kualitas yang membuatnya sangat teliti dalam penyelesaian tugas.  Ia mempertimbangkan sekelilingnya dengan hati-hati sebelum membuat keputusan untuk melihat pengaruhnya pada mereka; saat tertentu ia terlalu hati-hati.  Jika ia merasa seseorang memanfaatkan situasi, ia akan memperlambat kerjanya sehingga dapat mengamati apa yang sedang berlangsung di sekitarnya.</t>
  </si>
  <si>
    <t>SPECIALIST ,Stabil &amp; Konsisten ,Terkendali ,Nyaman di Belakang Layar ,Sabar ,Loyal ,Sulit Adaptasi ,Process Oriented ,Teguh ,Need for Peace ,Anti Perubahan ,Sulit Menentukan Prioritas ,</t>
  </si>
  <si>
    <t>Seorang yang sensitif terhadap permasalahan, dan memiliki kreativitas yang baik dalam memecahkan masalah. Ia dapat menyelesaikan tugas-tugas penting dalam waktu singkat karena mempunyai keputusan yang kuat. Seorang yang tekun dan memiliki reaksi yang cepat.  Ia akan meneliti dan mengejar semua kemungkinan yang ada dalam mencari solusi permasalahan.  Ia banyak memberikan ide-ide dengan berfokus pada pekerjaan. Usaha yang keras pada ketepatan akan mengimbangi keinginannya pada hasil yang terukur.  Ia cenderung perfeksionis dan dapat juga memperlambat pengambilan keputusan karena keinginannya untuk menentukan pilihan yang terbaik.</t>
  </si>
  <si>
    <t>Director ,Seorang yang obyektif dan analitis ,Ingin terlibat dalam situasi ,Ingin memberikan bantuan dan dukungan ,Termotivasi oleh target pribadi ,Berorientasi terhadap pekerjaannya ,Menyukai hubungan dengan sesama ,Mempunyai determinasi yang kuat ,Karakternya tenang ,Stabil dan daya tahannya tinggi ,Ulet dalam memulai pekerjaan ,Berusaha keras mencapai sasarannya ,Mandiri dan cermat ,</t>
  </si>
  <si>
    <t>COMMUNICATOR ,Antusias ,Percaya ,Optimis ,Persuasif ,Bicara aktif ,Impulsif ,Emosional ,Ramah ,Inspirasional ,</t>
  </si>
  <si>
    <t>Merupakan seseorang yang analitis, berwatak hati-hati dan ramah pada saat merasa nyaman. Ia sangat biasa dengan orang asing, karena ia dapat menilai dan menyesuaikan diri dalam hubungan mereka. Ia dapat mengembangkan hubungan baru dengan mudah ketika ia ingin melakukannya, dan pada umumnya dapat mengendalikan diri sampai pada tingkat di mana ia jarang menimbulkan rasa benci pada orang lain dengan sengaja. Ia menampilkan sikap peduli dan ramah, namun mampu memusatkan perhatian pada penyelesaian tugas yang ada. Ia cenderung perfeksionis secara alami, dan akan mengisolasi dirinya jika diperlukan untuk melaksanakan pekerjaan. Ia suka berada pada situasi yang dapat diramalkan dan tidak ada kejutan. Ia sangat berorientasi pada kualitas dan akan bekerja dengan keras untuk menyelesaikan pekerjakan dengan benar. Ia ingin orang-orang berkenan akan pekerjaan yang sudah ia selesaikan dengan baik.</t>
  </si>
  <si>
    <t>Merupakan individu yang berorientasi pada orang dan lancar berkomunikasi serta loyal.  Ia cenderung sensitif dan mempunyai standard yang tinggi.  Keputusannya dibuat berdasarkan fakta dan data pendukung.  Ia sepertinya tidak bisa diam.  Ia perlu untuk lebih terus terang dan jangan terlalu subyektif.  Ia butuh pengakuan sosial dan perhatian pribadi; ia dapat cepat akrab dengan orang lain.  Ia bersahabat, antusias, informal, banyak bicara dan terlalu khawatir terhadap apa yang dipikirkan orang.  Ia menguasai banyak hal.  Ia ingin diterima sebagai anggota kelompok dan ingin mengetahui secara pasti apa yang diharapkan darinya sebelum ia memulai proyek baru.</t>
  </si>
  <si>
    <t>SELF-MOTIVATED ,Objektif &amp; Analitis ,Mandiri ,Good Planner ,Komitmen thd Target ,Menghindari Konflik ,</t>
  </si>
  <si>
    <t>CHANCELLOR ,Seorang yang ramah secara alami ,Menggabungkan kesenangan dengan pekerjaan ,Menyukai hubungan dengan sesama ,Menikmati interaksi dengan sesama ,Dapat mengerjakan hal-hal detil ,Ingin melakukan segala sesuatu dengan tepat ,Menilai orang dan tugas secara hati-hati ,Sering melalaikan perencanaan yang seksama ,Mudah beralih kepada proyek-proyek baru ,</t>
  </si>
  <si>
    <t>Ia menggabungkan antara kesenangan dengan pekerjaan/bisnis ketika melakukan sesuatu. Ia kelihatan menyukai hubungan dengan sesama tetapi juga dapat mengerjakan hal-hal detil. Ia ingin melakukan segala sesuatu dengan tepat, dan ia akan menyelesaikan tugasnya untuk meyakinkan ketepatan dan kelengkapannya. Seorang yang ramah secara alami dan menikmati interaksi dengan sesama, akan tetapi ia akan juga menilai orang dan tugas secara hati-hati; persahabatannya akan bergeser sesuai dengan dorongan hatinya pada orang lain di sekitarnya. Ia sering melalaikan perencanaan yang seksama dan akan beralih ke pada proyek-proyek baru tanpa pertimbangan yang menyeluruh.</t>
  </si>
  <si>
    <t>Merupakan orang yang stabil, individu yang ramah yang berusaha keras membangun hubungan yang positif di tempat kerja dan di rumah.  Ia dapat menjadi sangat berorientasi detil ketika situasi membutuhkan; tetapi secara keseluruhan ia cenderung individualis, independen dan sedikit perhatian terhadap detil.  Sekali dia membuat keputusan, sangat sulit mengubah pendiriannya.  Ia menyukai hubungan dengan orang dan cenderung mendukung pihak yang lemah.  Ia akan mengambil posisi berlawanan dengan ketidaksepakatan dan merasa frustrasi jika sesuatu tidak sejalan dengannya.  Ia ingin diterima sebagai anggota tim, dan ia menginginkan orang lain menyukainya.  Ia cukup sulit membuat keputusan sampai parameter wewenang secara jelas ditentukan, dan ia mungkin cenderung tidak sungguh-sungguh jika dipaksa membuat keputusan ketika ia tidak ingin melakukannya.  Ia menginginkan orang lain yang membuat keputusan, khususnya jika ada orang yang sangat ia hargai dan hormati.  Ia cenderung moderat, cermat dan dapat diandalkan.</t>
  </si>
  <si>
    <t>PENGAMBIL KEPUTUSAN ,Pekerja Keras ,Leader ,Banyak Minat ,Dingin / Task Oriented ,Kurang Pergaulan ,Kontrol Emosi Kurang ,Suka Tantangan ,Cepat Bosan ,Anti Aturan ,Kurang Detail ,Kurang Peduli Wewenang ,Argumentatif ,</t>
  </si>
  <si>
    <t>ADVISOR ,Hangat ,Simpati dan Pengertian ,Tenang dalam situasi sosial ,Pendengar yang baik ,Demonstratif ,Tidak memaksakan idenya pada orang lain ,Kurang tegas dalam memberi perintah ,Menerima kritik ,Toleran dan sabar ,Penjaga damai ,</t>
  </si>
  <si>
    <t>Seorang yang obyektif dan analitis.  Ia ingin terlibat dalam situasi, dan ia juga ingin memberikan bantuan dan dukungan kepada orang yang ia hormati.  Secara internal termotivasi oleh target pribadi, ia berorientasi terhadap pekerjaannya tapi juga menyukai hubungan dengan sesama.  Karena determinasinya yang kuat, ia sering berhasil dalam berbagai hal; karakternya yang tenang, stabil dan daya tahannya yang tinggi memiliki kontribusi dalam keberhasilannya.  Ulet dalam memulai pekerjaan. Ia akan berusaha keras untuk mencapai sasarannya.  Seorang yang mandiri dan cermat serta memiliki tindak lanjut yang baik.</t>
  </si>
  <si>
    <t>Seorang yang mengesankan orang akan kehangatan, simpati dan pengertiannya.  Ia memiliki ketenangan dalam sebagian besar situasi sosial dan jarang tidak menyenangkan orang lain.  Faktanya, banyak orang datang padanya karena ia kelihatan sebagai pendengar yang baik.  Ia cenderung sangat demonstratif dan emosinya biasanya tampak jelas bagi orang di sekitarnya.  Ia tidak akan memaksakan idenya pada orang lain; ia tidak tegas dalam mengekspresikan atau memberi perintah.  Jika ia sangat kuat merasakan sesuatu, Ia akan bicara secara terbuka dan terus terang tentang pendiriannya.  Ia cenderung menerima kritik atas pekerjaannya sebagai serangan pribadi.  Ia dapat menjadi sangat toleran dan sabar kepada mereka yang tidak produktif di pekerjaan.  Ia merupakan "penjaga damai" yang sebenarnya dan akan bekerja untuk menjaga kedamaian dalam setiap keadaan.</t>
  </si>
  <si>
    <t>MOTIVATOR ,Leader (Kelompok Kecil) ,Supporter ,Sosialisasi Baik ,Butuh Ketegasan ,Butuh Pujian &amp; Penghargaan ,Kurang Detail ,Agak Kaku ,</t>
  </si>
  <si>
    <t>Seorang yang menampilkan gaya bersemangat ketika termotivasi pada sasaran.  Ia lebih suka memimpin atau melibatkan diri, walaupun ia juga mau melayani sebagai pembantu.  Ia membutuhkan pengakuan dan penghargaan serta senang pada peran pendukung.  Ia peduli kepada orang-orang di sekitarnya dan akan mempertimbangkan perasaan orang lain dalam proses pengambilan keputusan.  Menampilkan keterampilan berhubungan dan berkomunikasi dengan sangat baik.  Ia akan berusaha keras menyelesaikan tugas dengan cepat dan efisien.</t>
  </si>
  <si>
    <t>D / I-D</t>
  </si>
  <si>
    <t>D / C-D</t>
  </si>
  <si>
    <t>S-C</t>
  </si>
  <si>
    <t>I-C</t>
  </si>
  <si>
    <t>C-D-S</t>
  </si>
  <si>
    <t>D / S-D-C / S-C-D</t>
  </si>
  <si>
    <t>S-D</t>
  </si>
  <si>
    <t>I / C-I-S</t>
  </si>
  <si>
    <t>D / I-D-C</t>
  </si>
  <si>
    <t>S-C-D</t>
  </si>
  <si>
    <t>D-C</t>
  </si>
  <si>
    <t>C-I</t>
  </si>
  <si>
    <t>I-S-C / I-C-S</t>
  </si>
  <si>
    <t>D-I-C</t>
  </si>
  <si>
    <t>S-I-C</t>
  </si>
  <si>
    <t>S-C-I</t>
  </si>
  <si>
    <t>D-S-C</t>
  </si>
  <si>
    <t>D-C-S</t>
  </si>
  <si>
    <t>S-I</t>
  </si>
  <si>
    <t>C-I-D</t>
  </si>
  <si>
    <t>D / I-S-D</t>
  </si>
  <si>
    <t>Siti Norchalisa</t>
  </si>
  <si>
    <t>Yorannisa Maharlita</t>
  </si>
  <si>
    <t>Jose Imanuel</t>
  </si>
  <si>
    <t>Peggy Livia Novianty</t>
  </si>
  <si>
    <t>Viki Ramadhan</t>
  </si>
  <si>
    <t>Alexnandar Putra</t>
  </si>
  <si>
    <t>Efronico</t>
  </si>
  <si>
    <t>Mikho Iralda Dewel</t>
  </si>
  <si>
    <t>Juan Pintaryo</t>
  </si>
  <si>
    <t>Indah Dirza Lestari</t>
  </si>
  <si>
    <t>Jojeffrey Etter</t>
  </si>
  <si>
    <t>Noni Fitriah Indarsih</t>
  </si>
  <si>
    <t>Muhammad Amin</t>
  </si>
  <si>
    <t>Shimon Washi Riko</t>
  </si>
  <si>
    <t>Aldo Alessandro Tukat</t>
  </si>
  <si>
    <t>Angelina Priscilla</t>
  </si>
  <si>
    <t>Nikita Aprilia</t>
  </si>
  <si>
    <t>Chindi Mertis</t>
  </si>
  <si>
    <t>Dodi Irwandi</t>
  </si>
  <si>
    <t>Akbar Yanuar Rama Dhani</t>
  </si>
  <si>
    <t>Gusti Nia Mulgina</t>
  </si>
  <si>
    <t>M. Ihsan Nur Rasid</t>
  </si>
  <si>
    <t>Tulus Putra Nusantara</t>
  </si>
  <si>
    <t>Ayumi Trastidelianandita</t>
  </si>
  <si>
    <t>Fonivebrisia Lomantri Susiana Benu</t>
  </si>
  <si>
    <t>Joynathan Wildan Fernanda</t>
  </si>
  <si>
    <t>Rizki Surya Risnanda</t>
  </si>
  <si>
    <t>Haryo Teguh Kurniawan</t>
  </si>
  <si>
    <t>Karina Yayang</t>
  </si>
  <si>
    <t>Tri Saputra Sitohang</t>
  </si>
  <si>
    <t>Naufal Zaki Mabhut</t>
  </si>
  <si>
    <t>Migel Yordan</t>
  </si>
  <si>
    <t>Raudhatul Jannah</t>
  </si>
  <si>
    <t>Maisie Claresta</t>
  </si>
  <si>
    <t>Giovanni Ulima Nibras</t>
  </si>
  <si>
    <t>Alfina Damayanti</t>
  </si>
  <si>
    <t>Richard Friztgerald Elviro Harapan Lambung</t>
  </si>
  <si>
    <t>Dwi Chandra Achmad Saputra</t>
  </si>
  <si>
    <t>Steven Wisnu Cahya Putra</t>
  </si>
  <si>
    <t>Chintya Prisca Pricilla</t>
  </si>
  <si>
    <t>Fildae Eka Ferrilya</t>
  </si>
  <si>
    <t>Gene Giusti Nyunting</t>
  </si>
  <si>
    <t>Dhienda Ziansis Natasha Unjung</t>
  </si>
  <si>
    <t>Amareta Kristina Kesumadewi</t>
  </si>
  <si>
    <t>Regina Nurhaliza Putri</t>
  </si>
  <si>
    <t>Patricia Aurora Oktribella</t>
  </si>
  <si>
    <t>Satria Nugraha</t>
  </si>
  <si>
    <t>Rossaida Iriani</t>
  </si>
  <si>
    <t>Alexandro Barrent</t>
  </si>
  <si>
    <t>Agustin Niara Putri</t>
  </si>
  <si>
    <t>Emma Purnamasari</t>
  </si>
  <si>
    <t>Adi Novari Chandra</t>
  </si>
  <si>
    <t>Nadya Oktavia</t>
  </si>
  <si>
    <t>Maya Sioklan</t>
  </si>
  <si>
    <t>Marzuq Zaidan Pramudyarana</t>
  </si>
  <si>
    <t>Ari Prabowo</t>
  </si>
  <si>
    <t>Sherina Teresia</t>
  </si>
  <si>
    <t>Willy Yuliano</t>
  </si>
  <si>
    <t>Aldi Anur</t>
  </si>
  <si>
    <t>Much Ichsan</t>
  </si>
  <si>
    <t>Sendra Lasmana</t>
  </si>
  <si>
    <t>Defrizal Wiratama</t>
  </si>
  <si>
    <t>Rahmat Hidayat</t>
  </si>
  <si>
    <t>Misransyah</t>
  </si>
  <si>
    <t>Muhammad Hasbi</t>
  </si>
  <si>
    <t>Reyana Claudia Valentin</t>
  </si>
  <si>
    <t>Isradianoor</t>
  </si>
  <si>
    <t>Hengki Safarji</t>
  </si>
  <si>
    <t>Aditacahya Arisetasya</t>
  </si>
  <si>
    <t>Nugraha Ekatama</t>
  </si>
  <si>
    <t>Putri Ramadhana</t>
  </si>
  <si>
    <t>Melda Reskiony Sitorus</t>
  </si>
  <si>
    <t>Dwiky Kristinalala</t>
  </si>
  <si>
    <t/>
  </si>
  <si>
    <t>Nomor Peserta</t>
  </si>
  <si>
    <t>TEMPAT LAHIR</t>
  </si>
  <si>
    <t>PENDIDIKAN</t>
  </si>
  <si>
    <t>BKADP_20230001123</t>
  </si>
  <si>
    <t>BKADP_20230001503</t>
  </si>
  <si>
    <t>BKADP_2023000238</t>
  </si>
  <si>
    <t>BKADP_2023000125</t>
  </si>
  <si>
    <t>BKADP_20230001386</t>
  </si>
  <si>
    <t>BKADP_202300072</t>
  </si>
  <si>
    <t>BKADP_20230001729</t>
  </si>
  <si>
    <t>BKADP_2023000181</t>
  </si>
  <si>
    <t>BKADP_2023000646</t>
  </si>
  <si>
    <t>BKADP_2023000204</t>
  </si>
  <si>
    <t>BKADP_2023000512</t>
  </si>
  <si>
    <t>BKADP_2023000263</t>
  </si>
  <si>
    <t>BKADP_2023000757</t>
  </si>
  <si>
    <t>BKADP_202300093</t>
  </si>
  <si>
    <t>BKADP_2023000337</t>
  </si>
  <si>
    <t>BKADP_20230001089</t>
  </si>
  <si>
    <t>BKADP_20230002196</t>
  </si>
  <si>
    <t>BKADP_2023000361</t>
  </si>
  <si>
    <t>BKADP_2023000609</t>
  </si>
  <si>
    <t>BKADP_2023000164</t>
  </si>
  <si>
    <t>BKADP_202300054</t>
  </si>
  <si>
    <t>BKADP_2023000926</t>
  </si>
  <si>
    <t>BKADP_20230001665</t>
  </si>
  <si>
    <t>BKADP_2023000835</t>
  </si>
  <si>
    <t>BKADP_20230001219</t>
  </si>
  <si>
    <t>BKADP_20230001306</t>
  </si>
  <si>
    <t>BKADP_2023000314</t>
  </si>
  <si>
    <t>BKADP_2023000114</t>
  </si>
  <si>
    <t>BKADP_2023000159</t>
  </si>
  <si>
    <t>BKADP_202300095</t>
  </si>
  <si>
    <t>BKADP_2023000313</t>
  </si>
  <si>
    <t>BKADP_20230001068</t>
  </si>
  <si>
    <t>BKADP_20230001012</t>
  </si>
  <si>
    <t>BKADP_2023000431</t>
  </si>
  <si>
    <t>BKADP_20230001365</t>
  </si>
  <si>
    <t>BKADP_2023000128</t>
  </si>
  <si>
    <t>BKADP_2023000555</t>
  </si>
  <si>
    <t>BKADP_2023000401</t>
  </si>
  <si>
    <t>BKADP_2023000162</t>
  </si>
  <si>
    <t>BKADP_20230002</t>
  </si>
  <si>
    <t>BKADP_2023000608</t>
  </si>
  <si>
    <t>BKADP_2023000121</t>
  </si>
  <si>
    <t>BKADP_2023000177</t>
  </si>
  <si>
    <t>BKADP_202300085</t>
  </si>
  <si>
    <t>BKADP_20230001200</t>
  </si>
  <si>
    <t>BKADP_2023000157</t>
  </si>
  <si>
    <t>BKADP_2023000346</t>
  </si>
  <si>
    <t>BKADP_2023000298</t>
  </si>
  <si>
    <t>BKADP_20230001296</t>
  </si>
  <si>
    <t>BKADP_202300057</t>
  </si>
  <si>
    <t>BKADP_202300027</t>
  </si>
  <si>
    <t>BKADP_20230001093</t>
  </si>
  <si>
    <t>BKADP_2023000384</t>
  </si>
  <si>
    <t>BKADP_2023000240</t>
  </si>
  <si>
    <t>BKADP_2023000957</t>
  </si>
  <si>
    <t>BKADP_2023000228</t>
  </si>
  <si>
    <t>BKADP_20230001133</t>
  </si>
  <si>
    <t>BKADP_2023000222</t>
  </si>
  <si>
    <t>BKADP_202300076</t>
  </si>
  <si>
    <t>BKADP_2023000143</t>
  </si>
  <si>
    <t>SEPTIANA KAROLIN</t>
  </si>
  <si>
    <t>BKADP_202300017</t>
  </si>
  <si>
    <t>BKADP_202300021</t>
  </si>
  <si>
    <t>BKADP_202300028</t>
  </si>
  <si>
    <t>BKADP_2023000200</t>
  </si>
  <si>
    <t>BKADP_20230001247</t>
  </si>
  <si>
    <t>BKADP_2023000328</t>
  </si>
  <si>
    <t>BKADP_2023000443</t>
  </si>
  <si>
    <t>BKADP_20230001243</t>
  </si>
  <si>
    <t>BKADP_2023000152</t>
  </si>
  <si>
    <t>BKADP_202300053</t>
  </si>
  <si>
    <t>BKADP_2023000780</t>
  </si>
  <si>
    <t>BKADP_2023000439</t>
  </si>
  <si>
    <t>BKADP_20230002184</t>
  </si>
  <si>
    <t>BKADP_20230002222</t>
  </si>
  <si>
    <t>BKADP_202300061</t>
  </si>
  <si>
    <t>BKADP_2023000459</t>
  </si>
  <si>
    <t>BKADP_20230001284</t>
  </si>
  <si>
    <t>BKADP_20230002221</t>
  </si>
  <si>
    <t>BKADP_2023000765</t>
  </si>
  <si>
    <t>BKADP_20230001532</t>
  </si>
  <si>
    <t>BKADP_20230001316</t>
  </si>
  <si>
    <t>BKADP_2023000576</t>
  </si>
  <si>
    <t>BKADP_20230001141</t>
  </si>
  <si>
    <t>BKADP_2023000620</t>
  </si>
  <si>
    <t>BKADP_2023000265</t>
  </si>
  <si>
    <t>BKADP_20230001813</t>
  </si>
  <si>
    <t>BKADP_20230002218</t>
  </si>
  <si>
    <t>BKADP_2023000232</t>
  </si>
  <si>
    <t>BKADP_202300013</t>
  </si>
  <si>
    <t>BKADP_2023000494</t>
  </si>
  <si>
    <t>BKADP_2023000696</t>
  </si>
  <si>
    <t>BKADP_20230001441</t>
  </si>
  <si>
    <t>BKADP_2023000819</t>
  </si>
  <si>
    <t>BKADP_20230001561</t>
  </si>
  <si>
    <t>BKADP_20230002147</t>
  </si>
  <si>
    <t>BKADP_20230001720</t>
  </si>
  <si>
    <t>BKADP_202300075</t>
  </si>
  <si>
    <t>BKADP_20230002016</t>
  </si>
  <si>
    <t>BKADP_20230001611</t>
  </si>
  <si>
    <t>BKADP_20230001542</t>
  </si>
  <si>
    <t>BKADP_2023000285</t>
  </si>
  <si>
    <t>BKADP_20230001981</t>
  </si>
  <si>
    <t>BKADP_20230002352</t>
  </si>
  <si>
    <t>BKADP_2023000916</t>
  </si>
  <si>
    <t>BKADP_2023000963</t>
  </si>
  <si>
    <t>BKADP_2023000516</t>
  </si>
  <si>
    <t>BKADP_2023000832</t>
  </si>
  <si>
    <t>BKADP_20230001739</t>
  </si>
  <si>
    <t>BKADP_20230001346</t>
  </si>
  <si>
    <t>BKADP_20230001362</t>
  </si>
  <si>
    <t>BKADP_2023000156</t>
  </si>
  <si>
    <t>BKADP_2023000618</t>
  </si>
  <si>
    <t>BKADP_2023000541</t>
  </si>
  <si>
    <t>BKADP_2023000603</t>
  </si>
  <si>
    <t>BKADP_20230001498</t>
  </si>
  <si>
    <t>BKADP_2023000235</t>
  </si>
  <si>
    <t>BKADP_20230001178</t>
  </si>
  <si>
    <t>BKADP_20230001469</t>
  </si>
  <si>
    <t>BKADP_2023000698</t>
  </si>
  <si>
    <t>BKADP_2023000902</t>
  </si>
  <si>
    <t>BKADP_20230001211</t>
  </si>
  <si>
    <t>BKADP_20230001655</t>
  </si>
  <si>
    <t>BKADP_2023000901</t>
  </si>
  <si>
    <t>BKADP_2023000580</t>
  </si>
  <si>
    <t>BKADP_2023000330</t>
  </si>
  <si>
    <t>BKADP_20230001260</t>
  </si>
  <si>
    <t>BKADP_20230002006</t>
  </si>
  <si>
    <t>BKADP_20230002106</t>
  </si>
  <si>
    <t>BKADP_20230001777</t>
  </si>
  <si>
    <t>BKADP_2023000522</t>
  </si>
  <si>
    <t>BKADP_20230001370</t>
  </si>
  <si>
    <t>BKADP_20230002215</t>
  </si>
  <si>
    <t>BKADP_2023000499</t>
  </si>
  <si>
    <t>BKADP_20230002258</t>
  </si>
  <si>
    <t>BKADP_2023000630</t>
  </si>
  <si>
    <t>BKADP_20230001830</t>
  </si>
  <si>
    <t>BKADP_20230001860</t>
  </si>
  <si>
    <t>BKADP_20230001711</t>
  </si>
  <si>
    <t>BKADP_2023000160</t>
  </si>
  <si>
    <t>BKADP_2023000754</t>
  </si>
  <si>
    <t>BKADP_20230001522</t>
  </si>
  <si>
    <t>BKADP_20230002019</t>
  </si>
  <si>
    <t>BKADP_20230001231</t>
  </si>
  <si>
    <t>BKADP_2023000127</t>
  </si>
  <si>
    <t>BKADP_20230002174</t>
  </si>
  <si>
    <t>BKADP_20230002105</t>
  </si>
  <si>
    <t>BKADP_20230002320</t>
  </si>
  <si>
    <t>BKADP_2023000563</t>
  </si>
  <si>
    <t>BKADP_202300058</t>
  </si>
  <si>
    <t>BKADP_2023000257</t>
  </si>
  <si>
    <t>`</t>
  </si>
  <si>
    <t>Aditya Prabowo</t>
  </si>
  <si>
    <t>NADYA ALFIANA A R</t>
  </si>
  <si>
    <t>S1 - Teknik Informatika</t>
  </si>
  <si>
    <t>S1 - Manajemen</t>
  </si>
  <si>
    <t>S1 - Ilmu Pemerintahan</t>
  </si>
  <si>
    <t>S1 - Administrasi Publik</t>
  </si>
  <si>
    <t>S1 - Pendidikan Ekonomi</t>
  </si>
  <si>
    <t>S1 - Sistem Informasi</t>
  </si>
  <si>
    <t>S1 - Ilmu Administrasi Negara</t>
  </si>
  <si>
    <t>S1 - Teknik Telekomunikasi</t>
  </si>
  <si>
    <t>S1 - Ilmu Hukum</t>
  </si>
  <si>
    <t>S1 - Ilmu Komunikasi</t>
  </si>
  <si>
    <t>S1 - Teknik Komputer</t>
  </si>
  <si>
    <t>S1 - Hukum</t>
  </si>
  <si>
    <t>S1 - Business And Finance</t>
  </si>
  <si>
    <t>S1 - Akuntansi</t>
  </si>
  <si>
    <t>S1 - Ilmu Komputer</t>
  </si>
  <si>
    <t>S1 - Psikologi</t>
  </si>
  <si>
    <t>S1 - Sastra Inggris</t>
  </si>
  <si>
    <t>S1 - Arsitektur</t>
  </si>
  <si>
    <t>S1 - Perbankan Syariah</t>
  </si>
  <si>
    <t>S1 - Pendidikan Agama Kristen</t>
  </si>
  <si>
    <t>S1 - Pendidikan Bahasa Inggris</t>
  </si>
  <si>
    <t>S2 - Magister Pendidikan Bahasa Inggris</t>
  </si>
  <si>
    <t>S1 - Ilmu Administrasi Niaga</t>
  </si>
  <si>
    <t>S1 - Farmasi</t>
  </si>
  <si>
    <t>S1 - Agroteknologi</t>
  </si>
  <si>
    <t>S1 - Hukum Pidana</t>
  </si>
  <si>
    <t>S1 - Hukum Tata Negara</t>
  </si>
  <si>
    <t>S1 - Teknik Sipil</t>
  </si>
  <si>
    <t>S1 - Ekonomi Syariah</t>
  </si>
  <si>
    <t>S1 - Ekonomi</t>
  </si>
  <si>
    <t>S1 - Ekonomi Pembangunan</t>
  </si>
  <si>
    <t>S1 - Sosiologi</t>
  </si>
  <si>
    <t>S1 - Pendidikan Fisika</t>
  </si>
  <si>
    <t>S1 - Ilmu Hubungan Internasional</t>
  </si>
  <si>
    <t>S1 - Administrasi Bisnis</t>
  </si>
  <si>
    <t>S1 - Akuntansi Syariah</t>
  </si>
  <si>
    <t>S1 - Teknik Pertambangan</t>
  </si>
  <si>
    <t>S1 - Teknik Industri</t>
  </si>
  <si>
    <t>S2 - Teknik Sipil</t>
  </si>
  <si>
    <t>S2 - Magister Akuntansi</t>
  </si>
  <si>
    <t>Mitha Suci Qomariah</t>
  </si>
  <si>
    <t>Kuala Kapuas, 29 Mei 2000</t>
  </si>
  <si>
    <t>S1 - Bimbingan Dan Konseling</t>
  </si>
  <si>
    <t>Tri Syamsul Ariansyah</t>
  </si>
  <si>
    <t>Pangkalanbun, 09 Februari 1995</t>
  </si>
  <si>
    <t>Egha Rhayna</t>
  </si>
  <si>
    <t>Pangkalan Bun, 25 Agustus 1996</t>
  </si>
  <si>
    <t>Sampit, 20 September 1999</t>
  </si>
  <si>
    <t>S1 - Hukum Ekonomi Syariah</t>
  </si>
  <si>
    <t>Muhamad Bismi Rico Arifin</t>
  </si>
  <si>
    <t>Sampit, 12 Agustus 1998</t>
  </si>
  <si>
    <t>Muhammad Wahid Hidayat</t>
  </si>
  <si>
    <t>Samuda, 28 April 1998</t>
  </si>
  <si>
    <t>Nigo Rizky Juniarga</t>
  </si>
  <si>
    <t>Sampit, 26 Juni 2001</t>
  </si>
  <si>
    <t>Galuh Nurdianty</t>
  </si>
  <si>
    <t>Semelagi Besar, 10 Juli 1999</t>
  </si>
  <si>
    <t>Muhammad Azhar Basid</t>
  </si>
  <si>
    <t>Sampit, 04 November 1995</t>
  </si>
  <si>
    <t>Olyvia Dhevita Marhanda</t>
  </si>
  <si>
    <t>Palangka Raya, 27 November 2001</t>
  </si>
  <si>
    <t>S1 - Budidaya Perairan</t>
  </si>
  <si>
    <t>Avif Gayuh Pribadi</t>
  </si>
  <si>
    <t>Kotawaringin Barat, 05 April 1997</t>
  </si>
  <si>
    <t>S1 - Informatika</t>
  </si>
  <si>
    <t>Muara Teweh, 23 Mei 2000</t>
  </si>
  <si>
    <t>Handika Rio Rinaldie</t>
  </si>
  <si>
    <t>Palangkaraya, 16 Oktober 1997</t>
  </si>
  <si>
    <t>S1 - Teknologi Informasi</t>
  </si>
  <si>
    <t>Lila Denayu Yustian</t>
  </si>
  <si>
    <t>Sampit, 31 Juli 1999</t>
  </si>
  <si>
    <t>S1 - Studi Ekonomi Pembangunan</t>
  </si>
  <si>
    <t>Penti Pepriyanti</t>
  </si>
  <si>
    <t>Kuala Pembuang, 08 Februari 2001</t>
  </si>
  <si>
    <t>S1 - Hukum Keluarga Islam</t>
  </si>
  <si>
    <t>Anindya Shannon Dhaneswara</t>
  </si>
  <si>
    <t>Sampit, 16 Februari 1998</t>
  </si>
  <si>
    <t>Arga Dwi Cahya</t>
  </si>
  <si>
    <t>Kasongan, 15 Maret 1999</t>
  </si>
  <si>
    <t>Jodi Fangki Julian</t>
  </si>
  <si>
    <t>Nanga Bulik, 04 Juli 2000</t>
  </si>
  <si>
    <t>S1 - Teknologi Hasil Pertanian</t>
  </si>
  <si>
    <t>Merari Kristiawan Mempun</t>
  </si>
  <si>
    <t>Boyolali, 07 Desember 1999</t>
  </si>
  <si>
    <t>Laurent Fernanda Putri Kawanua Kila</t>
  </si>
  <si>
    <t>Pangkalan Bun, 01 Maret 1998</t>
  </si>
  <si>
    <t>Petra Eka Sinta</t>
  </si>
  <si>
    <t>Sampit, 08 November 1997</t>
  </si>
  <si>
    <t>Rizky Subhanur Akbar</t>
  </si>
  <si>
    <t>Muara Teweh, 23 Juli 2000</t>
  </si>
  <si>
    <t>Muhammad Iqbal Adi Putra</t>
  </si>
  <si>
    <t>Pangkalan Bun, 29 Oktober 2000</t>
  </si>
  <si>
    <t>Nadya Fatihah</t>
  </si>
  <si>
    <t>Puruk Cahu, 03 Juli 2000</t>
  </si>
  <si>
    <t>Ribka Yunithea</t>
  </si>
  <si>
    <t>Sampit, 14 Juni 1995</t>
  </si>
  <si>
    <t>S1 - Perencanaan Wilayah Dan Kota</t>
  </si>
  <si>
    <t>Sukma Wijaya</t>
  </si>
  <si>
    <t>Babai, 07 November 2000</t>
  </si>
  <si>
    <t>Alfen Rendy</t>
  </si>
  <si>
    <t>Pendahara, 09 Mei 1996</t>
  </si>
  <si>
    <t>Intan Khaerunisa</t>
  </si>
  <si>
    <t>Banjarnegara, 19 Oktober 1997</t>
  </si>
  <si>
    <t>Lissiatus Sirriah</t>
  </si>
  <si>
    <t>Pangkalan Bun, 28 Juni 1997</t>
  </si>
  <si>
    <t>S1 - Matematika</t>
  </si>
  <si>
    <t>Bahaur, 14 Februari 2001</t>
  </si>
  <si>
    <t>Mega Sentiya</t>
  </si>
  <si>
    <t>Bandung, 09 Mei 1999</t>
  </si>
  <si>
    <t>Nurbayna Mujadalah</t>
  </si>
  <si>
    <t>Kotawaringin Lama, 05 Juli 2000</t>
  </si>
  <si>
    <t>Nursyahamah Ath Thaariqul Jum Ati</t>
  </si>
  <si>
    <t>Muara Laung I, 14 Januari 2000</t>
  </si>
  <si>
    <t>Pingkan Rahayu Wilujeng</t>
  </si>
  <si>
    <t>Sidoarjo, 15 April 1999</t>
  </si>
  <si>
    <t>Retna Ayuni Sirait</t>
  </si>
  <si>
    <t>Palangkaraya, 05 November 1996</t>
  </si>
  <si>
    <t>Tari Sukawati</t>
  </si>
  <si>
    <t>Buntok, 07 Agustus 1999</t>
  </si>
  <si>
    <t>Elizabeth Miracle Mercy Manalu</t>
  </si>
  <si>
    <t>Muara Teweh, 30 Mei 2001</t>
  </si>
  <si>
    <t>Heru Andrey Styawan</t>
  </si>
  <si>
    <t>Sampit, 15 Mei 1998</t>
  </si>
  <si>
    <t>Nensy Maria Halim</t>
  </si>
  <si>
    <t>Sampit, 18 Oktober 2000</t>
  </si>
  <si>
    <t>Pathron Antabella</t>
  </si>
  <si>
    <t>Bangkuang, 10 Januari 2000</t>
  </si>
  <si>
    <t>Eno Ratih Asih</t>
  </si>
  <si>
    <t>S1 - Manajemen Keuangan</t>
  </si>
  <si>
    <t>Yanuarien Dwi Laksmi</t>
  </si>
  <si>
    <t>Anastasia Feby Mandey</t>
  </si>
  <si>
    <t>Muara Teweh, 09 Februari 1997</t>
  </si>
  <si>
    <t>Lusia Alvionita</t>
  </si>
  <si>
    <t>Sampit, 13 April 2001</t>
  </si>
  <si>
    <t>S1 - Manajemen Pendidikan Islam</t>
  </si>
  <si>
    <t>Fariz Maulana Hakim</t>
  </si>
  <si>
    <t>Runtu, 11 April 1996</t>
  </si>
  <si>
    <t>Theresia Kusdini Wulandari</t>
  </si>
  <si>
    <t>Pangkalan Bun, 07 November 1998</t>
  </si>
  <si>
    <t>Jaliana Ulandari</t>
  </si>
  <si>
    <t>Puruk Cahu, 03 September 1998</t>
  </si>
  <si>
    <t>Rabbela Gabriel</t>
  </si>
  <si>
    <t>Pangkalan Bun, 06 Juli 1999</t>
  </si>
  <si>
    <t>Athar Wira Lesuyu</t>
  </si>
  <si>
    <t>Tabak Kanilan, 03 November 1997</t>
  </si>
  <si>
    <t>Dedy Setiawan</t>
  </si>
  <si>
    <t>Pangkalan Bun, 26 Agustus 1998</t>
  </si>
  <si>
    <t>S1 - Manajemen Konsentrasi Keuangan</t>
  </si>
  <si>
    <t>Deya Nopita</t>
  </si>
  <si>
    <t>Pangkalan Bun, 05 Agustus 1999</t>
  </si>
  <si>
    <t>Jesicca Istib Sarotul Insyah</t>
  </si>
  <si>
    <t>Lubuk Ranggan, 11 Maret 2001</t>
  </si>
  <si>
    <t>Trisa Novia</t>
  </si>
  <si>
    <t>Kotawaringin Timur, 29 Januari 2001</t>
  </si>
  <si>
    <t>Ahmad Indra Danyswara</t>
  </si>
  <si>
    <t>Pangkalan Bun, 01 Maret 1997</t>
  </si>
  <si>
    <t>Ahmad Alamsyah Rizani</t>
  </si>
  <si>
    <t>Semarang, 19 April 1996</t>
  </si>
  <si>
    <t>Lintang Dima Ramadhani</t>
  </si>
  <si>
    <t>Pangkalan Bun, 28 Januari 1998</t>
  </si>
  <si>
    <t>S1 - Agribisnis</t>
  </si>
  <si>
    <t>Lusia Dwi Meilisari</t>
  </si>
  <si>
    <t>Kuala Kurun, 08 Mei 2000</t>
  </si>
  <si>
    <t>Sherina Tresia</t>
  </si>
  <si>
    <t>Tumbang Samba, 28 Januari 2001</t>
  </si>
  <si>
    <t>Aura Anastasya Nurmalita</t>
  </si>
  <si>
    <t>Banyumas, 12 September 2000</t>
  </si>
  <si>
    <t>Citra Ari Prasatya</t>
  </si>
  <si>
    <t>Sampirang Ii, 01 Desember 2000</t>
  </si>
  <si>
    <t>Dandi Riadi</t>
  </si>
  <si>
    <t>Pangkalan Bun, 26 Juli 1998</t>
  </si>
  <si>
    <t>Wirna Mujiati</t>
  </si>
  <si>
    <t>Pembuang Hulu, 04 Februari 1995</t>
  </si>
  <si>
    <t>S1 - Pendidikan</t>
  </si>
  <si>
    <t>Addy Sujarwo</t>
  </si>
  <si>
    <t>Pangkalanbun, 10 Juni 1997</t>
  </si>
  <si>
    <t>Zelika Putri Yodiansari</t>
  </si>
  <si>
    <t>Pangkalan Bun, 04 Desember 1999</t>
  </si>
  <si>
    <t>Septia Aida Putri</t>
  </si>
  <si>
    <t>Sampit, 05 September 1998</t>
  </si>
  <si>
    <t>Septri Marito Simbolon</t>
  </si>
  <si>
    <t>Pangkalan Bun, 05 September 2000</t>
  </si>
  <si>
    <t>S1 - Kesehatan Masyarakat</t>
  </si>
  <si>
    <t>Agnesio Christian Ferry Dani Saputra</t>
  </si>
  <si>
    <t>Sampit, 19 Agustus 1998</t>
  </si>
  <si>
    <t>Febry Yanti</t>
  </si>
  <si>
    <t>Sampit Kotawaringin Timur, 05 Februari 2001</t>
  </si>
  <si>
    <t>S1 - Manajement</t>
  </si>
  <si>
    <t>Yola Istirana</t>
  </si>
  <si>
    <t>Tewah, 19 Mei 1999</t>
  </si>
  <si>
    <t>Akhmad Pebrianto Yunus Aji</t>
  </si>
  <si>
    <t>Pangkalan Bun, 04 Februari 1997</t>
  </si>
  <si>
    <t>Nia Aprilia</t>
  </si>
  <si>
    <t>Kasongan, 09 April 1999</t>
  </si>
  <si>
    <t>Bayu Tuah Septianto</t>
  </si>
  <si>
    <t>Muara Teweh, 12 September 2000</t>
  </si>
  <si>
    <t>Juan Jordan Daya</t>
  </si>
  <si>
    <t>Pulang Pisau, 01 Oktober 2000</t>
  </si>
  <si>
    <t>Ahmad Bakri</t>
  </si>
  <si>
    <t>Kapuas, 17 April 1999</t>
  </si>
  <si>
    <t>Arbainah</t>
  </si>
  <si>
    <t>Banjarmasin, 10 Juli 1996</t>
  </si>
  <si>
    <t>Arie Wiranatha</t>
  </si>
  <si>
    <t>Kuala Kapuas, 08 Januari 1999</t>
  </si>
  <si>
    <t>Erwin Perdana</t>
  </si>
  <si>
    <t>Palangkaraya, 21 September 1997</t>
  </si>
  <si>
    <t>Lidya Lestarie</t>
  </si>
  <si>
    <t>Kuala Pembuang, 15 Februari 1995</t>
  </si>
  <si>
    <t>Machnita Rachma Jaya</t>
  </si>
  <si>
    <t>Palangka Raya, 21 Desember 1997</t>
  </si>
  <si>
    <t>Meyna Andriani</t>
  </si>
  <si>
    <t>Pangkalan Bun, 22 Mei 1997</t>
  </si>
  <si>
    <t>Miftahur Riska</t>
  </si>
  <si>
    <t>Samuda Kota, 11 November 2001</t>
  </si>
  <si>
    <t>Rahmadani Shofari</t>
  </si>
  <si>
    <t>Palangka Raya, 07 Juli 1996</t>
  </si>
  <si>
    <t>Yulita Firdayanti</t>
  </si>
  <si>
    <t>Sukamara, 07 Juli 2000</t>
  </si>
  <si>
    <t>Agus Winata</t>
  </si>
  <si>
    <t>Goha, 23 Agustus 2000</t>
  </si>
  <si>
    <t>S1 - Manajemen Transportasi Udara</t>
  </si>
  <si>
    <t>Ahmadi Saputra</t>
  </si>
  <si>
    <t>Palangkaraya, 12 Maret 1999</t>
  </si>
  <si>
    <t>S1 - Akutansi</t>
  </si>
  <si>
    <t>Almes Meigory</t>
  </si>
  <si>
    <t>Pendahara, 02 Mei 1997</t>
  </si>
  <si>
    <t>Conni Meidina Aritonang</t>
  </si>
  <si>
    <t>Palangka Raya, 25 Mei 1996</t>
  </si>
  <si>
    <t>Dapit Chandra</t>
  </si>
  <si>
    <t>Kujan, 18 Juni 1998</t>
  </si>
  <si>
    <t>Devi Aprilina Agustin</t>
  </si>
  <si>
    <t>Sampit, 21 April 1999</t>
  </si>
  <si>
    <t>S1 - Ilmu Ekonomi Studi Pembangunan</t>
  </si>
  <si>
    <t>Dhella Puspita</t>
  </si>
  <si>
    <t>Buntok, 10 April 2001</t>
  </si>
  <si>
    <t>Dontes Royki Siburian</t>
  </si>
  <si>
    <t>Tanjung Gunung, 24 September 1996</t>
  </si>
  <si>
    <t>S1 - Manajemen Sumberdaya Perairan</t>
  </si>
  <si>
    <t>Fiersha Feby Wildananda</t>
  </si>
  <si>
    <t>Pangkalan Bun, 03 Februari 2000</t>
  </si>
  <si>
    <t>Hilyatul Aulia</t>
  </si>
  <si>
    <t>Kuala Kapuas, 18 November 2000</t>
  </si>
  <si>
    <t>Juan Andini Silip</t>
  </si>
  <si>
    <t>Palangkaraya, 22 Juni 2000</t>
  </si>
  <si>
    <t>Marthin Irfandi Damanik</t>
  </si>
  <si>
    <t>Palangkaraya, 15 Maret 1996</t>
  </si>
  <si>
    <t>Pulang Pisau, 29 Maret 1999</t>
  </si>
  <si>
    <t>S1 - Administrasi Negara</t>
  </si>
  <si>
    <t>Muhammad Dandy Ari Murti</t>
  </si>
  <si>
    <t>Kuala Kapuas, 26 Januari 1995</t>
  </si>
  <si>
    <t>Muthia Ayu Salsabila</t>
  </si>
  <si>
    <t>Banjarmasin, 12 Juli 2001</t>
  </si>
  <si>
    <t>Risma Nur Hikmah</t>
  </si>
  <si>
    <t>Pulang Pisau, 25 Juli 2000</t>
  </si>
  <si>
    <t>S1 - Agroekoteknologi</t>
  </si>
  <si>
    <t>Tobias Valentino Febian</t>
  </si>
  <si>
    <t>Mandomai, 19 Februari 2000</t>
  </si>
  <si>
    <t>Vella Rosika</t>
  </si>
  <si>
    <t>Pangkalan Bun, 14 Oktober 1997</t>
  </si>
  <si>
    <t>Wy Angela Srinivasa</t>
  </si>
  <si>
    <t>Kanamit, 03 April 1999</t>
  </si>
  <si>
    <t>Adhitya Surya Saputra</t>
  </si>
  <si>
    <t>Jakarta, 23 Juni 1996</t>
  </si>
  <si>
    <t>Ahmad Khairul Umam</t>
  </si>
  <si>
    <t>Palangka Raya, 18 Februari 1996</t>
  </si>
  <si>
    <t>Fikra Fuady</t>
  </si>
  <si>
    <t>Jakarta, 26 Oktober 1996</t>
  </si>
  <si>
    <t>S1 - Manajemen Operasional</t>
  </si>
  <si>
    <t>Sampit, 06 Oktober 1998</t>
  </si>
  <si>
    <t>S1 - Ilmu Kelautan</t>
  </si>
  <si>
    <t>Marcorius</t>
  </si>
  <si>
    <t>Pulang Pisau, 28 Maret 1996</t>
  </si>
  <si>
    <t>Mersela Ramadhanti Putri</t>
  </si>
  <si>
    <t>Palangka Raya, 21 Oktober 2000</t>
  </si>
  <si>
    <t>S1 - Jurusan Teknik Informatika</t>
  </si>
  <si>
    <t>Nurul Aisyarah</t>
  </si>
  <si>
    <t>Tumbang Sanamang, 18 September 2001</t>
  </si>
  <si>
    <t>Siti Norhalisa</t>
  </si>
  <si>
    <t>Palangka Raya, 11 April 2001</t>
  </si>
  <si>
    <t>Zakharia</t>
  </si>
  <si>
    <t>Kuala Kapuas, 11 Desember 1998</t>
  </si>
  <si>
    <t>Aditya Putra Pratama</t>
  </si>
  <si>
    <t>Palangkaraya, 11 Juni 2000</t>
  </si>
  <si>
    <t>S1 - Pekerjaan Sosial</t>
  </si>
  <si>
    <t>Analistra Susedia Putri</t>
  </si>
  <si>
    <t>Palangka Raya, 12 September 2000</t>
  </si>
  <si>
    <t>Lili Handayani</t>
  </si>
  <si>
    <t>Bangkuang, 17 Maret 1996</t>
  </si>
  <si>
    <t>Sonia Bellajessica</t>
  </si>
  <si>
    <t>Palangka Raya, 09 April 2000</t>
  </si>
  <si>
    <t>Tri Daya Amiano</t>
  </si>
  <si>
    <t>Palangka Raya, 09 Mei 1995</t>
  </si>
  <si>
    <t>Aninditha Ananda Ayu Asmara</t>
  </si>
  <si>
    <t>Palangka Raya, 06 September 1998</t>
  </si>
  <si>
    <t>Tabitha Stefani Putri</t>
  </si>
  <si>
    <t>Palangka Raya, 04 Agustus 2002</t>
  </si>
  <si>
    <t>S1 - Hubungan Masyarakat</t>
  </si>
  <si>
    <t>Theresia Sonia Felinda</t>
  </si>
  <si>
    <t>Palangka Raya, 22 Januari 1999</t>
  </si>
  <si>
    <t>Yaya Desianty Suriansyah</t>
  </si>
  <si>
    <t>Palangka Raya, 17 Desember 1995</t>
  </si>
  <si>
    <t>Muhammad Ery Kuswanto</t>
  </si>
  <si>
    <t>Palangka Raya, 29 Juli 1996</t>
  </si>
  <si>
    <t>Muhammad Bayu Wiranoto</t>
  </si>
  <si>
    <t>Palangka Raya, 23 Desember 1998</t>
  </si>
  <si>
    <t>Gita Sophie Suciatma Tajudin</t>
  </si>
  <si>
    <t>Palangka Raya, 09 Maret 2001</t>
  </si>
  <si>
    <t>Monica Ananda Natasya</t>
  </si>
  <si>
    <t>Palangka Raya, 16 April 2000</t>
  </si>
  <si>
    <t>Gloria Natalina</t>
  </si>
  <si>
    <t>Palangka Raya, 13 Desember 1995</t>
  </si>
  <si>
    <t>Setiawan Novanto</t>
  </si>
  <si>
    <t>Palangka Raya, 31 Juli 1999</t>
  </si>
  <si>
    <t>Widya Silpiana Sari</t>
  </si>
  <si>
    <t>Palangka Raya, 01 Mei 1997</t>
  </si>
  <si>
    <t>Wiliam Pratama</t>
  </si>
  <si>
    <t>Palangka Raya, 06 Januari 1999</t>
  </si>
  <si>
    <t>Ade Oktaviani</t>
  </si>
  <si>
    <t>Palangka Raya, 27 Oktober 1996</t>
  </si>
  <si>
    <t>Muhammad Afrizal</t>
  </si>
  <si>
    <t>Palangkaraya, 17 September 2001</t>
  </si>
  <si>
    <t>Sidqi Sabilly</t>
  </si>
  <si>
    <t>Palangka Raya, 03 Oktober 2000</t>
  </si>
  <si>
    <t>Christabella Agatha</t>
  </si>
  <si>
    <t>Palangka Raya, 03 Desember 1999</t>
  </si>
  <si>
    <t>S1 - Pendidikan Bahasa Jerman</t>
  </si>
  <si>
    <t>Kambang Evelin</t>
  </si>
  <si>
    <t>Palangka Raya, 27 Juni 1998</t>
  </si>
  <si>
    <t>Deddie Marthin Perwira</t>
  </si>
  <si>
    <t>Palangka Raya, 14 Desember 1996</t>
  </si>
  <si>
    <t>Ivana Yolanda Umar</t>
  </si>
  <si>
    <t>Palangka Raya, 19 Juni 1996</t>
  </si>
  <si>
    <t>Martkhoryano Eka Putra</t>
  </si>
  <si>
    <t>Palangka Raya, 27 Maret 1998</t>
  </si>
  <si>
    <t>S1 - Teknologi Hasil Perikanan</t>
  </si>
  <si>
    <t>Tomy</t>
  </si>
  <si>
    <t>Palangka Raya, 21 Juni 1995</t>
  </si>
  <si>
    <t>S1 - Bimbingan Konseling</t>
  </si>
  <si>
    <t>Deasy Nathalisa</t>
  </si>
  <si>
    <t>Palangka Raya, 19 Desember 1998</t>
  </si>
  <si>
    <t>Dede Risqi Kurniawan</t>
  </si>
  <si>
    <t>Palangka Raya, 19 Februari 1998</t>
  </si>
  <si>
    <t>Hanna Grahitha Septia</t>
  </si>
  <si>
    <t>Palangka Raya, 19 September 2001</t>
  </si>
  <si>
    <t>Agnes Pangapoi Embang</t>
  </si>
  <si>
    <t>Palangka Raya, 03 Agustus 2000</t>
  </si>
  <si>
    <t>Andreas Nonop Hawi Anugerahno</t>
  </si>
  <si>
    <t>Palangka Raya, 01 November 1996</t>
  </si>
  <si>
    <t>S1 - Teknik Lingkungan</t>
  </si>
  <si>
    <t>Bella Yunita</t>
  </si>
  <si>
    <t>Palangka Raya, 10 Juli 1998</t>
  </si>
  <si>
    <t>Budi Setiawan</t>
  </si>
  <si>
    <t>Palangka Raya, 17 Juli 1996</t>
  </si>
  <si>
    <t>Elisnawati Eva Yunita</t>
  </si>
  <si>
    <t>Buhut Jaya, 17 November 1996</t>
  </si>
  <si>
    <t>S1 - Teknologi Pendidikan</t>
  </si>
  <si>
    <t>Fitriyanti</t>
  </si>
  <si>
    <t>Bereng Bengkel, 05 Januari 2000</t>
  </si>
  <si>
    <t>Novia</t>
  </si>
  <si>
    <t>Mantangai, 08 November 1999</t>
  </si>
  <si>
    <t>Adelina Safitri</t>
  </si>
  <si>
    <t>Palingkau, 15 Agustus 1997</t>
  </si>
  <si>
    <t>Rahmi Triyana</t>
  </si>
  <si>
    <t>Kuala Kapuas, 01 Juni 1999</t>
  </si>
  <si>
    <t>Fransinuraya Elbino</t>
  </si>
  <si>
    <t>Kapuas, 10 Januari 1995</t>
  </si>
  <si>
    <t>Anissa Nabilah Astri Ningsih</t>
  </si>
  <si>
    <t>Pangkalan Bun, 03 Desember 1999</t>
  </si>
  <si>
    <t>Sirajul Huda</t>
  </si>
  <si>
    <t>Pangkalan Bun, 29 November 1999</t>
  </si>
  <si>
    <t>Federico Elkana Fiscoli</t>
  </si>
  <si>
    <t>Kuala Kapuas, 14 Januari 1995</t>
  </si>
  <si>
    <t>Tianur Seraya Tambunan</t>
  </si>
  <si>
    <t>Palangka Raya, 30 Januari 1999</t>
  </si>
  <si>
    <t>Rido Firliandani</t>
  </si>
  <si>
    <t>Kotim, 30 November 1995</t>
  </si>
  <si>
    <t>BKADP_2023000726</t>
  </si>
  <si>
    <t>BKADP_2023000812</t>
  </si>
  <si>
    <t>BKADP_20230001874</t>
  </si>
  <si>
    <t>BKADP_20230001194</t>
  </si>
  <si>
    <t>BKADP_20230001698</t>
  </si>
  <si>
    <t>BKADP_2023000764</t>
  </si>
  <si>
    <t>BKADP_20230001207</t>
  </si>
  <si>
    <t>BKADP_2023000629</t>
  </si>
  <si>
    <t>BKADP_20230002372</t>
  </si>
  <si>
    <t>BKADP_20230001391</t>
  </si>
  <si>
    <t>BKADP_20230001400</t>
  </si>
  <si>
    <t>BKADP_20230001220</t>
  </si>
  <si>
    <t>BKADP_20230001149</t>
  </si>
  <si>
    <t>BKADP_20230002228</t>
  </si>
  <si>
    <t>BKADP_20230002344</t>
  </si>
  <si>
    <t>BKADP_20230001839</t>
  </si>
  <si>
    <t>BKADP_2023000438</t>
  </si>
  <si>
    <t>BKADP_2023000987</t>
  </si>
  <si>
    <t>BKADP_20230001448</t>
  </si>
  <si>
    <t>BKADP_20230001087</t>
  </si>
  <si>
    <t>BKADP_2023000294</t>
  </si>
  <si>
    <t>BKADP_20230001910</t>
  </si>
  <si>
    <t>BKADP_2023000400</t>
  </si>
  <si>
    <t>BKADP_2023000762</t>
  </si>
  <si>
    <t>BKADP_2023000552</t>
  </si>
  <si>
    <t>BKADP_2023000954</t>
  </si>
  <si>
    <t>BKADP_2023000141</t>
  </si>
  <si>
    <t>BKADP_202300066</t>
  </si>
  <si>
    <t>BKADP_20230002164</t>
  </si>
  <si>
    <t>BKADP_2023000286</t>
  </si>
  <si>
    <t>BKADP_20230001761</t>
  </si>
  <si>
    <t>BKADP_20230001684</t>
  </si>
  <si>
    <t>BKADP_20230001138</t>
  </si>
  <si>
    <t>BKADP_20230001641</t>
  </si>
  <si>
    <t>BKADP_20230001531</t>
  </si>
  <si>
    <t>BKADP_20230001337</t>
  </si>
  <si>
    <t>BKADP_20230001552</t>
  </si>
  <si>
    <t>BKADP_20230001273</t>
  </si>
  <si>
    <t>BKADP_20230001835</t>
  </si>
  <si>
    <t>BKADP_2023000858</t>
  </si>
  <si>
    <t>BKADP_2023000855</t>
  </si>
  <si>
    <t>BKADP_2023000493</t>
  </si>
  <si>
    <t>BKADP_2023000908</t>
  </si>
  <si>
    <t>BKADP_2023000407</t>
  </si>
  <si>
    <t>BKADP_2023000424</t>
  </si>
  <si>
    <t>BKADP_2023000691</t>
  </si>
  <si>
    <t>BKADP_2023000218</t>
  </si>
  <si>
    <t>BKADP_2023000975</t>
  </si>
  <si>
    <t>BKADP_2023000231</t>
  </si>
  <si>
    <t>BKADP_202300022</t>
  </si>
  <si>
    <t>BKADP_2023000485</t>
  </si>
  <si>
    <t>BKADP_2023000290</t>
  </si>
  <si>
    <t>BKADP_20230001113</t>
  </si>
  <si>
    <t>BKADP_202300023</t>
  </si>
  <si>
    <t>BKADP_2023000233</t>
  </si>
  <si>
    <t>BKADP_2023000565</t>
  </si>
  <si>
    <t>BKADP_202300077</t>
  </si>
  <si>
    <t>BKADP_20230001783</t>
  </si>
  <si>
    <t>BKADP_2023000586</t>
  </si>
  <si>
    <t>BKADP_2023000636</t>
  </si>
  <si>
    <t>BKADP_2023000546</t>
  </si>
  <si>
    <t>BKADP_2023000185</t>
  </si>
  <si>
    <t>BKADP_20230001072</t>
  </si>
  <si>
    <t>BKADP_2023000545</t>
  </si>
  <si>
    <t>BKADP_2023000372</t>
  </si>
  <si>
    <t>BKADP_20230002307</t>
  </si>
  <si>
    <t>BKADP_20230001193</t>
  </si>
  <si>
    <t>BKADP_202300091</t>
  </si>
  <si>
    <t>BKADP_2023000261</t>
  </si>
  <si>
    <t>BKADP_20230001054</t>
  </si>
  <si>
    <t>BKADP_2023000138</t>
  </si>
  <si>
    <t>BKADP_20230001361</t>
  </si>
  <si>
    <t>BKADP_20230002052</t>
  </si>
  <si>
    <t>BKADP_2023000971</t>
  </si>
  <si>
    <t>BKADP_2023000316</t>
  </si>
  <si>
    <t>BKADP_20230001815</t>
  </si>
  <si>
    <t>BKADP_2023000304</t>
  </si>
  <si>
    <t>BKADP_20230002188</t>
  </si>
  <si>
    <t>BKADP_20230001422</t>
  </si>
  <si>
    <t>BKADP_20230001479</t>
  </si>
  <si>
    <t>BKADP_20230002169</t>
  </si>
  <si>
    <t>BKADP_20230001374</t>
  </si>
  <si>
    <t>BKADP_2023000260</t>
  </si>
  <si>
    <t>BKADP_20230002362</t>
  </si>
  <si>
    <t>BKADP_20230001926</t>
  </si>
  <si>
    <t>BKADP_20230002029</t>
  </si>
  <si>
    <t>BKADP_20230002074</t>
  </si>
  <si>
    <t>BKADP_20230001751</t>
  </si>
  <si>
    <t>BKADP_20230001278</t>
  </si>
  <si>
    <t>BKADP_20230002326</t>
  </si>
  <si>
    <t>BKADP_2023000755</t>
  </si>
  <si>
    <t>BKADP_20230001615</t>
  </si>
  <si>
    <t>BKADP_2023000272</t>
  </si>
  <si>
    <t>BKADP_2023000962</t>
  </si>
  <si>
    <t>BKADP_2023000585</t>
  </si>
  <si>
    <t>BKADP_20230002175</t>
  </si>
  <si>
    <t>BKADP_20230001963</t>
  </si>
  <si>
    <t>BKADP_20230002130</t>
  </si>
  <si>
    <t>BKADP_20230001627</t>
  </si>
  <si>
    <t>BKADP_20230002203</t>
  </si>
  <si>
    <t>BKADP_20230001773</t>
  </si>
  <si>
    <t>BKADP_20230001928</t>
  </si>
  <si>
    <t>BKADP_2023000953</t>
  </si>
  <si>
    <t>BKADP_2023000151</t>
  </si>
  <si>
    <t>BKADP_2023000566</t>
  </si>
  <si>
    <t>BKADP_20230001934</t>
  </si>
  <si>
    <t>BKADP_20230001079</t>
  </si>
  <si>
    <t>BKADP_20230001254</t>
  </si>
  <si>
    <t>BKADP_20230001038</t>
  </si>
  <si>
    <t>BKADP_20230001568</t>
  </si>
  <si>
    <t>BKADP_2023000760</t>
  </si>
  <si>
    <t>BKADP_2023000683</t>
  </si>
  <si>
    <t>BKADP_20230001082</t>
  </si>
  <si>
    <t>BKADP_2023000371</t>
  </si>
  <si>
    <t>BKADP_20230001402</t>
  </si>
  <si>
    <t>BKADP_2023000279</t>
  </si>
  <si>
    <t>BKADP_2023000251</t>
  </si>
  <si>
    <t>BKADP_2023000979</t>
  </si>
  <si>
    <t>BKADP_2023000136</t>
  </si>
  <si>
    <t>BKADP_202300041</t>
  </si>
  <si>
    <t>BKADP_2023000506</t>
  </si>
  <si>
    <t>BKADP_20230001437</t>
  </si>
  <si>
    <t>BKADP_2023000196</t>
  </si>
  <si>
    <t>BKADP_2023000518</t>
  </si>
  <si>
    <t>BKADP_2023000862</t>
  </si>
  <si>
    <t>BKADP_20230001321</t>
  </si>
  <si>
    <t>BKADP_2023000815</t>
  </si>
  <si>
    <t>BKADP_2023000295</t>
  </si>
  <si>
    <t>BKADP_2023000469</t>
  </si>
  <si>
    <t>BKADP_20230007</t>
  </si>
  <si>
    <t>BKADP_20230001132</t>
  </si>
  <si>
    <t>BKADP_2023000103</t>
  </si>
  <si>
    <t>BKADP_202300052</t>
  </si>
  <si>
    <t>BKADP_2023000150</t>
  </si>
  <si>
    <t>BKADP_2023000183</t>
  </si>
  <si>
    <t>BKADP_2023000213</t>
  </si>
  <si>
    <t>BKADP_20230001209</t>
  </si>
  <si>
    <t>BKADP_2023000593</t>
  </si>
  <si>
    <t>BKADP_2023000182</t>
  </si>
  <si>
    <t>BKADP_2023000838</t>
  </si>
  <si>
    <t>BKADP_2023000223</t>
  </si>
  <si>
    <t>BKADP_2023000311</t>
  </si>
  <si>
    <t>BKADP_20230002340</t>
  </si>
  <si>
    <t>BKADP_2023000292</t>
  </si>
  <si>
    <t>BKADP_2023000935</t>
  </si>
  <si>
    <t>BKADP_2023000308</t>
  </si>
  <si>
    <t>BKADP_20230001413</t>
  </si>
  <si>
    <t>BKADP_2023000846</t>
  </si>
  <si>
    <t>BKADP_20230001237</t>
  </si>
  <si>
    <t>BKADP_2023000492</t>
  </si>
  <si>
    <t>BKADP_20230001506</t>
  </si>
  <si>
    <t>BKADP_20230002041</t>
  </si>
  <si>
    <t>BKADP_20230001060</t>
  </si>
  <si>
    <t>BKADP_20230001010</t>
  </si>
  <si>
    <t>BKADP_2023000695</t>
  </si>
  <si>
    <t>RABBELA GABRIEL</t>
  </si>
  <si>
    <t>ALMES MEIGORY</t>
  </si>
  <si>
    <t>MUHAMMAD AFRIZAL</t>
  </si>
  <si>
    <t>M. Rasyid Hidayat</t>
  </si>
  <si>
    <t>MUHAMMAD ERY KUSWANTO</t>
  </si>
  <si>
    <t>HANDIKA RIO RINALDIE</t>
  </si>
  <si>
    <t>JUAN JORDAN DAYA</t>
  </si>
  <si>
    <t>SONIA BELLAJESSICA</t>
  </si>
  <si>
    <t>LUSIA ALVIONITA</t>
  </si>
  <si>
    <t>Anindya shannon dhaneswara</t>
  </si>
  <si>
    <t>WILIAM PRATAMA</t>
  </si>
  <si>
    <t>INTAN KHAERUNISA</t>
  </si>
  <si>
    <t>MUHAMMAD DANDY ARI MURTI</t>
  </si>
  <si>
    <t>NURBAYNA MUJADALAH</t>
  </si>
  <si>
    <t>DEDDIE MARTHIN PERWIRA</t>
  </si>
  <si>
    <t>MIFTAHUR RISKA</t>
  </si>
  <si>
    <t>KAMBANG EVELIN</t>
  </si>
  <si>
    <t>BAYU TUAH SEPTIANTO</t>
  </si>
  <si>
    <t>CONNI MEIDINA ARITONANG</t>
  </si>
  <si>
    <t>Mega sentiya</t>
  </si>
  <si>
    <t>FITRIYANTI</t>
  </si>
  <si>
    <t>M. Rizky Yulianto</t>
  </si>
  <si>
    <t>MITHA SUCI QOMARIAH</t>
  </si>
  <si>
    <t>TOMY</t>
  </si>
  <si>
    <t>PINGKAN RAHAYU WILUJENG</t>
  </si>
  <si>
    <t>MUHAMMAD WAHID HIDAYAT</t>
  </si>
  <si>
    <t>PETRA EKA SINTA</t>
  </si>
  <si>
    <t>RIZKY SUBHANUR AKBAR</t>
  </si>
  <si>
    <t>ARBAINAH</t>
  </si>
  <si>
    <t>YAYA DESIANTY SURIANSYAH</t>
  </si>
  <si>
    <t>ANINDITHA ANANDA AYU ASMARA</t>
  </si>
  <si>
    <t>WY ANGELA SRINIVASA</t>
  </si>
  <si>
    <t>Fresi Imelda Ginsu</t>
  </si>
  <si>
    <t>MUHAMMAD IQBAL ADI PUTRA</t>
  </si>
  <si>
    <t>MARTHIN IRFANDI DAMANIK</t>
  </si>
  <si>
    <t>SUKMA WIJAYA</t>
  </si>
  <si>
    <t>FARIZ MAULANA HAKIM</t>
  </si>
  <si>
    <t>ADHITYA SURYA SAPUTRA</t>
  </si>
  <si>
    <t>BELLA YUNITA</t>
  </si>
  <si>
    <t>TRI DAYA AMIANO</t>
  </si>
  <si>
    <t>ENO RATIH ASIH</t>
  </si>
  <si>
    <t>DEDY SETIAWAN</t>
  </si>
  <si>
    <t>RETNA AYUNI SIRAIT</t>
  </si>
  <si>
    <t>TRISA NOVIA</t>
  </si>
  <si>
    <t>NOVIA</t>
  </si>
  <si>
    <t>AURA ANASTASYA NURMALITA</t>
  </si>
  <si>
    <t>MERARI KRISTIAWAN MEMPUN</t>
  </si>
  <si>
    <t>MACHNITA RACHMA JAYA</t>
  </si>
  <si>
    <t>TARI SUKAWATI</t>
  </si>
  <si>
    <t>ZELIKA PUTRI YODIANSARI</t>
  </si>
  <si>
    <t>PATHRON ANTABELLA</t>
  </si>
  <si>
    <t>Dapit chandra</t>
  </si>
  <si>
    <t>ADDY SUJARWO</t>
  </si>
  <si>
    <t>NADYA FATIHAH</t>
  </si>
  <si>
    <t>Lidya lestarie</t>
  </si>
  <si>
    <t>AVIF GAYUH PRIBADI</t>
  </si>
  <si>
    <t>SEPTRI MARITO SIMBOLON</t>
  </si>
  <si>
    <t>JUAN ANDINI SILIP</t>
  </si>
  <si>
    <t>VELLA ROSIKA</t>
  </si>
  <si>
    <t>MONICA ANANDA NATASYA</t>
  </si>
  <si>
    <t>SIRAJUL HUDA</t>
  </si>
  <si>
    <t>TIANUR SERAYA TAMBUNAN</t>
  </si>
  <si>
    <t>Siti Nur Hajizah</t>
  </si>
  <si>
    <t>Rahmi triyana</t>
  </si>
  <si>
    <t>SEPTIA AIDA PUTRI</t>
  </si>
  <si>
    <t>MUHAMMAD AZHAR BASID</t>
  </si>
  <si>
    <t>Merupakan seorang yang antusias dan optimistik, ia lebih suka mencapai sasarannya melalui orang lain. Ia suka berhubungan dengan sesamanya - ia bahkan suka mengadakan “pesta” atau kegiatan untuk berkumpul, dan ini menunjukkan kepribadiannya yang ramah. Ia tidak suka bekerja sendirian dan cenderung bersama dengan orang lain dalam menyelesaikan proyek.  Perhatian dan fokusnya tidak sebaik apa yang dia inginkan -  maka ia membutuhkan energi yang besar untuk mampu bergerak cepat dari satu hal ke hal berikutnya tanpa penundaan.  Ia sangat menonjol dalam keterampilan berkomunikasi, dan ini merupakan salah satu kekuatan yang paling sering digunakan.  Ia memiliki kemampuan untuk memotivasi dan memberi semangat dengan kata-katanya, dan ia dikenal sebagai individu yang inspirasional. Ketika ia harus memusatkan perhatiannya pada tugas, Ia akan menjadi tidak akurat dan bahkan tidak terorganisir.  Tetapi ia akan memusatkan perhatian kepada yang harus ia senangkan, karena ia enggan sekali untuk menolak.  Ia menginginkan pengakuan sosial dan takut akan penolakan.  Ia mudah menemukan teman dan berusaha menciptakan suasana yang menyenangkan.  Ia membutuhkan seorang manajer atau supervisor untuk menentukan batas waktu yang jelas dalam pekerjaannya, ia lebih suka menggunakan gaya manajemen partisipatif yang dibangun berdasarkan hubungan yang kuat.</t>
  </si>
  <si>
    <t>Tidak basa-basi dan tegas, ia cenderung merupakan seorang invidualis yang kuat. Ia berpandangan jauh ke depan, progresif dan mau berkompetisi untuk mencapai sasaran. DI seorang yang selalu ingin tahu dan mempunyai minat dengan cakupan yang luas. Ia seorang yang logis, kritis dan tajam dalam memecahkan masalah. Sering kali ia tampak imajinatif. Ia mempunyai kemampuan memimpinan yang baik. Ia kadang tampak keras kepala atau dingin karena orientasi dan prioritasnya pada tugas cenderung melebihi orientasi terhadap sesama. Ia mencanangkan standard tinggi pada dirinya dan akan sangat kritis ketika standard ini tidak dicapai. Ia juga menempatkan standard tinggi pada orang-orang di sekitarnya, serta mengutamakan kesempurnaan. Ia menginginkan otoritas yang jelas dan menyukai tugas-tugas baru.</t>
  </si>
  <si>
    <t>D-I</t>
  </si>
  <si>
    <t>S-D-I</t>
  </si>
  <si>
    <t>Memiliki rasa ego yang tinggi dan cenderung invidualis dengan standard yang sangat tinggi. Ia lebih suka menganalisa masalah sendirian daripada bersama orang lain. Rasa egoisnya yang kuat membuatnya tidak nyaman di bawah kendali orang lain; ia lebih suka menjadi "boss" dan menetapkan standard tinggi baik untuk dirinya maupun orang lain. Ia menghindari sesuatu yang biasa-biasa dan cenderung mencari tantangan yang baru. Ia menyukai petualangan dan kadang-kadang beralih ke dalam petualangan baru sebelum mempertimbangkannya secara menyeluruh. Mampu memimpin situasi dan orang lain dalam rangka mencapai sasarannya; ia ingin selalu unggul dalam persaingan dengan taruhan apapun.</t>
  </si>
  <si>
    <t>Baik</t>
  </si>
  <si>
    <t>Baik Sekali</t>
  </si>
  <si>
    <t>Kurang</t>
  </si>
  <si>
    <t>Nadya Alfiana A R</t>
  </si>
  <si>
    <t xml:space="preserve">KS </t>
  </si>
  <si>
    <t>S1 - Pendidikan Luar Sekolah</t>
  </si>
  <si>
    <t>S1 - Pendidikan Kimia</t>
  </si>
  <si>
    <t>S2 - Magister Manajemen</t>
  </si>
  <si>
    <t>S1 - Pjkr</t>
  </si>
  <si>
    <t>S1 - Bahasa Inggris</t>
  </si>
  <si>
    <t>Palangka Raya, 10 Mei 2001</t>
  </si>
  <si>
    <t>S1 - Akuntansi Keuangan</t>
  </si>
  <si>
    <t>S1 - Desain Komunikasi Visual</t>
  </si>
  <si>
    <t>Semarang, 00 Januari 1900</t>
  </si>
  <si>
    <t>D3 - Diii Keperawatan</t>
  </si>
  <si>
    <t>Palangka Raya, 23 Juni 1995</t>
  </si>
  <si>
    <t>D3 - Akuntansi</t>
  </si>
  <si>
    <t>Dili, 01 Desember 1997</t>
  </si>
  <si>
    <t>S1 - Agribisnis Sosial Ekonomi Pertanian</t>
  </si>
  <si>
    <t>Palangkara, 14 Juni 1995</t>
  </si>
  <si>
    <t>Palangkaraya, 08 Juni 2001</t>
  </si>
  <si>
    <t>D3 - Keperawatan</t>
  </si>
  <si>
    <t>S1 - Ilmu Hukum Tata Negara</t>
  </si>
  <si>
    <t>Palangka Raya, 31 Oktober 1997</t>
  </si>
  <si>
    <t>D3 - Manajemen Transportasi</t>
  </si>
  <si>
    <t>Ratna Filani</t>
  </si>
  <si>
    <t>Palangka Raya, 16 Agustus 2001</t>
  </si>
  <si>
    <t>Palangka Raya, 17 Desember 1999</t>
  </si>
  <si>
    <t>Palangka Raya, 08 September 1998</t>
  </si>
  <si>
    <t>S1 - Sarjana Terapan Gizi Dan Dietetika</t>
  </si>
  <si>
    <t>Kuala Kapuas, 17 Mei 1997</t>
  </si>
  <si>
    <t>S1 - Perbank Syariah</t>
  </si>
  <si>
    <t>S1 - Ilmu Adminstrasi Publik</t>
  </si>
  <si>
    <t>D3 - Keuangan Dan Perbankan</t>
  </si>
  <si>
    <t>D3 - Survei Dan Pemetaan</t>
  </si>
  <si>
    <t>D3 - Agribisnis</t>
  </si>
  <si>
    <t>D3 - Kebidanan</t>
  </si>
  <si>
    <t>Banjar Masin, 18 Juli 2001</t>
  </si>
  <si>
    <t>Anjir Pulang Pisau, 23 Oktober 1995</t>
  </si>
  <si>
    <t>Samuda, 08 Februari 1999</t>
  </si>
  <si>
    <t>M. Saiful Rahman A M</t>
  </si>
  <si>
    <t>M. Rony Akbar Fajar</t>
  </si>
  <si>
    <t>Kuala Pembuang, 22 April 1999</t>
  </si>
  <si>
    <t>Asisten Administrasi Keuangan</t>
  </si>
  <si>
    <t>Kotabaru , 06 November 1997</t>
  </si>
  <si>
    <t>Tumbang Jutuh , 14 Januari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</si>
</sst>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21]dd\ mmmm\ yyyy;@"/>
  </numFmts>
  <fonts count="19" x14ac:knownFonts="1">
    <font>
      <sz val="11"/>
      <color theme="1"/>
      <name val="Calibri"/>
      <family val="2"/>
      <scheme val="minor"/>
    </font>
    <font>
      <b/>
      <sz val="11"/>
      <color theme="1"/>
      <name val="Calibri"/>
      <family val="2"/>
      <scheme val="minor"/>
    </font>
    <font>
      <sz val="10"/>
      <color theme="1"/>
      <name val="Arial"/>
      <family val="2"/>
    </font>
    <font>
      <b/>
      <sz val="11"/>
      <color rgb="FF000000"/>
      <name val="Calibri"/>
      <family val="2"/>
    </font>
    <font>
      <sz val="10"/>
      <name val="Arial"/>
      <family val="2"/>
    </font>
    <font>
      <b/>
      <sz val="9"/>
      <color theme="1"/>
      <name val="Calibri"/>
      <family val="2"/>
      <scheme val="minor"/>
    </font>
    <font>
      <sz val="9"/>
      <color theme="1"/>
      <name val="Calibri"/>
      <family val="2"/>
      <scheme val="minor"/>
    </font>
    <font>
      <sz val="10"/>
      <color rgb="FF000000"/>
      <name val="Arial"/>
      <family val="2"/>
    </font>
    <font>
      <sz val="11"/>
      <color theme="1"/>
      <name val="Calibri"/>
      <family val="2"/>
    </font>
    <font>
      <sz val="11"/>
      <color theme="1"/>
      <name val="Calibri"/>
      <family val="2"/>
      <scheme val="minor"/>
    </font>
    <font>
      <sz val="10.5"/>
      <color theme="1"/>
      <name val="Calibri"/>
      <family val="2"/>
      <scheme val="minor"/>
    </font>
    <font>
      <b/>
      <sz val="10.5"/>
      <color theme="1"/>
      <name val="Calibri"/>
      <family val="2"/>
      <scheme val="minor"/>
    </font>
    <font>
      <sz val="8"/>
      <color theme="1"/>
      <name val="Calibri"/>
      <family val="2"/>
      <scheme val="minor"/>
    </font>
    <font>
      <sz val="10"/>
      <color theme="1"/>
      <name val="Calibri"/>
      <family val="2"/>
      <scheme val="minor"/>
    </font>
    <font>
      <b/>
      <sz val="10"/>
      <color theme="1"/>
      <name val="Arial"/>
      <family val="2"/>
    </font>
    <font>
      <b/>
      <sz val="11"/>
      <color theme="1"/>
      <name val="Calibri"/>
      <family val="2"/>
    </font>
    <font>
      <sz val="10"/>
      <color theme="1"/>
      <name val="Calibri"/>
      <family val="2"/>
    </font>
    <font>
      <u/>
      <sz val="11"/>
      <color theme="10"/>
      <name val="Calibri"/>
      <family val="2"/>
      <scheme val="minor"/>
    </font>
    <font>
      <b/>
      <sz val="12"/>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bgColor rgb="FFFFFFFF"/>
      </patternFill>
    </fill>
    <fill>
      <patternFill patternType="solid">
        <fgColor rgb="FFFFFF66"/>
        <bgColor indexed="64"/>
      </patternFill>
    </fill>
    <fill>
      <patternFill patternType="solid">
        <fgColor rgb="FF99FF66"/>
        <bgColor indexed="64"/>
      </patternFill>
    </fill>
    <fill>
      <patternFill patternType="solid">
        <fgColor rgb="FF00FFFF"/>
        <bgColor indexed="64"/>
      </patternFill>
    </fill>
    <fill>
      <patternFill patternType="solid">
        <fgColor rgb="FFFFCC00"/>
        <bgColor indexed="64"/>
      </patternFill>
    </fill>
    <fill>
      <patternFill patternType="solid">
        <fgColor rgb="FFFF99FF"/>
        <bgColor indexed="64"/>
      </patternFill>
    </fill>
    <fill>
      <patternFill patternType="solid">
        <fgColor rgb="FF66FFCC"/>
        <bgColor indexed="64"/>
      </patternFill>
    </fill>
    <fill>
      <patternFill patternType="solid">
        <fgColor rgb="FF9999FF"/>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FFFFF"/>
        <bgColor indexed="64"/>
      </patternFill>
    </fill>
    <fill>
      <patternFill patternType="solid">
        <fgColor rgb="FFFFFF00"/>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s>
  <cellStyleXfs count="4">
    <xf numFmtId="0" fontId="0" fillId="0" borderId="0"/>
    <xf numFmtId="0" fontId="7" fillId="0" borderId="0"/>
    <xf numFmtId="9" fontId="9" fillId="0" borderId="0" applyFont="0" applyFill="0" applyBorder="0" applyAlignment="0" applyProtection="0"/>
    <xf numFmtId="0" fontId="17" fillId="0" borderId="0" applyNumberFormat="0" applyFill="0" applyBorder="0" applyAlignment="0" applyProtection="0"/>
  </cellStyleXfs>
  <cellXfs count="165">
    <xf numFmtId="0" fontId="0" fillId="0" borderId="0" xfId="0"/>
    <xf numFmtId="0" fontId="6" fillId="4" borderId="1" xfId="0" applyFont="1" applyFill="1" applyBorder="1" applyAlignment="1" applyProtection="1">
      <alignment horizontal="left" vertical="top" wrapText="1"/>
      <protection locked="0" hidden="1"/>
    </xf>
    <xf numFmtId="0" fontId="6" fillId="5" borderId="1" xfId="0" applyFont="1" applyFill="1" applyBorder="1" applyAlignment="1" applyProtection="1">
      <alignment horizontal="left" vertical="top" wrapText="1"/>
      <protection locked="0" hidden="1"/>
    </xf>
    <xf numFmtId="0" fontId="0" fillId="2" borderId="0" xfId="0" applyFill="1"/>
    <xf numFmtId="0" fontId="6" fillId="6" borderId="1" xfId="0" applyFont="1" applyFill="1" applyBorder="1" applyAlignment="1" applyProtection="1">
      <alignment horizontal="left" vertical="top" wrapText="1"/>
      <protection locked="0" hidden="1"/>
    </xf>
    <xf numFmtId="0" fontId="6" fillId="7" borderId="1" xfId="0" applyFont="1" applyFill="1" applyBorder="1" applyAlignment="1" applyProtection="1">
      <alignment horizontal="left" vertical="top" wrapText="1"/>
      <protection locked="0" hidden="1"/>
    </xf>
    <xf numFmtId="0" fontId="6" fillId="8" borderId="1" xfId="0" applyFont="1" applyFill="1" applyBorder="1" applyAlignment="1" applyProtection="1">
      <alignment horizontal="left" vertical="top" wrapText="1"/>
      <protection locked="0" hidden="1"/>
    </xf>
    <xf numFmtId="0" fontId="6" fillId="9" borderId="1" xfId="0" applyFont="1" applyFill="1" applyBorder="1" applyAlignment="1" applyProtection="1">
      <alignment horizontal="left" vertical="top" wrapText="1"/>
      <protection locked="0" hidden="1"/>
    </xf>
    <xf numFmtId="0" fontId="6" fillId="10" borderId="1" xfId="0" applyFont="1" applyFill="1" applyBorder="1" applyAlignment="1" applyProtection="1">
      <alignment horizontal="left" vertical="top" wrapText="1"/>
      <protection locked="0" hidden="1"/>
    </xf>
    <xf numFmtId="0" fontId="1" fillId="2" borderId="1" xfId="0" applyFont="1" applyFill="1" applyBorder="1" applyAlignment="1">
      <alignment horizontal="center" vertical="top" wrapText="1"/>
    </xf>
    <xf numFmtId="0" fontId="1" fillId="0" borderId="1" xfId="0" applyFont="1" applyBorder="1" applyAlignment="1">
      <alignment horizontal="center" vertical="top" wrapText="1"/>
    </xf>
    <xf numFmtId="0" fontId="1" fillId="2" borderId="1" xfId="0" applyFont="1" applyFill="1" applyBorder="1" applyAlignment="1">
      <alignment horizontal="center" vertical="top"/>
    </xf>
    <xf numFmtId="0" fontId="1" fillId="2" borderId="1" xfId="0" applyFont="1" applyFill="1" applyBorder="1" applyAlignment="1">
      <alignment vertical="top"/>
    </xf>
    <xf numFmtId="0" fontId="0" fillId="2" borderId="0" xfId="0" applyFill="1" applyAlignment="1">
      <alignment horizontal="left" vertical="top"/>
    </xf>
    <xf numFmtId="0" fontId="5" fillId="4" borderId="1" xfId="0" applyFont="1" applyFill="1" applyBorder="1" applyAlignment="1" applyProtection="1">
      <alignment horizontal="center" vertical="top"/>
      <protection locked="0" hidden="1"/>
    </xf>
    <xf numFmtId="0" fontId="5" fillId="5" borderId="1" xfId="0" applyFont="1" applyFill="1" applyBorder="1" applyAlignment="1" applyProtection="1">
      <alignment horizontal="center" vertical="top"/>
      <protection locked="0" hidden="1"/>
    </xf>
    <xf numFmtId="0" fontId="5" fillId="6" borderId="1" xfId="0" applyFont="1" applyFill="1" applyBorder="1" applyAlignment="1" applyProtection="1">
      <alignment horizontal="center" vertical="top"/>
      <protection locked="0" hidden="1"/>
    </xf>
    <xf numFmtId="0" fontId="5" fillId="7" borderId="1" xfId="0" applyFont="1" applyFill="1" applyBorder="1" applyAlignment="1" applyProtection="1">
      <alignment horizontal="center" vertical="top"/>
      <protection locked="0" hidden="1"/>
    </xf>
    <xf numFmtId="0" fontId="5" fillId="8" borderId="1" xfId="0" applyFont="1" applyFill="1" applyBorder="1" applyAlignment="1" applyProtection="1">
      <alignment horizontal="center" vertical="top"/>
      <protection locked="0" hidden="1"/>
    </xf>
    <xf numFmtId="0" fontId="5" fillId="9" borderId="1" xfId="0" applyFont="1" applyFill="1" applyBorder="1" applyAlignment="1" applyProtection="1">
      <alignment horizontal="center" vertical="top"/>
      <protection locked="0" hidden="1"/>
    </xf>
    <xf numFmtId="0" fontId="5" fillId="10" borderId="1" xfId="0" applyFont="1" applyFill="1" applyBorder="1" applyAlignment="1" applyProtection="1">
      <alignment horizontal="center" vertical="top"/>
      <protection locked="0" hidden="1"/>
    </xf>
    <xf numFmtId="0" fontId="0" fillId="2" borderId="1" xfId="0" applyFill="1" applyBorder="1" applyAlignment="1">
      <alignment vertical="top"/>
    </xf>
    <xf numFmtId="0" fontId="0" fillId="2" borderId="1" xfId="0" applyFill="1" applyBorder="1" applyAlignment="1">
      <alignment horizontal="center" vertical="top"/>
    </xf>
    <xf numFmtId="0" fontId="6" fillId="2" borderId="0" xfId="0" applyFont="1" applyFill="1" applyAlignment="1">
      <alignment vertical="top"/>
    </xf>
    <xf numFmtId="0" fontId="6" fillId="2" borderId="0" xfId="0" applyFont="1" applyFill="1" applyAlignment="1">
      <alignment horizontal="center" vertical="top"/>
    </xf>
    <xf numFmtId="0" fontId="5" fillId="2" borderId="1" xfId="0" applyFont="1" applyFill="1" applyBorder="1" applyAlignment="1">
      <alignment horizontal="center" vertical="top"/>
    </xf>
    <xf numFmtId="0" fontId="6" fillId="2" borderId="1" xfId="0" applyFont="1" applyFill="1" applyBorder="1" applyAlignment="1">
      <alignment vertical="top"/>
    </xf>
    <xf numFmtId="0" fontId="5" fillId="2" borderId="0" xfId="0" applyFont="1" applyFill="1" applyAlignment="1">
      <alignment horizontal="center" vertical="top"/>
    </xf>
    <xf numFmtId="0" fontId="5" fillId="0" borderId="1" xfId="0" applyFont="1" applyBorder="1" applyAlignment="1">
      <alignment horizontal="center" vertical="top" wrapText="1"/>
    </xf>
    <xf numFmtId="0" fontId="6" fillId="2" borderId="1" xfId="0" applyFont="1" applyFill="1" applyBorder="1" applyAlignment="1">
      <alignment vertical="top" wrapText="1"/>
    </xf>
    <xf numFmtId="164" fontId="7" fillId="0" borderId="6" xfId="0" applyNumberFormat="1" applyFont="1" applyBorder="1" applyAlignment="1">
      <alignment vertical="top"/>
    </xf>
    <xf numFmtId="0" fontId="0" fillId="2" borderId="1" xfId="0" applyFill="1" applyBorder="1" applyAlignment="1">
      <alignment horizontal="left" vertical="top"/>
    </xf>
    <xf numFmtId="0" fontId="6" fillId="0" borderId="0" xfId="0" applyFont="1" applyAlignment="1">
      <alignment horizontal="left" vertical="top"/>
    </xf>
    <xf numFmtId="0" fontId="8" fillId="0" borderId="0" xfId="1" applyFont="1" applyProtection="1">
      <protection hidden="1"/>
    </xf>
    <xf numFmtId="0" fontId="1" fillId="0" borderId="0" xfId="0" applyFont="1" applyAlignment="1">
      <alignment horizontal="center" vertical="top"/>
    </xf>
    <xf numFmtId="0" fontId="1" fillId="0" borderId="0" xfId="0" applyFont="1" applyAlignment="1">
      <alignment vertical="top"/>
    </xf>
    <xf numFmtId="1" fontId="6" fillId="2" borderId="0" xfId="0" applyNumberFormat="1" applyFont="1" applyFill="1" applyAlignment="1">
      <alignment vertical="top"/>
    </xf>
    <xf numFmtId="0" fontId="6" fillId="2" borderId="1" xfId="0" applyFont="1" applyFill="1" applyBorder="1" applyAlignment="1">
      <alignment horizontal="center" vertical="top"/>
    </xf>
    <xf numFmtId="0" fontId="0" fillId="2" borderId="0" xfId="0" applyFill="1" applyAlignment="1">
      <alignment vertical="top"/>
    </xf>
    <xf numFmtId="1" fontId="0" fillId="2" borderId="0" xfId="0" applyNumberFormat="1" applyFill="1" applyAlignment="1">
      <alignment vertical="top"/>
    </xf>
    <xf numFmtId="9" fontId="0" fillId="2" borderId="0" xfId="2" applyFont="1" applyFill="1" applyAlignment="1">
      <alignment vertical="top"/>
    </xf>
    <xf numFmtId="0" fontId="0" fillId="2" borderId="1" xfId="0" applyFill="1" applyBorder="1" applyAlignment="1">
      <alignment horizontal="left" vertical="top" wrapText="1"/>
    </xf>
    <xf numFmtId="0" fontId="0" fillId="2" borderId="1" xfId="0" applyFill="1" applyBorder="1" applyAlignment="1">
      <alignment vertical="top" wrapText="1"/>
    </xf>
    <xf numFmtId="1" fontId="0" fillId="2" borderId="1" xfId="0" applyNumberFormat="1" applyFill="1" applyBorder="1" applyAlignment="1">
      <alignment horizontal="center" vertical="top" wrapText="1"/>
    </xf>
    <xf numFmtId="0" fontId="10" fillId="0" borderId="0" xfId="0" applyFont="1"/>
    <xf numFmtId="0" fontId="12" fillId="0" borderId="0" xfId="0" applyFont="1" applyAlignment="1">
      <alignment vertical="center"/>
    </xf>
    <xf numFmtId="9" fontId="0" fillId="2" borderId="0" xfId="0" applyNumberFormat="1" applyFill="1" applyAlignment="1">
      <alignment vertical="top"/>
    </xf>
    <xf numFmtId="0" fontId="6" fillId="2" borderId="1" xfId="0" applyFont="1" applyFill="1" applyBorder="1" applyAlignment="1">
      <alignment horizontal="left" vertical="top"/>
    </xf>
    <xf numFmtId="1" fontId="6" fillId="2" borderId="1" xfId="0" applyNumberFormat="1" applyFont="1" applyFill="1" applyBorder="1" applyAlignment="1">
      <alignment horizontal="center" vertical="top"/>
    </xf>
    <xf numFmtId="0" fontId="6" fillId="11" borderId="1" xfId="0" applyFont="1" applyFill="1" applyBorder="1" applyAlignment="1">
      <alignment horizontal="center" vertical="top"/>
    </xf>
    <xf numFmtId="0" fontId="5" fillId="2" borderId="1" xfId="0" applyFont="1" applyFill="1" applyBorder="1" applyAlignment="1">
      <alignment vertical="top" wrapText="1"/>
    </xf>
    <xf numFmtId="0" fontId="5" fillId="2" borderId="0" xfId="0" applyFont="1" applyFill="1" applyAlignment="1">
      <alignment vertical="top"/>
    </xf>
    <xf numFmtId="0" fontId="0" fillId="0" borderId="0" xfId="0" applyAlignment="1">
      <alignment vertical="top"/>
    </xf>
    <xf numFmtId="0" fontId="6" fillId="2" borderId="0" xfId="0" applyFont="1" applyFill="1" applyAlignment="1">
      <alignment horizontal="left" vertical="top"/>
    </xf>
    <xf numFmtId="9" fontId="0" fillId="2" borderId="1" xfId="2" applyFont="1" applyFill="1" applyBorder="1" applyAlignment="1">
      <alignment vertical="top"/>
    </xf>
    <xf numFmtId="9" fontId="0" fillId="2" borderId="5" xfId="2" applyFont="1" applyFill="1" applyBorder="1" applyAlignment="1">
      <alignment vertical="top"/>
    </xf>
    <xf numFmtId="0" fontId="0" fillId="13" borderId="0" xfId="0" applyFill="1" applyAlignment="1">
      <alignment vertical="top"/>
    </xf>
    <xf numFmtId="0" fontId="12" fillId="13" borderId="0" xfId="0" applyFont="1" applyFill="1" applyAlignment="1">
      <alignment vertical="center"/>
    </xf>
    <xf numFmtId="0" fontId="0" fillId="13" borderId="0" xfId="0" applyFill="1"/>
    <xf numFmtId="0" fontId="0" fillId="0" borderId="1" xfId="0" applyBorder="1" applyAlignment="1">
      <alignment horizontal="center" vertical="top" wrapText="1"/>
    </xf>
    <xf numFmtId="0" fontId="6" fillId="11" borderId="1" xfId="0" applyFont="1" applyFill="1" applyBorder="1" applyAlignment="1">
      <alignment vertical="top"/>
    </xf>
    <xf numFmtId="0" fontId="1" fillId="0" borderId="0" xfId="0" applyFont="1"/>
    <xf numFmtId="0" fontId="14" fillId="0" borderId="1" xfId="0" applyFont="1" applyBorder="1" applyAlignment="1">
      <alignment horizontal="center" vertical="center" wrapText="1"/>
    </xf>
    <xf numFmtId="0" fontId="15" fillId="14" borderId="1" xfId="0" applyFont="1" applyFill="1" applyBorder="1" applyAlignment="1">
      <alignment horizontal="center" vertical="top" wrapText="1"/>
    </xf>
    <xf numFmtId="0" fontId="16" fillId="0" borderId="1" xfId="0" applyFont="1" applyBorder="1" applyAlignment="1">
      <alignment horizontal="right" vertical="top" wrapText="1"/>
    </xf>
    <xf numFmtId="10" fontId="2" fillId="0" borderId="1" xfId="0" applyNumberFormat="1" applyFont="1" applyBorder="1" applyAlignment="1">
      <alignment horizontal="right" vertical="top" wrapText="1"/>
    </xf>
    <xf numFmtId="0" fontId="2" fillId="0" borderId="1" xfId="0" applyFont="1" applyBorder="1" applyAlignment="1">
      <alignment horizontal="center" vertical="top" wrapText="1"/>
    </xf>
    <xf numFmtId="0" fontId="2" fillId="0" borderId="1" xfId="0" applyFont="1" applyBorder="1" applyAlignment="1">
      <alignment vertical="top" wrapText="1"/>
    </xf>
    <xf numFmtId="0" fontId="5" fillId="2" borderId="0" xfId="0" applyFont="1" applyFill="1" applyAlignment="1">
      <alignment horizontal="left" vertical="top"/>
    </xf>
    <xf numFmtId="9" fontId="0" fillId="0" borderId="0" xfId="2" applyFont="1"/>
    <xf numFmtId="9" fontId="6" fillId="2" borderId="1" xfId="2" applyFont="1" applyFill="1" applyBorder="1" applyAlignment="1">
      <alignment horizontal="center" vertical="top"/>
    </xf>
    <xf numFmtId="9" fontId="6" fillId="2" borderId="0" xfId="2" applyFont="1" applyFill="1" applyAlignment="1">
      <alignment vertical="top"/>
    </xf>
    <xf numFmtId="0" fontId="0" fillId="2" borderId="8" xfId="0" applyFill="1" applyBorder="1" applyAlignment="1">
      <alignment vertical="center"/>
    </xf>
    <xf numFmtId="0" fontId="0" fillId="2" borderId="9" xfId="0" applyFill="1" applyBorder="1" applyAlignment="1">
      <alignment vertical="center"/>
    </xf>
    <xf numFmtId="0" fontId="0" fillId="2" borderId="10" xfId="0" applyFill="1" applyBorder="1" applyAlignment="1">
      <alignment vertical="center"/>
    </xf>
    <xf numFmtId="0" fontId="0" fillId="2" borderId="11" xfId="0" applyFill="1" applyBorder="1" applyAlignment="1">
      <alignment vertical="center"/>
    </xf>
    <xf numFmtId="0" fontId="0" fillId="2" borderId="0" xfId="0" applyFill="1" applyAlignment="1">
      <alignment vertical="center"/>
    </xf>
    <xf numFmtId="0" fontId="0" fillId="2" borderId="12" xfId="0" applyFill="1" applyBorder="1" applyAlignment="1">
      <alignment vertical="center"/>
    </xf>
    <xf numFmtId="0" fontId="0" fillId="2" borderId="12" xfId="0" applyFill="1" applyBorder="1" applyAlignment="1">
      <alignment horizontal="left" vertical="center"/>
    </xf>
    <xf numFmtId="0" fontId="0" fillId="2" borderId="13" xfId="0" applyFill="1" applyBorder="1" applyAlignment="1">
      <alignment vertical="center"/>
    </xf>
    <xf numFmtId="0" fontId="0" fillId="2" borderId="14" xfId="0" applyFill="1" applyBorder="1" applyAlignment="1">
      <alignment vertical="center"/>
    </xf>
    <xf numFmtId="0" fontId="0" fillId="2" borderId="6" xfId="0" applyFill="1" applyBorder="1" applyAlignment="1">
      <alignment horizontal="left" vertical="top"/>
    </xf>
    <xf numFmtId="0" fontId="13" fillId="2" borderId="1" xfId="0" applyFont="1" applyFill="1" applyBorder="1" applyAlignment="1">
      <alignment vertical="center"/>
    </xf>
    <xf numFmtId="9" fontId="0" fillId="0" borderId="0" xfId="0" applyNumberFormat="1"/>
    <xf numFmtId="0" fontId="0" fillId="12" borderId="1" xfId="0" applyFill="1" applyBorder="1" applyAlignment="1">
      <alignment horizontal="center" vertical="top"/>
    </xf>
    <xf numFmtId="0" fontId="0" fillId="15" borderId="1" xfId="0" applyFill="1" applyBorder="1" applyAlignment="1">
      <alignment vertical="top" wrapText="1"/>
    </xf>
    <xf numFmtId="0" fontId="0" fillId="16" borderId="1" xfId="0" applyFill="1" applyBorder="1" applyAlignment="1">
      <alignment vertical="top" wrapText="1"/>
    </xf>
    <xf numFmtId="9" fontId="0" fillId="2" borderId="0" xfId="2" applyFont="1" applyFill="1" applyBorder="1" applyAlignment="1">
      <alignment vertical="top"/>
    </xf>
    <xf numFmtId="0" fontId="2" fillId="14" borderId="1" xfId="0" applyFont="1" applyFill="1" applyBorder="1" applyAlignment="1">
      <alignment horizontal="center" vertical="top" wrapText="1"/>
    </xf>
    <xf numFmtId="0" fontId="2" fillId="11" borderId="1" xfId="0" applyFont="1" applyFill="1" applyBorder="1" applyAlignment="1">
      <alignment horizontal="center" vertical="top" wrapText="1"/>
    </xf>
    <xf numFmtId="1" fontId="0" fillId="12" borderId="1" xfId="0" applyNumberFormat="1" applyFill="1" applyBorder="1" applyAlignment="1">
      <alignment horizontal="center" vertical="top"/>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top"/>
    </xf>
    <xf numFmtId="0" fontId="3" fillId="3" borderId="1" xfId="0" applyFont="1" applyFill="1" applyBorder="1" applyAlignment="1" applyProtection="1">
      <alignment horizontal="center" vertical="top"/>
      <protection locked="0" hidden="1"/>
    </xf>
    <xf numFmtId="0" fontId="4" fillId="2" borderId="1" xfId="0" applyFont="1" applyFill="1" applyBorder="1" applyAlignment="1" applyProtection="1">
      <alignment vertical="top"/>
      <protection locked="0" hidden="1"/>
    </xf>
    <xf numFmtId="0" fontId="2" fillId="2" borderId="1" xfId="0" applyFont="1" applyFill="1" applyBorder="1" applyAlignment="1" applyProtection="1">
      <alignment horizontal="center" vertical="top"/>
      <protection locked="0" hidden="1"/>
    </xf>
    <xf numFmtId="0" fontId="0" fillId="0" borderId="0" xfId="0" applyAlignment="1">
      <alignment horizontal="center"/>
    </xf>
    <xf numFmtId="0" fontId="0" fillId="0" borderId="0" xfId="0" applyAlignment="1">
      <alignment horizontal="center" vertical="center"/>
    </xf>
    <xf numFmtId="0" fontId="1" fillId="0" borderId="1" xfId="0" applyFont="1" applyBorder="1" applyAlignment="1">
      <alignment horizontal="center" vertical="top"/>
    </xf>
    <xf numFmtId="0" fontId="2" fillId="0" borderId="1" xfId="0" applyFont="1" applyBorder="1" applyAlignment="1">
      <alignment horizontal="left" vertical="top" wrapText="1"/>
    </xf>
    <xf numFmtId="0" fontId="2" fillId="2" borderId="1" xfId="0" applyFont="1" applyFill="1" applyBorder="1" applyAlignment="1" applyProtection="1">
      <alignment vertical="top"/>
      <protection locked="0" hidden="1"/>
    </xf>
    <xf numFmtId="0" fontId="2" fillId="2" borderId="0" xfId="0" applyFont="1" applyFill="1" applyAlignment="1" applyProtection="1">
      <alignment vertical="top"/>
      <protection locked="0" hidden="1"/>
    </xf>
    <xf numFmtId="0" fontId="0" fillId="0" borderId="1" xfId="0" applyBorder="1" applyAlignment="1">
      <alignment horizontal="right" vertical="top"/>
    </xf>
    <xf numFmtId="0" fontId="0" fillId="0" borderId="0" xfId="0" applyAlignment="1">
      <alignment horizontal="right" vertical="top"/>
    </xf>
    <xf numFmtId="0" fontId="0" fillId="2" borderId="0" xfId="0" applyFill="1" applyAlignment="1">
      <alignment horizontal="right" vertical="top"/>
    </xf>
    <xf numFmtId="164" fontId="0" fillId="2" borderId="12" xfId="0" applyNumberFormat="1" applyFill="1" applyBorder="1" applyAlignment="1">
      <alignment vertical="center"/>
    </xf>
    <xf numFmtId="9" fontId="8" fillId="14" borderId="16" xfId="0" applyNumberFormat="1" applyFont="1" applyFill="1" applyBorder="1" applyAlignment="1">
      <alignment horizontal="right" vertical="top" wrapText="1"/>
    </xf>
    <xf numFmtId="0" fontId="8" fillId="14" borderId="16" xfId="0" applyFont="1" applyFill="1" applyBorder="1" applyAlignment="1">
      <alignment vertical="center"/>
    </xf>
    <xf numFmtId="0" fontId="8" fillId="14" borderId="16" xfId="0" applyFont="1" applyFill="1" applyBorder="1" applyAlignment="1">
      <alignment vertical="top" wrapText="1"/>
    </xf>
    <xf numFmtId="0" fontId="0" fillId="2" borderId="6" xfId="0" applyFill="1" applyBorder="1" applyAlignment="1">
      <alignment horizontal="left" vertical="top" wrapText="1"/>
    </xf>
    <xf numFmtId="0" fontId="1" fillId="2" borderId="0" xfId="0" applyFont="1" applyFill="1" applyAlignment="1">
      <alignment horizontal="center" vertical="top"/>
    </xf>
    <xf numFmtId="15" fontId="0" fillId="2" borderId="0" xfId="0" quotePrefix="1" applyNumberFormat="1" applyFill="1" applyAlignment="1">
      <alignment vertical="top"/>
    </xf>
    <xf numFmtId="0" fontId="2" fillId="2" borderId="16" xfId="0" applyFont="1" applyFill="1" applyBorder="1" applyAlignment="1">
      <alignment vertical="top" wrapText="1"/>
    </xf>
    <xf numFmtId="0" fontId="2" fillId="2" borderId="1" xfId="0" applyFont="1" applyFill="1" applyBorder="1" applyAlignment="1">
      <alignment vertical="top" wrapText="1"/>
    </xf>
    <xf numFmtId="164" fontId="0" fillId="2" borderId="1" xfId="0" applyNumberFormat="1" applyFill="1" applyBorder="1" applyAlignment="1">
      <alignment vertical="top"/>
    </xf>
    <xf numFmtId="0" fontId="2" fillId="2" borderId="1" xfId="0" applyFont="1" applyFill="1" applyBorder="1" applyAlignment="1">
      <alignment vertical="top"/>
    </xf>
    <xf numFmtId="0" fontId="2" fillId="2" borderId="1" xfId="0" applyFont="1" applyFill="1" applyBorder="1" applyAlignment="1" applyProtection="1">
      <alignment horizontal="center" vertical="top"/>
      <protection locked="0" hidden="1"/>
    </xf>
    <xf numFmtId="0" fontId="4" fillId="2" borderId="1" xfId="0" applyFont="1" applyFill="1" applyBorder="1" applyAlignment="1" applyProtection="1">
      <alignment vertical="top"/>
      <protection locked="0" hidden="1"/>
    </xf>
    <xf numFmtId="0" fontId="3" fillId="3" borderId="2" xfId="0" applyFont="1" applyFill="1" applyBorder="1" applyAlignment="1" applyProtection="1">
      <alignment horizontal="center" vertical="top"/>
      <protection locked="0" hidden="1"/>
    </xf>
    <xf numFmtId="0" fontId="3" fillId="3" borderId="3" xfId="0" applyFont="1" applyFill="1" applyBorder="1" applyAlignment="1" applyProtection="1">
      <alignment horizontal="center" vertical="top"/>
      <protection locked="0" hidden="1"/>
    </xf>
    <xf numFmtId="0" fontId="3" fillId="3" borderId="4" xfId="0" applyFont="1" applyFill="1" applyBorder="1" applyAlignment="1" applyProtection="1">
      <alignment horizontal="center" vertical="top"/>
      <protection locked="0" hidden="1"/>
    </xf>
    <xf numFmtId="0" fontId="3" fillId="3" borderId="1" xfId="0" applyFont="1" applyFill="1" applyBorder="1" applyAlignment="1" applyProtection="1">
      <alignment horizontal="center" vertical="top"/>
      <protection locked="0" hidden="1"/>
    </xf>
    <xf numFmtId="0" fontId="1" fillId="2" borderId="1" xfId="0" applyFont="1" applyFill="1" applyBorder="1" applyAlignment="1">
      <alignment horizontal="center" vertical="top"/>
    </xf>
    <xf numFmtId="0" fontId="6" fillId="2" borderId="1" xfId="0" applyFont="1" applyFill="1" applyBorder="1" applyAlignment="1">
      <alignment horizontal="center" vertical="center" textRotation="90" wrapText="1"/>
    </xf>
    <xf numFmtId="0" fontId="6" fillId="2" borderId="7" xfId="0" applyFont="1" applyFill="1" applyBorder="1" applyAlignment="1">
      <alignment horizontal="center" vertical="center" textRotation="90" wrapText="1"/>
    </xf>
    <xf numFmtId="0" fontId="6" fillId="2" borderId="15" xfId="0" applyFont="1" applyFill="1" applyBorder="1" applyAlignment="1">
      <alignment horizontal="center" vertical="center" textRotation="90" wrapText="1"/>
    </xf>
    <xf numFmtId="0" fontId="6" fillId="2" borderId="6" xfId="0" applyFont="1" applyFill="1" applyBorder="1" applyAlignment="1">
      <alignment horizontal="center" vertical="center" textRotation="90" wrapText="1"/>
    </xf>
    <xf numFmtId="0" fontId="5" fillId="2" borderId="1" xfId="0" applyFont="1" applyFill="1" applyBorder="1" applyAlignment="1">
      <alignment horizontal="center" vertical="top"/>
    </xf>
    <xf numFmtId="0" fontId="18" fillId="2" borderId="2" xfId="0" applyFont="1" applyFill="1" applyBorder="1" applyAlignment="1">
      <alignment horizontal="center" vertical="center"/>
    </xf>
    <xf numFmtId="0" fontId="18" fillId="2" borderId="3" xfId="0" applyFont="1" applyFill="1" applyBorder="1" applyAlignment="1">
      <alignment horizontal="center" vertical="center"/>
    </xf>
    <xf numFmtId="0" fontId="18" fillId="2" borderId="4" xfId="0" applyFont="1" applyFill="1" applyBorder="1" applyAlignment="1">
      <alignment horizontal="center" vertical="center"/>
    </xf>
    <xf numFmtId="0" fontId="0" fillId="2" borderId="7" xfId="0" applyFill="1" applyBorder="1" applyAlignment="1">
      <alignment horizontal="left" vertical="top" wrapText="1"/>
    </xf>
    <xf numFmtId="0" fontId="0" fillId="2" borderId="15" xfId="0" applyFill="1" applyBorder="1" applyAlignment="1">
      <alignment horizontal="left" vertical="top" wrapText="1"/>
    </xf>
    <xf numFmtId="0" fontId="0" fillId="2" borderId="6" xfId="0" applyFill="1" applyBorder="1" applyAlignment="1">
      <alignment horizontal="left" vertical="top" wrapText="1"/>
    </xf>
    <xf numFmtId="0" fontId="5" fillId="10" borderId="2" xfId="0" applyFont="1" applyFill="1" applyBorder="1" applyAlignment="1" applyProtection="1">
      <alignment horizontal="center" vertical="top"/>
      <protection locked="0" hidden="1"/>
    </xf>
    <xf numFmtId="0" fontId="5" fillId="10" borderId="4" xfId="0" applyFont="1" applyFill="1" applyBorder="1" applyAlignment="1" applyProtection="1">
      <alignment horizontal="center" vertical="top"/>
      <protection locked="0" hidden="1"/>
    </xf>
    <xf numFmtId="0" fontId="5" fillId="4" borderId="2" xfId="0" applyFont="1" applyFill="1" applyBorder="1" applyAlignment="1" applyProtection="1">
      <alignment horizontal="center" vertical="top"/>
      <protection locked="0" hidden="1"/>
    </xf>
    <xf numFmtId="0" fontId="5" fillId="4" borderId="3" xfId="0" applyFont="1" applyFill="1" applyBorder="1" applyAlignment="1" applyProtection="1">
      <alignment horizontal="center" vertical="top"/>
      <protection locked="0" hidden="1"/>
    </xf>
    <xf numFmtId="0" fontId="5" fillId="4" borderId="4" xfId="0" applyFont="1" applyFill="1" applyBorder="1" applyAlignment="1" applyProtection="1">
      <alignment horizontal="center" vertical="top"/>
      <protection locked="0" hidden="1"/>
    </xf>
    <xf numFmtId="0" fontId="5" fillId="5" borderId="2" xfId="0" applyFont="1" applyFill="1" applyBorder="1" applyAlignment="1" applyProtection="1">
      <alignment horizontal="center" vertical="top"/>
      <protection locked="0" hidden="1"/>
    </xf>
    <xf numFmtId="0" fontId="5" fillId="5" borderId="3" xfId="0" applyFont="1" applyFill="1" applyBorder="1" applyAlignment="1" applyProtection="1">
      <alignment horizontal="center" vertical="top"/>
      <protection locked="0" hidden="1"/>
    </xf>
    <xf numFmtId="0" fontId="5" fillId="5" borderId="4" xfId="0" applyFont="1" applyFill="1" applyBorder="1" applyAlignment="1" applyProtection="1">
      <alignment horizontal="center" vertical="top"/>
      <protection locked="0" hidden="1"/>
    </xf>
    <xf numFmtId="0" fontId="5" fillId="6" borderId="2" xfId="0" applyFont="1" applyFill="1" applyBorder="1" applyAlignment="1" applyProtection="1">
      <alignment horizontal="center" vertical="top"/>
      <protection locked="0" hidden="1"/>
    </xf>
    <xf numFmtId="0" fontId="5" fillId="6" borderId="3" xfId="0" applyFont="1" applyFill="1" applyBorder="1" applyAlignment="1" applyProtection="1">
      <alignment horizontal="center" vertical="top"/>
      <protection locked="0" hidden="1"/>
    </xf>
    <xf numFmtId="0" fontId="5" fillId="6" borderId="4" xfId="0" applyFont="1" applyFill="1" applyBorder="1" applyAlignment="1" applyProtection="1">
      <alignment horizontal="center" vertical="top"/>
      <protection locked="0" hidden="1"/>
    </xf>
    <xf numFmtId="0" fontId="5" fillId="7" borderId="2" xfId="0" applyFont="1" applyFill="1" applyBorder="1" applyAlignment="1" applyProtection="1">
      <alignment horizontal="center" vertical="top"/>
      <protection locked="0" hidden="1"/>
    </xf>
    <xf numFmtId="0" fontId="5" fillId="7" borderId="3" xfId="0" applyFont="1" applyFill="1" applyBorder="1" applyAlignment="1" applyProtection="1">
      <alignment horizontal="center" vertical="top"/>
      <protection locked="0" hidden="1"/>
    </xf>
    <xf numFmtId="0" fontId="5" fillId="7" borderId="4" xfId="0" applyFont="1" applyFill="1" applyBorder="1" applyAlignment="1" applyProtection="1">
      <alignment horizontal="center" vertical="top"/>
      <protection locked="0" hidden="1"/>
    </xf>
    <xf numFmtId="0" fontId="5" fillId="8" borderId="2" xfId="0" applyFont="1" applyFill="1" applyBorder="1" applyAlignment="1" applyProtection="1">
      <alignment horizontal="center" vertical="top"/>
      <protection locked="0" hidden="1"/>
    </xf>
    <xf numFmtId="0" fontId="5" fillId="8" borderId="3" xfId="0" applyFont="1" applyFill="1" applyBorder="1" applyAlignment="1" applyProtection="1">
      <alignment horizontal="center" vertical="top"/>
      <protection locked="0" hidden="1"/>
    </xf>
    <xf numFmtId="0" fontId="5" fillId="8" borderId="4" xfId="0" applyFont="1" applyFill="1" applyBorder="1" applyAlignment="1" applyProtection="1">
      <alignment horizontal="center" vertical="top"/>
      <protection locked="0" hidden="1"/>
    </xf>
    <xf numFmtId="0" fontId="5" fillId="9" borderId="2" xfId="0" applyFont="1" applyFill="1" applyBorder="1" applyAlignment="1" applyProtection="1">
      <alignment horizontal="center" vertical="top"/>
      <protection locked="0" hidden="1"/>
    </xf>
    <xf numFmtId="0" fontId="5" fillId="9" borderId="4" xfId="0" applyFont="1" applyFill="1" applyBorder="1" applyAlignment="1" applyProtection="1">
      <alignment horizontal="center" vertical="top"/>
      <protection locked="0" hidden="1"/>
    </xf>
    <xf numFmtId="0" fontId="0" fillId="2" borderId="0" xfId="0" applyFill="1" applyAlignment="1">
      <alignment horizontal="center" vertical="top"/>
    </xf>
    <xf numFmtId="0" fontId="0" fillId="2" borderId="1" xfId="0" applyFill="1" applyBorder="1" applyAlignment="1">
      <alignment horizontal="center" vertical="top" wrapText="1"/>
    </xf>
    <xf numFmtId="0" fontId="0" fillId="16" borderId="1" xfId="0" applyFill="1" applyBorder="1" applyAlignment="1">
      <alignment horizontal="center" vertical="top"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4" xfId="0" applyFill="1" applyBorder="1" applyAlignment="1">
      <alignment horizontal="center" vertical="top" wrapText="1"/>
    </xf>
    <xf numFmtId="0" fontId="0" fillId="15" borderId="1" xfId="0" applyFill="1" applyBorder="1" applyAlignment="1">
      <alignment horizontal="center" vertical="top" wrapText="1"/>
    </xf>
    <xf numFmtId="0" fontId="15" fillId="14" borderId="1" xfId="0" applyFont="1" applyFill="1" applyBorder="1" applyAlignment="1">
      <alignment horizontal="center" vertical="top" wrapText="1"/>
    </xf>
    <xf numFmtId="0" fontId="14" fillId="0" borderId="1" xfId="0" applyFont="1" applyBorder="1" applyAlignment="1">
      <alignment horizontal="center" vertical="center" wrapText="1"/>
    </xf>
    <xf numFmtId="0" fontId="15" fillId="14" borderId="1" xfId="0" applyFont="1" applyFill="1" applyBorder="1" applyAlignment="1">
      <alignment horizontal="center" vertical="center" wrapText="1"/>
    </xf>
    <xf numFmtId="0" fontId="1" fillId="0" borderId="1" xfId="0" applyFont="1" applyBorder="1" applyAlignment="1">
      <alignment horizontal="center"/>
    </xf>
  </cellXfs>
  <cellStyles count="4">
    <cellStyle name="Hyperlink 2" xfId="3" xr:uid="{CD4D8359-949C-41BB-B834-2F4ED20566B9}"/>
    <cellStyle name="Normal" xfId="0" builtinId="0"/>
    <cellStyle name="Normal 2" xfId="1" xr:uid="{FEB43DB6-5E03-459E-914C-4027A0228A1A}"/>
    <cellStyle name="Percent" xfId="2" builtinId="5"/>
  </cellStyles>
  <dxfs count="2">
    <dxf>
      <fill>
        <patternFill>
          <bgColor rgb="FF92D050"/>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tx1"/>
                </a:solidFill>
              </a:rPr>
              <a:t>Graph 1</a:t>
            </a:r>
          </a:p>
          <a:p>
            <a:pPr>
              <a:defRPr/>
            </a:pPr>
            <a:r>
              <a:rPr lang="en-US" sz="1200">
                <a:solidFill>
                  <a:schemeClr val="tx1"/>
                </a:solidFill>
              </a:rPr>
              <a:t>Mask</a:t>
            </a:r>
            <a:r>
              <a:rPr lang="en-US" sz="1200" baseline="0">
                <a:solidFill>
                  <a:schemeClr val="tx1"/>
                </a:solidFill>
              </a:rPr>
              <a:t> Public Self</a:t>
            </a:r>
            <a:endParaRPr lang="en-US" sz="120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chemeClr val="tx1"/>
              </a:solidFill>
              <a:ln w="9525">
                <a:solidFill>
                  <a:srgbClr val="00B0F0"/>
                </a:solidFill>
              </a:ln>
              <a:effectLst>
                <a:glow rad="139700">
                  <a:schemeClr val="accent1">
                    <a:satMod val="175000"/>
                    <a:alpha val="40000"/>
                  </a:schemeClr>
                </a:glow>
              </a:effectLst>
            </c:spPr>
          </c:marker>
          <c:cat>
            <c:strRef>
              <c:f>INDIVIDUAL!$U$6:$X$6</c:f>
              <c:strCache>
                <c:ptCount val="4"/>
                <c:pt idx="0">
                  <c:v>D</c:v>
                </c:pt>
                <c:pt idx="1">
                  <c:v>I</c:v>
                </c:pt>
                <c:pt idx="2">
                  <c:v>S</c:v>
                </c:pt>
                <c:pt idx="3">
                  <c:v>C</c:v>
                </c:pt>
              </c:strCache>
            </c:strRef>
          </c:cat>
          <c:val>
            <c:numRef>
              <c:f>INDIVIDUAL!$U$7:$X$7</c:f>
              <c:numCache>
                <c:formatCode>General</c:formatCode>
                <c:ptCount val="4"/>
                <c:pt idx="0">
                  <c:v>-2.5</c:v>
                </c:pt>
                <c:pt idx="1">
                  <c:v>3</c:v>
                </c:pt>
                <c:pt idx="2">
                  <c:v>-3.5</c:v>
                </c:pt>
                <c:pt idx="3">
                  <c:v>6</c:v>
                </c:pt>
              </c:numCache>
            </c:numRef>
          </c:val>
          <c:smooth val="0"/>
          <c:extLst>
            <c:ext xmlns:c16="http://schemas.microsoft.com/office/drawing/2014/chart" uri="{C3380CC4-5D6E-409C-BE32-E72D297353CC}">
              <c16:uniqueId val="{00000000-48F9-427E-A33C-8385DA18E8BE}"/>
            </c:ext>
          </c:extLst>
        </c:ser>
        <c:dLbls>
          <c:showLegendKey val="0"/>
          <c:showVal val="0"/>
          <c:showCatName val="0"/>
          <c:showSerName val="0"/>
          <c:showPercent val="0"/>
          <c:showBubbleSize val="0"/>
        </c:dLbls>
        <c:marker val="1"/>
        <c:smooth val="0"/>
        <c:axId val="1960386432"/>
        <c:axId val="1960385600"/>
      </c:lineChart>
      <c:catAx>
        <c:axId val="196038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5600"/>
        <c:crosses val="autoZero"/>
        <c:auto val="1"/>
        <c:lblAlgn val="ctr"/>
        <c:lblOffset val="100"/>
        <c:noMultiLvlLbl val="0"/>
      </c:catAx>
      <c:valAx>
        <c:axId val="1960385600"/>
        <c:scaling>
          <c:orientation val="minMax"/>
          <c:max val="8"/>
          <c:min val="-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6432"/>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tx1"/>
                </a:solidFill>
              </a:rPr>
              <a:t>Graph 2</a:t>
            </a:r>
          </a:p>
          <a:p>
            <a:pPr>
              <a:defRPr/>
            </a:pPr>
            <a:r>
              <a:rPr lang="en-US" sz="1200">
                <a:solidFill>
                  <a:schemeClr val="tx1"/>
                </a:solidFill>
              </a:rPr>
              <a:t>Core Private</a:t>
            </a:r>
            <a:r>
              <a:rPr lang="en-US" sz="1200" baseline="0">
                <a:solidFill>
                  <a:schemeClr val="tx1"/>
                </a:solidFill>
              </a:rPr>
              <a:t> Self</a:t>
            </a:r>
            <a:endParaRPr lang="en-US" sz="120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ysClr val="windowText" lastClr="000000"/>
              </a:solidFill>
              <a:ln w="9525">
                <a:solidFill>
                  <a:srgbClr val="00B050"/>
                </a:solidFill>
              </a:ln>
              <a:effectLst>
                <a:glow rad="139700">
                  <a:srgbClr val="70AD47">
                    <a:satMod val="175000"/>
                    <a:alpha val="40000"/>
                  </a:srgbClr>
                </a:glow>
              </a:effectLst>
            </c:spPr>
          </c:marker>
          <c:cat>
            <c:strRef>
              <c:f>INDIVIDUAL!$Y$6:$AB$6</c:f>
              <c:strCache>
                <c:ptCount val="4"/>
                <c:pt idx="0">
                  <c:v>D</c:v>
                </c:pt>
                <c:pt idx="1">
                  <c:v>I</c:v>
                </c:pt>
                <c:pt idx="2">
                  <c:v>S</c:v>
                </c:pt>
                <c:pt idx="3">
                  <c:v>C</c:v>
                </c:pt>
              </c:strCache>
            </c:strRef>
          </c:cat>
          <c:val>
            <c:numRef>
              <c:f>INDIVIDUAL!$Y$7:$AB$7</c:f>
              <c:numCache>
                <c:formatCode>General</c:formatCode>
                <c:ptCount val="4"/>
                <c:pt idx="0">
                  <c:v>0.5</c:v>
                </c:pt>
                <c:pt idx="1">
                  <c:v>-3.5</c:v>
                </c:pt>
                <c:pt idx="2">
                  <c:v>-1.3</c:v>
                </c:pt>
                <c:pt idx="3">
                  <c:v>7</c:v>
                </c:pt>
              </c:numCache>
            </c:numRef>
          </c:val>
          <c:smooth val="0"/>
          <c:extLst>
            <c:ext xmlns:c16="http://schemas.microsoft.com/office/drawing/2014/chart" uri="{C3380CC4-5D6E-409C-BE32-E72D297353CC}">
              <c16:uniqueId val="{00000000-4D8F-4339-B47D-6E8744A6E430}"/>
            </c:ext>
          </c:extLst>
        </c:ser>
        <c:dLbls>
          <c:showLegendKey val="0"/>
          <c:showVal val="0"/>
          <c:showCatName val="0"/>
          <c:showSerName val="0"/>
          <c:showPercent val="0"/>
          <c:showBubbleSize val="0"/>
        </c:dLbls>
        <c:marker val="1"/>
        <c:smooth val="0"/>
        <c:axId val="1960386432"/>
        <c:axId val="1960385600"/>
      </c:lineChart>
      <c:catAx>
        <c:axId val="196038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5600"/>
        <c:crosses val="autoZero"/>
        <c:auto val="1"/>
        <c:lblAlgn val="ctr"/>
        <c:lblOffset val="100"/>
        <c:noMultiLvlLbl val="0"/>
      </c:catAx>
      <c:valAx>
        <c:axId val="1960385600"/>
        <c:scaling>
          <c:orientation val="minMax"/>
          <c:max val="8"/>
          <c:min val="-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6432"/>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tx1"/>
                </a:solidFill>
              </a:rPr>
              <a:t>Graph 3</a:t>
            </a:r>
          </a:p>
          <a:p>
            <a:pPr>
              <a:defRPr/>
            </a:pPr>
            <a:r>
              <a:rPr lang="en-US" sz="1200">
                <a:solidFill>
                  <a:schemeClr val="tx1"/>
                </a:solidFill>
              </a:rPr>
              <a:t>Mirror Perceived </a:t>
            </a:r>
            <a:r>
              <a:rPr lang="en-US" sz="1200" baseline="0">
                <a:solidFill>
                  <a:schemeClr val="tx1"/>
                </a:solidFill>
              </a:rPr>
              <a:t>Self</a:t>
            </a:r>
            <a:endParaRPr lang="en-US" sz="1200">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spPr>
            <a:ln w="28575" cap="rnd">
              <a:solidFill>
                <a:schemeClr val="accent1"/>
              </a:solidFill>
              <a:round/>
            </a:ln>
            <a:effectLst/>
          </c:spPr>
          <c:marker>
            <c:symbol val="circle"/>
            <c:size val="5"/>
            <c:spPr>
              <a:solidFill>
                <a:sysClr val="windowText" lastClr="000000"/>
              </a:solidFill>
              <a:ln w="9525">
                <a:solidFill>
                  <a:srgbClr val="FFC000"/>
                </a:solidFill>
              </a:ln>
              <a:effectLst>
                <a:glow rad="139700">
                  <a:srgbClr val="FFC000">
                    <a:satMod val="175000"/>
                    <a:alpha val="40000"/>
                  </a:srgbClr>
                </a:glow>
              </a:effectLst>
            </c:spPr>
          </c:marker>
          <c:cat>
            <c:strRef>
              <c:f>INDIVIDUAL!$AC$6:$AF$6</c:f>
              <c:strCache>
                <c:ptCount val="4"/>
                <c:pt idx="0">
                  <c:v>D</c:v>
                </c:pt>
                <c:pt idx="1">
                  <c:v>I</c:v>
                </c:pt>
                <c:pt idx="2">
                  <c:v>S</c:v>
                </c:pt>
                <c:pt idx="3">
                  <c:v>C</c:v>
                </c:pt>
              </c:strCache>
            </c:strRef>
          </c:cat>
          <c:val>
            <c:numRef>
              <c:f>INDIVIDUAL!$AC$7:$AF$7</c:f>
              <c:numCache>
                <c:formatCode>General</c:formatCode>
                <c:ptCount val="4"/>
                <c:pt idx="0">
                  <c:v>-0.5</c:v>
                </c:pt>
                <c:pt idx="1">
                  <c:v>-1.5</c:v>
                </c:pt>
                <c:pt idx="2">
                  <c:v>-2</c:v>
                </c:pt>
                <c:pt idx="3">
                  <c:v>6.5</c:v>
                </c:pt>
              </c:numCache>
            </c:numRef>
          </c:val>
          <c:smooth val="0"/>
          <c:extLst>
            <c:ext xmlns:c16="http://schemas.microsoft.com/office/drawing/2014/chart" uri="{C3380CC4-5D6E-409C-BE32-E72D297353CC}">
              <c16:uniqueId val="{00000000-47D0-418E-A9BB-E12173011ABE}"/>
            </c:ext>
          </c:extLst>
        </c:ser>
        <c:dLbls>
          <c:showLegendKey val="0"/>
          <c:showVal val="0"/>
          <c:showCatName val="0"/>
          <c:showSerName val="0"/>
          <c:showPercent val="0"/>
          <c:showBubbleSize val="0"/>
        </c:dLbls>
        <c:marker val="1"/>
        <c:smooth val="0"/>
        <c:axId val="1960386432"/>
        <c:axId val="1960385600"/>
      </c:lineChart>
      <c:catAx>
        <c:axId val="196038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5600"/>
        <c:crosses val="autoZero"/>
        <c:auto val="1"/>
        <c:lblAlgn val="ctr"/>
        <c:lblOffset val="100"/>
        <c:noMultiLvlLbl val="0"/>
      </c:catAx>
      <c:valAx>
        <c:axId val="1960385600"/>
        <c:scaling>
          <c:orientation val="minMax"/>
          <c:max val="8"/>
          <c:min val="-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60386432"/>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2000" b="1" i="0" u="none" strike="noStrike" kern="1200" cap="none" spc="0" normalizeH="0" baseline="0">
                <a:solidFill>
                  <a:schemeClr val="tx1">
                    <a:lumMod val="65000"/>
                    <a:lumOff val="35000"/>
                  </a:schemeClr>
                </a:solidFill>
                <a:latin typeface="+mj-lt"/>
                <a:ea typeface="+mj-ea"/>
                <a:cs typeface="+mj-cs"/>
              </a:defRPr>
            </a:pPr>
            <a:r>
              <a:rPr lang="en-ID" sz="1200" b="1"/>
              <a:t>POTENSI</a:t>
            </a:r>
            <a:endParaRPr lang="en-ID" sz="1600" b="1"/>
          </a:p>
        </c:rich>
      </c:tx>
      <c:overlay val="0"/>
      <c:spPr>
        <a:noFill/>
        <a:ln>
          <a:noFill/>
        </a:ln>
        <a:effectLst/>
      </c:spPr>
      <c:txPr>
        <a:bodyPr rot="0" spcFirstLastPara="1" vertOverflow="ellipsis" vert="horz" wrap="square" anchor="t" anchorCtr="0"/>
        <a:lstStyle/>
        <a:p>
          <a:pPr>
            <a:defRPr sz="20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29707638036071177"/>
          <c:y val="8.8728104791096912E-2"/>
          <c:w val="0.62984292461338542"/>
          <c:h val="0.78479599141016465"/>
        </c:manualLayout>
      </c:layout>
      <c:barChart>
        <c:barDir val="bar"/>
        <c:grouping val="clustered"/>
        <c:varyColors val="0"/>
        <c:ser>
          <c:idx val="0"/>
          <c:order val="0"/>
          <c:tx>
            <c:v>STANDAR</c:v>
          </c:tx>
          <c:spPr>
            <a:solidFill>
              <a:schemeClr val="accent1"/>
            </a:solidFill>
            <a:ln>
              <a:noFill/>
            </a:ln>
            <a:effectLst/>
          </c:spPr>
          <c:invertIfNegative val="0"/>
          <c:dLbls>
            <c:delete val="1"/>
          </c:dLbls>
          <c:cat>
            <c:multiLvlStrRef>
              <c:f>WORD!$D$1048573:$T$1048574</c:f>
              <c:multiLvlStrCache>
                <c:ptCount val="17"/>
                <c:lvl>
                  <c:pt idx="0">
                    <c:v>Kecepatan</c:v>
                  </c:pt>
                  <c:pt idx="1">
                    <c:v>Tanggung Jawab</c:v>
                  </c:pt>
                  <c:pt idx="2">
                    <c:v>Manajemen Kerja</c:v>
                  </c:pt>
                  <c:pt idx="3">
                    <c:v>Kemampuan bekerja di bawah target</c:v>
                  </c:pt>
                  <c:pt idx="4">
                    <c:v>Ketaatan thd Aturan</c:v>
                  </c:pt>
                  <c:pt idx="5">
                    <c:v>Ketelitian</c:v>
                  </c:pt>
                  <c:pt idx="6">
                    <c:v>Inisiatif</c:v>
                  </c:pt>
                  <c:pt idx="7">
                    <c:v>Hasrat Berprestasi</c:v>
                  </c:pt>
                  <c:pt idx="8">
                    <c:v>Kepercayaan Diri</c:v>
                  </c:pt>
                  <c:pt idx="9">
                    <c:v>Stabilitas Emosi</c:v>
                  </c:pt>
                  <c:pt idx="10">
                    <c:v>Komunikasi persuasif</c:v>
                  </c:pt>
                  <c:pt idx="11">
                    <c:v>Kerjasama</c:v>
                  </c:pt>
                  <c:pt idx="12">
                    <c:v>Penyesuaian Diri</c:v>
                  </c:pt>
                  <c:pt idx="13">
                    <c:v>Daya Tangkap</c:v>
                  </c:pt>
                  <c:pt idx="14">
                    <c:v>Pemecahan Masalah</c:v>
                  </c:pt>
                  <c:pt idx="15">
                    <c:v>Analisa Berpikir</c:v>
                  </c:pt>
                  <c:pt idx="16">
                    <c:v>Intelejensi Umum</c:v>
                  </c:pt>
                </c:lvl>
                <c:lvl>
                  <c:pt idx="0">
                    <c:v>Pola Kerja</c:v>
                  </c:pt>
                  <c:pt idx="6">
                    <c:v>Kepribadian</c:v>
                  </c:pt>
                  <c:pt idx="10">
                    <c:v>Sosialibilitas</c:v>
                  </c:pt>
                  <c:pt idx="13">
                    <c:v>Kemampuan Intelektual</c:v>
                  </c:pt>
                </c:lvl>
              </c:multiLvlStrCache>
            </c:multiLvlStrRef>
          </c:cat>
          <c:val>
            <c:numRef>
              <c:f>WORD!$D$1048575:$T$1048575</c:f>
              <c:numCache>
                <c:formatCode>General</c:formatCode>
                <c:ptCount val="17"/>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numCache>
            </c:numRef>
          </c:val>
          <c:extLst>
            <c:ext xmlns:c16="http://schemas.microsoft.com/office/drawing/2014/chart" uri="{C3380CC4-5D6E-409C-BE32-E72D297353CC}">
              <c16:uniqueId val="{00000000-D23C-427B-8B2F-A92E27890AE0}"/>
            </c:ext>
          </c:extLst>
        </c:ser>
        <c:ser>
          <c:idx val="1"/>
          <c:order val="1"/>
          <c:tx>
            <c:v>JUDGEMENT</c:v>
          </c:tx>
          <c:spPr>
            <a:solidFill>
              <a:schemeClr val="accent2"/>
            </a:solidFill>
            <a:ln>
              <a:noFill/>
            </a:ln>
            <a:effectLst/>
          </c:spPr>
          <c:invertIfNegative val="0"/>
          <c:dLbls>
            <c:delete val="1"/>
          </c:dLbls>
          <c:cat>
            <c:multiLvlStrRef>
              <c:f>WORD!$D$1048573:$T$1048574</c:f>
              <c:multiLvlStrCache>
                <c:ptCount val="17"/>
                <c:lvl>
                  <c:pt idx="0">
                    <c:v>Kecepatan</c:v>
                  </c:pt>
                  <c:pt idx="1">
                    <c:v>Tanggung Jawab</c:v>
                  </c:pt>
                  <c:pt idx="2">
                    <c:v>Manajemen Kerja</c:v>
                  </c:pt>
                  <c:pt idx="3">
                    <c:v>Kemampuan bekerja di bawah target</c:v>
                  </c:pt>
                  <c:pt idx="4">
                    <c:v>Ketaatan thd Aturan</c:v>
                  </c:pt>
                  <c:pt idx="5">
                    <c:v>Ketelitian</c:v>
                  </c:pt>
                  <c:pt idx="6">
                    <c:v>Inisiatif</c:v>
                  </c:pt>
                  <c:pt idx="7">
                    <c:v>Hasrat Berprestasi</c:v>
                  </c:pt>
                  <c:pt idx="8">
                    <c:v>Kepercayaan Diri</c:v>
                  </c:pt>
                  <c:pt idx="9">
                    <c:v>Stabilitas Emosi</c:v>
                  </c:pt>
                  <c:pt idx="10">
                    <c:v>Komunikasi persuasif</c:v>
                  </c:pt>
                  <c:pt idx="11">
                    <c:v>Kerjasama</c:v>
                  </c:pt>
                  <c:pt idx="12">
                    <c:v>Penyesuaian Diri</c:v>
                  </c:pt>
                  <c:pt idx="13">
                    <c:v>Daya Tangkap</c:v>
                  </c:pt>
                  <c:pt idx="14">
                    <c:v>Pemecahan Masalah</c:v>
                  </c:pt>
                  <c:pt idx="15">
                    <c:v>Analisa Berpikir</c:v>
                  </c:pt>
                  <c:pt idx="16">
                    <c:v>Intelejensi Umum</c:v>
                  </c:pt>
                </c:lvl>
                <c:lvl>
                  <c:pt idx="0">
                    <c:v>Pola Kerja</c:v>
                  </c:pt>
                  <c:pt idx="6">
                    <c:v>Kepribadian</c:v>
                  </c:pt>
                  <c:pt idx="10">
                    <c:v>Sosialibilitas</c:v>
                  </c:pt>
                  <c:pt idx="13">
                    <c:v>Kemampuan Intelektual</c:v>
                  </c:pt>
                </c:lvl>
              </c:multiLvlStrCache>
            </c:multiLvlStrRef>
          </c:cat>
          <c:val>
            <c:numRef>
              <c:f>WORD!$D$1048576:$T$1048576</c:f>
              <c:numCache>
                <c:formatCode>General</c:formatCode>
                <c:ptCount val="17"/>
                <c:pt idx="0">
                  <c:v>2</c:v>
                </c:pt>
                <c:pt idx="1">
                  <c:v>3</c:v>
                </c:pt>
                <c:pt idx="2">
                  <c:v>2</c:v>
                </c:pt>
                <c:pt idx="3">
                  <c:v>2</c:v>
                </c:pt>
                <c:pt idx="4">
                  <c:v>2</c:v>
                </c:pt>
                <c:pt idx="5">
                  <c:v>2</c:v>
                </c:pt>
                <c:pt idx="6">
                  <c:v>2</c:v>
                </c:pt>
                <c:pt idx="7">
                  <c:v>3</c:v>
                </c:pt>
                <c:pt idx="8">
                  <c:v>2</c:v>
                </c:pt>
                <c:pt idx="9">
                  <c:v>3</c:v>
                </c:pt>
                <c:pt idx="10">
                  <c:v>2</c:v>
                </c:pt>
                <c:pt idx="11">
                  <c:v>2</c:v>
                </c:pt>
                <c:pt idx="12">
                  <c:v>3</c:v>
                </c:pt>
                <c:pt idx="13">
                  <c:v>3</c:v>
                </c:pt>
                <c:pt idx="14">
                  <c:v>2</c:v>
                </c:pt>
                <c:pt idx="15">
                  <c:v>2</c:v>
                </c:pt>
                <c:pt idx="16">
                  <c:v>3</c:v>
                </c:pt>
              </c:numCache>
            </c:numRef>
          </c:val>
          <c:extLst>
            <c:ext xmlns:c16="http://schemas.microsoft.com/office/drawing/2014/chart" uri="{C3380CC4-5D6E-409C-BE32-E72D297353CC}">
              <c16:uniqueId val="{00000001-D23C-427B-8B2F-A92E27890AE0}"/>
            </c:ext>
          </c:extLst>
        </c:ser>
        <c:dLbls>
          <c:dLblPos val="inEnd"/>
          <c:showLegendKey val="0"/>
          <c:showVal val="1"/>
          <c:showCatName val="0"/>
          <c:showSerName val="0"/>
          <c:showPercent val="0"/>
          <c:showBubbleSize val="0"/>
        </c:dLbls>
        <c:gapWidth val="269"/>
        <c:overlap val="-50"/>
        <c:axId val="1257043728"/>
        <c:axId val="1313186352"/>
      </c:barChart>
      <c:catAx>
        <c:axId val="12570437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solidFill>
                <a:latin typeface="+mn-lt"/>
                <a:ea typeface="+mn-ea"/>
                <a:cs typeface="+mn-cs"/>
              </a:defRPr>
            </a:pPr>
            <a:endParaRPr lang="en-US"/>
          </a:p>
        </c:txPr>
        <c:crossAx val="1313186352"/>
        <c:crosses val="autoZero"/>
        <c:auto val="1"/>
        <c:lblAlgn val="ctr"/>
        <c:lblOffset val="100"/>
        <c:noMultiLvlLbl val="0"/>
      </c:catAx>
      <c:valAx>
        <c:axId val="1313186352"/>
        <c:scaling>
          <c:orientation val="minMax"/>
          <c:max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25704372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2000" b="1" i="0" u="none" strike="noStrike" kern="1200" cap="none" spc="0" normalizeH="0" baseline="0">
                <a:solidFill>
                  <a:schemeClr val="tx1">
                    <a:lumMod val="65000"/>
                    <a:lumOff val="35000"/>
                  </a:schemeClr>
                </a:solidFill>
                <a:latin typeface="+mj-lt"/>
                <a:ea typeface="+mj-ea"/>
                <a:cs typeface="+mj-cs"/>
              </a:defRPr>
            </a:pPr>
            <a:r>
              <a:rPr lang="en-ID" sz="1200" b="1"/>
              <a:t>KOMPETENSI</a:t>
            </a:r>
            <a:endParaRPr lang="en-ID" sz="1600" b="1"/>
          </a:p>
        </c:rich>
      </c:tx>
      <c:overlay val="0"/>
      <c:spPr>
        <a:noFill/>
        <a:ln>
          <a:noFill/>
        </a:ln>
        <a:effectLst/>
      </c:spPr>
      <c:txPr>
        <a:bodyPr rot="0" spcFirstLastPara="1" vertOverflow="ellipsis" vert="horz" wrap="square" anchor="t" anchorCtr="0"/>
        <a:lstStyle/>
        <a:p>
          <a:pPr>
            <a:defRPr sz="20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29707638036071177"/>
          <c:y val="8.8728104791096912E-2"/>
          <c:w val="0.62984292461338542"/>
          <c:h val="0.78479599141016465"/>
        </c:manualLayout>
      </c:layout>
      <c:barChart>
        <c:barDir val="bar"/>
        <c:grouping val="clustered"/>
        <c:varyColors val="0"/>
        <c:ser>
          <c:idx val="0"/>
          <c:order val="0"/>
          <c:tx>
            <c:v>STANDAR</c:v>
          </c:tx>
          <c:spPr>
            <a:solidFill>
              <a:srgbClr val="7030A0"/>
            </a:solidFill>
            <a:ln>
              <a:noFill/>
            </a:ln>
            <a:effectLst/>
          </c:spPr>
          <c:invertIfNegative val="0"/>
          <c:dLbls>
            <c:delete val="1"/>
          </c:dLbls>
          <c:cat>
            <c:multiLvlStrRef>
              <c:f>WORD!$U$1048573:$AG$1048574</c:f>
              <c:multiLvlStrCache>
                <c:ptCount val="13"/>
                <c:lvl>
                  <c:pt idx="0">
                    <c:v>Kemampuan Menjual</c:v>
                  </c:pt>
                  <c:pt idx="1">
                    <c:v>Kemampuan Membangun Relasi</c:v>
                  </c:pt>
                  <c:pt idx="2">
                    <c:v>Kemampuan Beromunikasi</c:v>
                  </c:pt>
                  <c:pt idx="3">
                    <c:v>Orientasi Berprestasi</c:v>
                  </c:pt>
                  <c:pt idx="4">
                    <c:v>Percaya Diri</c:v>
                  </c:pt>
                  <c:pt idx="5">
                    <c:v>Proaktif</c:v>
                  </c:pt>
                  <c:pt idx="6">
                    <c:v>Kerjasama Kelompok</c:v>
                  </c:pt>
                  <c:pt idx="7">
                    <c:v>Aktif</c:v>
                  </c:pt>
                  <c:pt idx="8">
                    <c:v>Inovasi</c:v>
                  </c:pt>
                  <c:pt idx="9">
                    <c:v>Dampak</c:v>
                  </c:pt>
                  <c:pt idx="10">
                    <c:v>Empati</c:v>
                  </c:pt>
                  <c:pt idx="11">
                    <c:v>Melayani</c:v>
                  </c:pt>
                  <c:pt idx="12">
                    <c:v>Integritas</c:v>
                  </c:pt>
                </c:lvl>
                <c:lvl>
                  <c:pt idx="0">
                    <c:v>Technical Competency</c:v>
                  </c:pt>
                  <c:pt idx="3">
                    <c:v>Soft Competency</c:v>
                  </c:pt>
                  <c:pt idx="8">
                    <c:v>Core Competency</c:v>
                  </c:pt>
                </c:lvl>
              </c:multiLvlStrCache>
            </c:multiLvlStrRef>
          </c:cat>
          <c:val>
            <c:numRef>
              <c:f>WORD!$U$1048575:$AG$1048575</c:f>
              <c:numCache>
                <c:formatCode>General</c:formatCode>
                <c:ptCount val="13"/>
                <c:pt idx="0">
                  <c:v>2</c:v>
                </c:pt>
                <c:pt idx="1">
                  <c:v>3</c:v>
                </c:pt>
                <c:pt idx="2">
                  <c:v>3</c:v>
                </c:pt>
                <c:pt idx="3">
                  <c:v>2</c:v>
                </c:pt>
                <c:pt idx="4">
                  <c:v>2</c:v>
                </c:pt>
                <c:pt idx="5">
                  <c:v>2</c:v>
                </c:pt>
                <c:pt idx="6">
                  <c:v>2</c:v>
                </c:pt>
                <c:pt idx="7">
                  <c:v>2</c:v>
                </c:pt>
                <c:pt idx="8">
                  <c:v>2</c:v>
                </c:pt>
                <c:pt idx="9">
                  <c:v>2</c:v>
                </c:pt>
                <c:pt idx="10">
                  <c:v>2</c:v>
                </c:pt>
                <c:pt idx="11">
                  <c:v>2</c:v>
                </c:pt>
                <c:pt idx="12">
                  <c:v>3</c:v>
                </c:pt>
              </c:numCache>
            </c:numRef>
          </c:val>
          <c:extLst>
            <c:ext xmlns:c16="http://schemas.microsoft.com/office/drawing/2014/chart" uri="{C3380CC4-5D6E-409C-BE32-E72D297353CC}">
              <c16:uniqueId val="{00000000-706E-4499-9514-6149F490E6C2}"/>
            </c:ext>
          </c:extLst>
        </c:ser>
        <c:ser>
          <c:idx val="1"/>
          <c:order val="1"/>
          <c:tx>
            <c:v>JUDGMENT</c:v>
          </c:tx>
          <c:spPr>
            <a:solidFill>
              <a:srgbClr val="FFC000"/>
            </a:solidFill>
            <a:ln>
              <a:noFill/>
            </a:ln>
            <a:effectLst/>
          </c:spPr>
          <c:invertIfNegative val="0"/>
          <c:dLbls>
            <c:delete val="1"/>
          </c:dLbls>
          <c:cat>
            <c:multiLvlStrRef>
              <c:f>WORD!$U$1048573:$AG$1048574</c:f>
              <c:multiLvlStrCache>
                <c:ptCount val="13"/>
                <c:lvl>
                  <c:pt idx="0">
                    <c:v>Kemampuan Menjual</c:v>
                  </c:pt>
                  <c:pt idx="1">
                    <c:v>Kemampuan Membangun Relasi</c:v>
                  </c:pt>
                  <c:pt idx="2">
                    <c:v>Kemampuan Beromunikasi</c:v>
                  </c:pt>
                  <c:pt idx="3">
                    <c:v>Orientasi Berprestasi</c:v>
                  </c:pt>
                  <c:pt idx="4">
                    <c:v>Percaya Diri</c:v>
                  </c:pt>
                  <c:pt idx="5">
                    <c:v>Proaktif</c:v>
                  </c:pt>
                  <c:pt idx="6">
                    <c:v>Kerjasama Kelompok</c:v>
                  </c:pt>
                  <c:pt idx="7">
                    <c:v>Aktif</c:v>
                  </c:pt>
                  <c:pt idx="8">
                    <c:v>Inovasi</c:v>
                  </c:pt>
                  <c:pt idx="9">
                    <c:v>Dampak</c:v>
                  </c:pt>
                  <c:pt idx="10">
                    <c:v>Empati</c:v>
                  </c:pt>
                  <c:pt idx="11">
                    <c:v>Melayani</c:v>
                  </c:pt>
                  <c:pt idx="12">
                    <c:v>Integritas</c:v>
                  </c:pt>
                </c:lvl>
                <c:lvl>
                  <c:pt idx="0">
                    <c:v>Technical Competency</c:v>
                  </c:pt>
                  <c:pt idx="3">
                    <c:v>Soft Competency</c:v>
                  </c:pt>
                  <c:pt idx="8">
                    <c:v>Core Competency</c:v>
                  </c:pt>
                </c:lvl>
              </c:multiLvlStrCache>
            </c:multiLvlStrRef>
          </c:cat>
          <c:val>
            <c:numRef>
              <c:f>WORD!$U$1048576:$AG$1048576</c:f>
              <c:numCache>
                <c:formatCode>General</c:formatCode>
                <c:ptCount val="13"/>
                <c:pt idx="0">
                  <c:v>1</c:v>
                </c:pt>
                <c:pt idx="1">
                  <c:v>1</c:v>
                </c:pt>
                <c:pt idx="2">
                  <c:v>2</c:v>
                </c:pt>
                <c:pt idx="3">
                  <c:v>1</c:v>
                </c:pt>
                <c:pt idx="4">
                  <c:v>1</c:v>
                </c:pt>
                <c:pt idx="5">
                  <c:v>2</c:v>
                </c:pt>
                <c:pt idx="6">
                  <c:v>1</c:v>
                </c:pt>
                <c:pt idx="7">
                  <c:v>1</c:v>
                </c:pt>
                <c:pt idx="8">
                  <c:v>1</c:v>
                </c:pt>
                <c:pt idx="9">
                  <c:v>1</c:v>
                </c:pt>
                <c:pt idx="10">
                  <c:v>1</c:v>
                </c:pt>
                <c:pt idx="11">
                  <c:v>2</c:v>
                </c:pt>
                <c:pt idx="12">
                  <c:v>1</c:v>
                </c:pt>
              </c:numCache>
            </c:numRef>
          </c:val>
          <c:extLst>
            <c:ext xmlns:c16="http://schemas.microsoft.com/office/drawing/2014/chart" uri="{C3380CC4-5D6E-409C-BE32-E72D297353CC}">
              <c16:uniqueId val="{00000001-706E-4499-9514-6149F490E6C2}"/>
            </c:ext>
          </c:extLst>
        </c:ser>
        <c:dLbls>
          <c:dLblPos val="inEnd"/>
          <c:showLegendKey val="0"/>
          <c:showVal val="1"/>
          <c:showCatName val="0"/>
          <c:showSerName val="0"/>
          <c:showPercent val="0"/>
          <c:showBubbleSize val="0"/>
        </c:dLbls>
        <c:gapWidth val="269"/>
        <c:overlap val="-50"/>
        <c:axId val="1257043728"/>
        <c:axId val="1313186352"/>
      </c:barChart>
      <c:catAx>
        <c:axId val="125704372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solidFill>
                <a:latin typeface="+mn-lt"/>
                <a:ea typeface="+mn-ea"/>
                <a:cs typeface="+mn-cs"/>
              </a:defRPr>
            </a:pPr>
            <a:endParaRPr lang="en-US"/>
          </a:p>
        </c:txPr>
        <c:crossAx val="1313186352"/>
        <c:crosses val="autoZero"/>
        <c:auto val="1"/>
        <c:lblAlgn val="ctr"/>
        <c:lblOffset val="100"/>
        <c:noMultiLvlLbl val="0"/>
      </c:catAx>
      <c:valAx>
        <c:axId val="1313186352"/>
        <c:scaling>
          <c:orientation val="minMax"/>
          <c:max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125704372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219075</xdr:colOff>
      <xdr:row>32</xdr:row>
      <xdr:rowOff>119062</xdr:rowOff>
    </xdr:from>
    <xdr:to>
      <xdr:col>16</xdr:col>
      <xdr:colOff>648767</xdr:colOff>
      <xdr:row>54</xdr:row>
      <xdr:rowOff>127746</xdr:rowOff>
    </xdr:to>
    <xdr:grpSp>
      <xdr:nvGrpSpPr>
        <xdr:cNvPr id="5" name="Group 4">
          <a:extLst>
            <a:ext uri="{FF2B5EF4-FFF2-40B4-BE49-F238E27FC236}">
              <a16:creationId xmlns:a16="http://schemas.microsoft.com/office/drawing/2014/main" id="{D37F244B-B7DC-4017-8B0E-3A01C04952EB}"/>
            </a:ext>
          </a:extLst>
        </xdr:cNvPr>
        <xdr:cNvGrpSpPr/>
      </xdr:nvGrpSpPr>
      <xdr:grpSpPr>
        <a:xfrm>
          <a:off x="14405722" y="13962062"/>
          <a:ext cx="5830927" cy="3519860"/>
          <a:chOff x="13515975" y="6057900"/>
          <a:chExt cx="5487467" cy="3390059"/>
        </a:xfrm>
      </xdr:grpSpPr>
      <xdr:graphicFrame macro="">
        <xdr:nvGraphicFramePr>
          <xdr:cNvPr id="2" name="Chart 1">
            <a:extLst>
              <a:ext uri="{FF2B5EF4-FFF2-40B4-BE49-F238E27FC236}">
                <a16:creationId xmlns:a16="http://schemas.microsoft.com/office/drawing/2014/main" id="{8B772F05-BE32-4965-8E45-DECE8555A1D2}"/>
              </a:ext>
            </a:extLst>
          </xdr:cNvPr>
          <xdr:cNvGraphicFramePr>
            <a:graphicFrameLocks/>
          </xdr:cNvGraphicFramePr>
        </xdr:nvGraphicFramePr>
        <xdr:xfrm>
          <a:off x="13515975" y="6057900"/>
          <a:ext cx="1815591" cy="33885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Chart 2">
            <a:extLst>
              <a:ext uri="{FF2B5EF4-FFF2-40B4-BE49-F238E27FC236}">
                <a16:creationId xmlns:a16="http://schemas.microsoft.com/office/drawing/2014/main" id="{1F27D3C7-03A9-478B-AEC0-E988888E6762}"/>
              </a:ext>
            </a:extLst>
          </xdr:cNvPr>
          <xdr:cNvGraphicFramePr>
            <a:graphicFrameLocks/>
          </xdr:cNvGraphicFramePr>
        </xdr:nvGraphicFramePr>
        <xdr:xfrm>
          <a:off x="15345214" y="6059459"/>
          <a:ext cx="1823386" cy="33885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Chart 3">
            <a:extLst>
              <a:ext uri="{FF2B5EF4-FFF2-40B4-BE49-F238E27FC236}">
                <a16:creationId xmlns:a16="http://schemas.microsoft.com/office/drawing/2014/main" id="{BFB0DA97-1E21-416D-9E81-80F28E02486A}"/>
              </a:ext>
            </a:extLst>
          </xdr:cNvPr>
          <xdr:cNvGraphicFramePr>
            <a:graphicFrameLocks/>
          </xdr:cNvGraphicFramePr>
        </xdr:nvGraphicFramePr>
        <xdr:xfrm>
          <a:off x="17187851" y="6059458"/>
          <a:ext cx="1815591" cy="33885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189890</xdr:colOff>
      <xdr:row>17</xdr:row>
      <xdr:rowOff>168776</xdr:rowOff>
    </xdr:from>
    <xdr:to>
      <xdr:col>12</xdr:col>
      <xdr:colOff>383418</xdr:colOff>
      <xdr:row>19</xdr:row>
      <xdr:rowOff>167150</xdr:rowOff>
    </xdr:to>
    <xdr:pic>
      <xdr:nvPicPr>
        <xdr:cNvPr id="12" name="Picture 11">
          <a:extLst>
            <a:ext uri="{FF2B5EF4-FFF2-40B4-BE49-F238E27FC236}">
              <a16:creationId xmlns:a16="http://schemas.microsoft.com/office/drawing/2014/main" id="{5AFCD960-0A20-4981-9B38-2BCC5E90B73F}"/>
            </a:ext>
          </a:extLst>
        </xdr:cNvPr>
        <xdr:cNvPicPr>
          <a:picLocks noChangeAspect="1"/>
        </xdr:cNvPicPr>
      </xdr:nvPicPr>
      <xdr:blipFill>
        <a:blip xmlns:r="http://schemas.openxmlformats.org/officeDocument/2006/relationships" r:embed="rId1"/>
        <a:stretch>
          <a:fillRect/>
        </a:stretch>
      </xdr:blipFill>
      <xdr:spPr>
        <a:xfrm>
          <a:off x="2005243" y="4931276"/>
          <a:ext cx="5639587" cy="390580"/>
        </a:xfrm>
        <a:prstGeom prst="rect">
          <a:avLst/>
        </a:prstGeom>
      </xdr:spPr>
    </xdr:pic>
    <xdr:clientData/>
  </xdr:twoCellAnchor>
  <xdr:twoCellAnchor>
    <xdr:from>
      <xdr:col>3</xdr:col>
      <xdr:colOff>167479</xdr:colOff>
      <xdr:row>18</xdr:row>
      <xdr:rowOff>4424</xdr:rowOff>
    </xdr:from>
    <xdr:to>
      <xdr:col>12</xdr:col>
      <xdr:colOff>493059</xdr:colOff>
      <xdr:row>49</xdr:row>
      <xdr:rowOff>136071</xdr:rowOff>
    </xdr:to>
    <xdr:grpSp>
      <xdr:nvGrpSpPr>
        <xdr:cNvPr id="14" name="Group 13">
          <a:extLst>
            <a:ext uri="{FF2B5EF4-FFF2-40B4-BE49-F238E27FC236}">
              <a16:creationId xmlns:a16="http://schemas.microsoft.com/office/drawing/2014/main" id="{DC47D17F-BF28-463B-AED3-CDC842B28180}"/>
            </a:ext>
          </a:extLst>
        </xdr:cNvPr>
        <xdr:cNvGrpSpPr/>
      </xdr:nvGrpSpPr>
      <xdr:grpSpPr>
        <a:xfrm>
          <a:off x="2094891" y="5398189"/>
          <a:ext cx="6107815" cy="5981117"/>
          <a:chOff x="2005243" y="4960511"/>
          <a:chExt cx="5771639" cy="7801359"/>
        </a:xfrm>
      </xdr:grpSpPr>
      <xdr:grpSp>
        <xdr:nvGrpSpPr>
          <xdr:cNvPr id="11" name="Group 10">
            <a:extLst>
              <a:ext uri="{FF2B5EF4-FFF2-40B4-BE49-F238E27FC236}">
                <a16:creationId xmlns:a16="http://schemas.microsoft.com/office/drawing/2014/main" id="{E18E165B-F6AE-49A0-B4CE-77336079609E}"/>
              </a:ext>
            </a:extLst>
          </xdr:cNvPr>
          <xdr:cNvGrpSpPr/>
        </xdr:nvGrpSpPr>
        <xdr:grpSpPr>
          <a:xfrm>
            <a:off x="2005243" y="4960511"/>
            <a:ext cx="5771639" cy="7534175"/>
            <a:chOff x="2005243" y="4956641"/>
            <a:chExt cx="5771639" cy="6536997"/>
          </a:xfrm>
        </xdr:grpSpPr>
        <xdr:graphicFrame macro="">
          <xdr:nvGraphicFramePr>
            <xdr:cNvPr id="2" name="Chart 1">
              <a:extLst>
                <a:ext uri="{FF2B5EF4-FFF2-40B4-BE49-F238E27FC236}">
                  <a16:creationId xmlns:a16="http://schemas.microsoft.com/office/drawing/2014/main" id="{70E9007B-7F54-4443-810E-15759ED18A24}"/>
                </a:ext>
              </a:extLst>
            </xdr:cNvPr>
            <xdr:cNvGraphicFramePr/>
          </xdr:nvGraphicFramePr>
          <xdr:xfrm>
            <a:off x="2005243" y="4956641"/>
            <a:ext cx="5770792" cy="3342056"/>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 name="Chart 2">
              <a:extLst>
                <a:ext uri="{FF2B5EF4-FFF2-40B4-BE49-F238E27FC236}">
                  <a16:creationId xmlns:a16="http://schemas.microsoft.com/office/drawing/2014/main" id="{89183447-6A2B-443F-B6FE-F3CD9D9ABE8A}"/>
                </a:ext>
              </a:extLst>
            </xdr:cNvPr>
            <xdr:cNvGraphicFramePr>
              <a:graphicFrameLocks/>
            </xdr:cNvGraphicFramePr>
          </xdr:nvGraphicFramePr>
          <xdr:xfrm>
            <a:off x="2006090" y="8151582"/>
            <a:ext cx="5770792" cy="3342056"/>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13" name="Picture 12">
            <a:extLst>
              <a:ext uri="{FF2B5EF4-FFF2-40B4-BE49-F238E27FC236}">
                <a16:creationId xmlns:a16="http://schemas.microsoft.com/office/drawing/2014/main" id="{E12F918E-C888-4F3A-809F-8E8BE636965F}"/>
              </a:ext>
            </a:extLst>
          </xdr:cNvPr>
          <xdr:cNvPicPr>
            <a:picLocks noChangeAspect="1"/>
          </xdr:cNvPicPr>
        </xdr:nvPicPr>
        <xdr:blipFill>
          <a:blip xmlns:r="http://schemas.openxmlformats.org/officeDocument/2006/relationships" r:embed="rId4"/>
          <a:stretch>
            <a:fillRect/>
          </a:stretch>
        </xdr:blipFill>
        <xdr:spPr>
          <a:xfrm>
            <a:off x="2005853" y="12371290"/>
            <a:ext cx="5639587" cy="390580"/>
          </a:xfrm>
          <a:prstGeom prst="rect">
            <a:avLst/>
          </a:prstGeom>
        </xdr:spPr>
      </xdr:pic>
    </xdr:grpSp>
    <xdr:clientData/>
  </xdr:twoCellAnchor>
  <xdr:twoCellAnchor>
    <xdr:from>
      <xdr:col>0</xdr:col>
      <xdr:colOff>244929</xdr:colOff>
      <xdr:row>15</xdr:row>
      <xdr:rowOff>40821</xdr:rowOff>
    </xdr:from>
    <xdr:to>
      <xdr:col>2</xdr:col>
      <xdr:colOff>571500</xdr:colOff>
      <xdr:row>18</xdr:row>
      <xdr:rowOff>0</xdr:rowOff>
    </xdr:to>
    <xdr:sp macro="" textlink="">
      <xdr:nvSpPr>
        <xdr:cNvPr id="4" name="TextBox 3">
          <a:extLst>
            <a:ext uri="{FF2B5EF4-FFF2-40B4-BE49-F238E27FC236}">
              <a16:creationId xmlns:a16="http://schemas.microsoft.com/office/drawing/2014/main" id="{97CFA69F-66BC-40F3-BAD5-7D9AEA535C4F}"/>
            </a:ext>
          </a:extLst>
        </xdr:cNvPr>
        <xdr:cNvSpPr txBox="1"/>
      </xdr:nvSpPr>
      <xdr:spPr>
        <a:xfrm>
          <a:off x="244929" y="5184321"/>
          <a:ext cx="1551214" cy="557893"/>
        </a:xfrm>
        <a:prstGeom prst="rightArrow">
          <a:avLst/>
        </a:prstGeom>
        <a:solidFill>
          <a:schemeClr val="lt1"/>
        </a:solidFill>
        <a:ln w="1905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a:t>kesimpulan word</a:t>
          </a:r>
        </a:p>
      </xdr:txBody>
    </xdr:sp>
    <xdr:clientData/>
  </xdr:twoCellAnchor>
  <xdr:twoCellAnchor>
    <xdr:from>
      <xdr:col>20</xdr:col>
      <xdr:colOff>149678</xdr:colOff>
      <xdr:row>21</xdr:row>
      <xdr:rowOff>138792</xdr:rowOff>
    </xdr:from>
    <xdr:to>
      <xdr:col>22</xdr:col>
      <xdr:colOff>519794</xdr:colOff>
      <xdr:row>24</xdr:row>
      <xdr:rowOff>84364</xdr:rowOff>
    </xdr:to>
    <xdr:sp macro="" textlink="">
      <xdr:nvSpPr>
        <xdr:cNvPr id="9" name="TextBox 8">
          <a:extLst>
            <a:ext uri="{FF2B5EF4-FFF2-40B4-BE49-F238E27FC236}">
              <a16:creationId xmlns:a16="http://schemas.microsoft.com/office/drawing/2014/main" id="{7BC4E46B-E447-45CA-B611-CE876D3607C0}"/>
            </a:ext>
          </a:extLst>
        </xdr:cNvPr>
        <xdr:cNvSpPr txBox="1"/>
      </xdr:nvSpPr>
      <xdr:spPr>
        <a:xfrm flipH="1">
          <a:off x="12396107" y="6479721"/>
          <a:ext cx="1594758" cy="557893"/>
        </a:xfrm>
        <a:prstGeom prst="rightArrow">
          <a:avLst/>
        </a:prstGeom>
        <a:solidFill>
          <a:schemeClr val="lt1"/>
        </a:solidFill>
        <a:ln w="1905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100"/>
            <a:t>Data diri word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nlotan\Papikostik%20Baru%20(1)%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Online"/>
      <sheetName val="Proses 1"/>
      <sheetName val="Hasil"/>
      <sheetName val="Proses 2"/>
    </sheetNames>
    <sheetDataSet>
      <sheetData sheetId="0" refreshError="1"/>
      <sheetData sheetId="1" refreshError="1"/>
      <sheetData sheetId="2" refreshError="1"/>
      <sheetData sheetId="3">
        <row r="1">
          <cell r="K1">
            <v>0</v>
          </cell>
          <cell r="L1" t="str">
            <v>PERAN PEKERJA KERAS (Hard Intense Worker) - Santai, kerja adalah sesuatu yang menyenangkan bukan beban yg membutuhkan usaha besar. Mungkin termotivasi utk mencari cara atau sistem yg dpt mempermudah dirinya dlm menyelesaikan pekerjaan, akan berusaha mengh</v>
          </cell>
        </row>
        <row r="2">
          <cell r="K2">
            <v>1</v>
          </cell>
          <cell r="L2" t="str">
            <v>PERAN PEKERJA KERAS (Hard Intense Worker) - Santai, kerja adalah sesuatu yang menyenangkan bukan beban yg membutuhkan usaha besar. Mungkin termotivasi utk mencari cara atau sistem yg dpt mempermudah dirinya dlm menyelesaikan pekerjaan, akan berusaha mengh</v>
          </cell>
        </row>
        <row r="3">
          <cell r="K3">
            <v>2</v>
          </cell>
          <cell r="L3" t="str">
            <v>PERAN PEKERJA KERAS (Hard Intense Worker) - Santai, kerja adalah sesuatu yang menyenangkan bukan beban yg membutuhkan usaha besar. Mungkin termotivasi utk mencari cara atau sistem yg dpt mempermudah dirinya dlm menyelesaikan pekerjaan, akan berusaha mengh</v>
          </cell>
        </row>
        <row r="4">
          <cell r="K4">
            <v>3</v>
          </cell>
          <cell r="L4" t="str">
            <v xml:space="preserve">PERAN PEKERJA KERAS (Hard Intense Worker) - Bekerja keras sesuai tuntutan, menyalurkan usahanya untuk hal-hal yang bermanfaat / menguntungkan.  </v>
          </cell>
        </row>
        <row r="5">
          <cell r="K5">
            <v>4</v>
          </cell>
          <cell r="L5" t="str">
            <v xml:space="preserve">PERAN PEKERJA KERAS (Hard Intense Worker) - Bekerja keras sesuai tuntutan, menyalurkan usahanya untuk hal-hal yang bermanfaat / menguntungkan.  </v>
          </cell>
        </row>
        <row r="6">
          <cell r="K6">
            <v>5</v>
          </cell>
          <cell r="L6" t="str">
            <v xml:space="preserve">PERAN PEKERJA KERAS (Hard Intense Worker) - Bekerja keras, tetapi  jelas tujuan yg ingin dicapainya.   </v>
          </cell>
        </row>
        <row r="7">
          <cell r="K7">
            <v>6</v>
          </cell>
          <cell r="L7" t="str">
            <v xml:space="preserve">PERAN PEKERJA KERAS (Hard Intense Worker) - Bekerja keras, tetapi  jelas tujuan yg ingin dicapainya.   </v>
          </cell>
        </row>
        <row r="8">
          <cell r="K8">
            <v>7</v>
          </cell>
          <cell r="L8" t="str">
            <v xml:space="preserve">PERAN PEKERJA KERAS (Hard Intense Worker) - Bekerja keras, tetapi  jelas tujuan yg ingin dicapainya.   </v>
          </cell>
        </row>
        <row r="9">
          <cell r="K9">
            <v>8</v>
          </cell>
          <cell r="L9" t="str">
            <v>PERAN PEKERJA KERAS (Hard Intense Worker) - Ingin tampil sbg pekerja keras, sangat suka bila orang lain memandangnya sbg pekerja keras. Cenderung menciptakan pekerjaanyang tidak perlu agar terlihat tetap sibuk, kadang kala tanpa tujuan yang jelas.</v>
          </cell>
        </row>
        <row r="10">
          <cell r="K10">
            <v>9</v>
          </cell>
          <cell r="L10" t="str">
            <v>PERAN PEKERJA KERAS (Hard Intense Worker) - Ingin tampil sbg pekerja keras, sangat suka bila orang lain memandangnya sbg pekerja keras. Cenderung menciptakan pekerjaanyang tidak perlu agar terlihat tetap sibuk, kadang kala tanpa tujuan yang jelas.</v>
          </cell>
        </row>
        <row r="12">
          <cell r="K12">
            <v>0</v>
          </cell>
          <cell r="L12" t="str">
            <v>PERAN PEMIMPIN - Puas dengan peran sebagai bawahan, memberikan kesempatan pada orang lain untuk memimpin, tidak dominan. Tidak percaya diri (sama sekali tidak berminat untuk berperan sebagai pemimpin) bersikap pasif dalam kelompok.</v>
          </cell>
        </row>
        <row r="13">
          <cell r="K13">
            <v>1</v>
          </cell>
          <cell r="L13" t="str">
            <v>PERAN PEMIMPIN - Puas dengan peran sebagai bawahan, memberikan kesempatan pada orang lain untuk memimpin, tidak dominan. Tidak percaya diri (sama sekali tidak berminat untuk berperan sebagai pemimpin) bersikap pasif dalam kelompok.</v>
          </cell>
        </row>
        <row r="14">
          <cell r="K14">
            <v>2</v>
          </cell>
          <cell r="L14" t="str">
            <v>PERAN PEMIMPIN - Tidak percaya diri dan tidak ingin memimpin atau mengawasi orang lain.</v>
          </cell>
        </row>
        <row r="15">
          <cell r="K15">
            <v>3</v>
          </cell>
          <cell r="L15" t="str">
            <v>PERAN PEMIMPIN - Tidak percaya diri dan tidak ingin memimpin atau mengawasi orang lain.</v>
          </cell>
        </row>
        <row r="16">
          <cell r="K16">
            <v>4</v>
          </cell>
          <cell r="L16" t="str">
            <v>PERAN PEMIMPIN - Tidak secara aktif menggunakan orang lain dalam bekerja</v>
          </cell>
        </row>
        <row r="17">
          <cell r="K17">
            <v>5</v>
          </cell>
          <cell r="L17" t="str">
            <v>PERAN PEMIMPIN - Cukup percaya diri, tidak secara aktif mencari posisi kepemimpinan akan tetapi juga tidak akan menghindarinya.</v>
          </cell>
        </row>
        <row r="18">
          <cell r="K18">
            <v>6</v>
          </cell>
          <cell r="L18" t="str">
            <v>PERAN PEMIMPIN - Memproyeksikan diri sebagai pemimpin dan mencoba menggunakan orang lain untuk mencapai tujuannya.</v>
          </cell>
        </row>
        <row r="19">
          <cell r="K19">
            <v>7</v>
          </cell>
          <cell r="L19" t="str">
            <v>PERAN PEMIMPIN - Memproyeksikan diri sebagai pemimpin dan mencoba menggunakan orang lain untuk mencapai tujuannya.</v>
          </cell>
        </row>
        <row r="20">
          <cell r="K20">
            <v>8</v>
          </cell>
          <cell r="L20" t="str">
            <v>PERAN PEMIMPIN - Sangat percaya diri utk berperan sbg atasan &amp; sangat mengharapkan posisi tersebut. Lebih mementingkan citra &amp; status kepemimpinannya dari pada efektifitas kelompok, mungkin akan tampil angkuh atau terlalu percaya diri.</v>
          </cell>
        </row>
        <row r="21">
          <cell r="K21">
            <v>9</v>
          </cell>
          <cell r="L21" t="str">
            <v>PERAN PEMIMPIN - Sangat percaya diri utk berperan sbg atasan &amp; sangat mengharapkan posisi tersebut. Lebih mementingkan citra &amp; status kepemimpinannya dari pada efektifitas kelompok, mungkin akan tampil angkuh atau terlalu percaya diri.</v>
          </cell>
        </row>
        <row r="23">
          <cell r="K23">
            <v>0</v>
          </cell>
          <cell r="L23" t="str">
            <v xml:space="preserve">PERAN  MEMBUAT KEPUTUSAN - Sangat berhati - hati, memikirkan langkah-langkahnya secara bersungguh - sungguh. Lamban dlm mengambil keputusan, terlalu lama merenung, cenderung menghindar mengambil keputusan. </v>
          </cell>
        </row>
        <row r="24">
          <cell r="K24">
            <v>1</v>
          </cell>
          <cell r="L24" t="str">
            <v xml:space="preserve">PERAN  MEMBUAT KEPUTUSAN - Sangat berhati - hati, memikirkan langkah-langkahnya secara bersungguh - sungguh. Lamban dlm mengambil keputusan, terlalu lama merenung, cenderung menghindar mengambil keputusan. </v>
          </cell>
        </row>
        <row r="25">
          <cell r="K25">
            <v>2</v>
          </cell>
          <cell r="L25" t="str">
            <v>PERAN MEMBUAT KEPUTUSAN - Enggan mengambil keputusan.</v>
          </cell>
        </row>
        <row r="26">
          <cell r="K26">
            <v>3</v>
          </cell>
          <cell r="L26" t="str">
            <v>PERAN MEMBUAT KEPUTUSAN - Enggan mengambil keputusan.</v>
          </cell>
        </row>
        <row r="27">
          <cell r="K27">
            <v>4</v>
          </cell>
          <cell r="L27" t="str">
            <v>PERAN MEMBUAT KEPUTUSAN - Berhati - hati dlm pengambilan keputusan.</v>
          </cell>
        </row>
        <row r="28">
          <cell r="K28">
            <v>5</v>
          </cell>
          <cell r="L28" t="str">
            <v>PERAN MEMBUAT KEPUTUSAN - Berhati - hati dlm pengambilan keputusan.</v>
          </cell>
        </row>
        <row r="29">
          <cell r="K29">
            <v>6</v>
          </cell>
          <cell r="L29" t="str">
            <v>PERAN MEMBUAT KEPUTUSAN - Cukup percaya diri dlm pengambilan keputusan, mau mengambil resiko, dpt memutuskan dgn cepat, mengikuti alur logika.</v>
          </cell>
        </row>
        <row r="30">
          <cell r="K30">
            <v>7</v>
          </cell>
          <cell r="L30" t="str">
            <v>PERAN MEMBUAT KEPUTUSAN - Cukup percaya diri dlm pengambilan keputusan, mau mengambil resiko, dpt memutuskan dgn cepat, mengikuti alur logika.</v>
          </cell>
        </row>
        <row r="31">
          <cell r="K31">
            <v>8</v>
          </cell>
          <cell r="L31" t="str">
            <v>PERAN MEMBUAT KEPUTUSAN - Sangat yakin dl mengambil keputusan, cepat tanggap thd situasi, berani mengambil resiko, mau memanfaatkan kesempatan. Impulsif, dpt membuat keputusan yg tdk praktis, cenderung lebih mementingkan kecepatan daripada akurasi, tdk sa</v>
          </cell>
        </row>
        <row r="32">
          <cell r="K32">
            <v>9</v>
          </cell>
          <cell r="L32" t="str">
            <v>PERAN MEMBUAT KEPUTUSAN - Sangat yakin dl mengambil keputusan, cepat tanggap thd situasi, berani mengambil resiko, mau memanfaatkan kesempatan. Impulsif, dpt membuat keputusan yg tdk praktis, cenderung lebih mementingkan kecepatan daripada akurasi, tdk sa</v>
          </cell>
        </row>
        <row r="34">
          <cell r="K34">
            <v>0</v>
          </cell>
          <cell r="L34" t="str">
            <v>PERAN - SIBUK (PACE) - Santai. Kurang peduli akan waktu, kurang memiliki rasa urgensi,membuang-buang waktu, bukan pekerja yang tepat waktu.</v>
          </cell>
        </row>
        <row r="35">
          <cell r="K35">
            <v>1</v>
          </cell>
          <cell r="L35" t="str">
            <v>PERAN - SIBUK (PACE) - Santai. Kurang peduli akan waktu, kurang memiliki rasa urgensi,membuang-buang waktu, bukan pekerja yang tepat waktu.</v>
          </cell>
        </row>
        <row r="36">
          <cell r="K36">
            <v>2</v>
          </cell>
          <cell r="L36" t="str">
            <v>PERAN - SIBUK (PACE) - Santai. Kurang peduli akan waktu, kurang memiliki rasa urgensi,membuang-buang waktu, bukan pekerja yang tepat waktu.</v>
          </cell>
        </row>
        <row r="37">
          <cell r="K37">
            <v>3</v>
          </cell>
          <cell r="L37" t="str">
            <v>PERAN - SIBUK (PACE) - Santai. Kurang peduli akan waktu, kurang memiliki rasa urgensi,membuang-buang waktu, bukan pekerja yang tepat waktu.</v>
          </cell>
        </row>
        <row r="38">
          <cell r="K38">
            <v>4</v>
          </cell>
          <cell r="L38" t="str">
            <v>PERAN - SIBUK (PACE) - Cukup aktif dalam segi mental, dapat menyesuaikan tempo kerjanya dengan tuntutan pekerjaan / lingkungan.</v>
          </cell>
        </row>
        <row r="39">
          <cell r="K39">
            <v>5</v>
          </cell>
          <cell r="L39" t="str">
            <v>PERAN - SIBUK (PACE) - Cukup aktif dalam segi mental, dapat menyesuaikan tempo kerjanya dengan tuntutan pekerjaan / lingkungan.</v>
          </cell>
        </row>
        <row r="40">
          <cell r="K40">
            <v>6</v>
          </cell>
          <cell r="L40" t="str">
            <v>PERAN - SIBUK (PACE) - Cukup aktif dalam segi mental, dapat menyesuaikan tempo kerjanya dengan tuntutan pekerjaan / lingkungan.</v>
          </cell>
        </row>
        <row r="41">
          <cell r="K41">
            <v>7</v>
          </cell>
          <cell r="L41" t="str">
            <v>PERAN - SIBUK (PACE) - Cekatan, selalu siaga, bekerja cepat, ingin segera menyelesaikan tugas.  Negatifnya : Tegang, cemas, impulsif, mungkin ceroboh,banyak gerakan yang tidak perlu.</v>
          </cell>
        </row>
        <row r="42">
          <cell r="K42">
            <v>8</v>
          </cell>
          <cell r="L42" t="str">
            <v>PERAN - SIBUK (PACE) - Cekatan, selalu siaga, bekerja cepat, ingin segera menyelesaikan tugas.  Negatifnya : Tegang, cemas, impulsif, mungkin ceroboh,banyak gerakan yang tidak perlu.</v>
          </cell>
        </row>
        <row r="43">
          <cell r="K43">
            <v>9</v>
          </cell>
          <cell r="L43" t="str">
            <v>PERAN - SIBUK (PACE) - Cekatan, selalu siaga, bekerja cepat, ingin segera menyelesaikan tugas.  Negatifnya : Tegang, cemas, impulsif, mungkin ceroboh,banyak gerakan yang tidak perlu.</v>
          </cell>
        </row>
        <row r="45">
          <cell r="K45">
            <v>0</v>
          </cell>
          <cell r="L45" t="str">
            <v>PERAN PENUH SEMANGAT (Vigorous Type) - Cocok untuk pekerjaan 'di belakang meja'. Cenderung lamban, tidak tanggap, mudah lelah, daya tahan lemah.</v>
          </cell>
        </row>
        <row r="46">
          <cell r="K46">
            <v>1</v>
          </cell>
          <cell r="L46" t="str">
            <v>PERAN PENUH SEMANGAT (Vigorous Type) - Cocok untuk pekerjaan 'di belakang meja'. Cenderung lamban, tidak tanggap, mudah lelah, daya tahan lemah.</v>
          </cell>
        </row>
        <row r="47">
          <cell r="K47">
            <v>2</v>
          </cell>
          <cell r="L47" t="str">
            <v>PERAN PENUH SEMANGAT (Vigorous Type) - Cocok untuk pekerjaan 'di belakang meja'. Cenderung lamban, tidak tanggap, mudah lelah, daya tahan lemah.</v>
          </cell>
        </row>
        <row r="48">
          <cell r="K48">
            <v>3</v>
          </cell>
          <cell r="L48" t="str">
            <v xml:space="preserve">PERAN PENUH SEMANGAT (Vigorous Type) - Dapat bekerja di belakang meja dan senang jika sesekali harus terjun ke lapangan atau melaksanakan tugas-tugas yang bersifat mobile. </v>
          </cell>
        </row>
        <row r="49">
          <cell r="K49">
            <v>4</v>
          </cell>
          <cell r="L49" t="str">
            <v xml:space="preserve">PERAN PENUH SEMANGAT (Vigorous Type) - Dapat bekerja di belakang meja dan senang jika sesekali harus terjun ke lapangan atau melaksanakan tugas-tugas yang bersifat mobile. </v>
          </cell>
        </row>
        <row r="50">
          <cell r="K50">
            <v>5</v>
          </cell>
          <cell r="L50" t="str">
            <v xml:space="preserve">PERAN PENUH SEMANGAT (Vigorous Type) - Dapat bekerja di belakang meja dan senang jika sesekali harus terjun ke lapangan atau melaksanakan tugas-tugas yang bersifat mobile. </v>
          </cell>
        </row>
        <row r="51">
          <cell r="K51">
            <v>6</v>
          </cell>
          <cell r="L51" t="str">
            <v xml:space="preserve">PERAN PENUH SEMANGAT (Vigorous Type) - Dapat bekerja di belakang meja dan senang jika sesekali harus terjun ke lapangan atau melaksanakan tugas-tugas yang bersifat mobile. </v>
          </cell>
        </row>
        <row r="52">
          <cell r="K52">
            <v>7</v>
          </cell>
          <cell r="L52" t="str">
            <v xml:space="preserve">PERAN PENUH SEMANGAT (Vigorous Type) - Menyukai aktifitas fisik ( a.l. : olah raga), enerjik, memiliki stamina untuk menangani tugas-tugas berat, tidak mudah lelah. Tidak betah duduk lama, kurang dapat konsentrasi  'di belakang meja'. </v>
          </cell>
        </row>
        <row r="53">
          <cell r="K53">
            <v>8</v>
          </cell>
          <cell r="L53" t="str">
            <v xml:space="preserve">PERAN PENUH SEMANGAT (Vigorous Type) - Menyukai aktifitas fisik ( a.l. : olah raga), enerjik, memiliki stamina untuk menangani tugas-tugas berat, tidak mudah lelah. Tidak betah duduk lama, kurang dapat konsentrasi  'di belakang meja'. </v>
          </cell>
        </row>
        <row r="54">
          <cell r="K54">
            <v>9</v>
          </cell>
          <cell r="L54" t="str">
            <v xml:space="preserve">PERAN PENUH SEMANGAT (Vigorous Type) - Menyukai aktifitas fisik ( a.l. : olah raga), enerjik, memiliki stamina untuk menangani tugas-tugas berat, tidak mudah lelah. Tidak betah duduk lama, kurang dapat konsentrasi  'di belakang meja'. </v>
          </cell>
        </row>
        <row r="56">
          <cell r="K56">
            <v>0</v>
          </cell>
          <cell r="L56" t="str">
            <v>PERAN HUBUNGAN SOSIAL - Dpt. bekerja sendiri, tdk membutuhkan kehadiran org lain. Menarik diri, kaku dlm bergaul, canggung dlm situasi sosial, lebih memperhatikan hal - hal lain daripada manusia.</v>
          </cell>
        </row>
        <row r="57">
          <cell r="K57">
            <v>1</v>
          </cell>
          <cell r="L57" t="str">
            <v>PERAN HUBUNGAN SOSIAL - Dpt. bekerja sendiri, tdk membutuhkan kehadiran org lain. Menarik diri, kaku dlm bergaul, canggung dlm situasi sosial, lebih memperhatikan hal - hal lain daripada manusia.</v>
          </cell>
        </row>
        <row r="58">
          <cell r="K58">
            <v>2</v>
          </cell>
          <cell r="L58" t="str">
            <v>PERAN HUBUNGAN SOSIAL - Dpt. bekerja sendiri, tdk membutuhkan kehadiran org lain. Menarik diri, kaku dlm bergaul, canggung dlm situasi sosial, lebih memperhatikan hal - hal lain daripada manusia.</v>
          </cell>
        </row>
        <row r="59">
          <cell r="K59">
            <v>3</v>
          </cell>
          <cell r="L59" t="str">
            <v>PERAN HUBUNGAN SOSIAL - Perhatian rendah terhadap hubungan sosial , kurang percaya pada orang lain</v>
          </cell>
        </row>
        <row r="60">
          <cell r="K60">
            <v>4</v>
          </cell>
          <cell r="L60" t="str">
            <v>PERAN HUBUNGAN SOSIAL - Perhatian rendah terhadap hubungan sosial , kurang percaya pada orang lain</v>
          </cell>
        </row>
        <row r="61">
          <cell r="K61">
            <v>5</v>
          </cell>
          <cell r="L61" t="str">
            <v>PERAN HUBUNGAN SOSIAL - Percaya diri &amp; sangat senang bergaul, menyukai interaksi sosial, bisa menciptakan suasana yg menyenangkan, mempunyai inisiatif &amp; mampu menjalin hubungan &amp; komunikasi, memperhatikan org lain. Mungkin membuang-buang waktu utk aktifit</v>
          </cell>
        </row>
        <row r="62">
          <cell r="K62">
            <v>6</v>
          </cell>
          <cell r="L62" t="str">
            <v>PERAN HUBUNGAN SOSIAL - Percaya diri &amp; sangat senang bergaul, menyukai interaksi sosial, bisa menciptakan suasana yg menyenangkan, mempunyai inisiatif &amp; mampu menjalin hubungan &amp; komunikasi, memperhatikan org lain. Mungkin membuang-buang waktu utk aktifit</v>
          </cell>
        </row>
        <row r="63">
          <cell r="K63">
            <v>7</v>
          </cell>
          <cell r="L63" t="str">
            <v>PERAN HUBUNGAN SOSIAL - Percaya diri &amp; sangat senang bergaul, menyukai interaksi sosial, bisa menciptakan suasana yg menyenangkan, mempunyai inisiatif &amp; mampu menjalin hubungan &amp; komunikasi, memperhatikan org lain. Mungkin membuang-buang waktu utk aktifit</v>
          </cell>
        </row>
        <row r="64">
          <cell r="K64">
            <v>8</v>
          </cell>
          <cell r="L64" t="str">
            <v>PERAN HUBUNGAN SOSIAL - Percaya diri &amp; sangat senang bergaul, menyukai interaksi sosial, bisa menciptakan suasana yg menyenangkan, mempunyai inisiatif &amp; mampu menjalin hubungan &amp; komunikasi, memperhatikan org lain. Mungkin membuang-buang waktu utk aktifit</v>
          </cell>
        </row>
        <row r="65">
          <cell r="K65">
            <v>9</v>
          </cell>
          <cell r="L65" t="str">
            <v>PERAN HUBUNGAN SOSIAL - Percaya diri &amp; sangat senang bergaul, menyukai interaksi sosial, bisa menciptakan suasana yg menyenangkan, mempunyai inisiatif &amp; mampu menjalin hubungan &amp; komunikasi, memperhatikan org lain. Mungkin membuang-buang waktu utk aktifit</v>
          </cell>
        </row>
        <row r="67">
          <cell r="K67">
            <v>0</v>
          </cell>
          <cell r="L67" t="str">
            <v xml:space="preserve">PERAN ORANG YANG TEORITIS - Tipe pelaksana, praktis - pragmatis, mengandalkan pengalaman masa lalu dan intuisi. Bekerja tanpa perencanaan, mengandalkan perasaan. </v>
          </cell>
        </row>
        <row r="68">
          <cell r="K68">
            <v>1</v>
          </cell>
          <cell r="L68" t="str">
            <v xml:space="preserve">PERAN ORANG YANG TEORITIS - Tipe pelaksana, praktis - pragmatis, mengandalkan pengalaman masa lalu dan intuisi. Bekerja tanpa perencanaan, mengandalkan perasaan. </v>
          </cell>
        </row>
        <row r="69">
          <cell r="K69">
            <v>2</v>
          </cell>
          <cell r="L69" t="str">
            <v xml:space="preserve">PERAN ORANG YANG TEORITIS - Tipe pelaksana, praktis - pragmatis, mengandalkan pengalaman masa lalu dan intuisi. Bekerja tanpa perencanaan, mengandalkan perasaan. </v>
          </cell>
        </row>
        <row r="70">
          <cell r="K70">
            <v>3</v>
          </cell>
          <cell r="L70" t="str">
            <v xml:space="preserve">PERAN ORANG YANG TEORITIS - Tipe pelaksana, praktis - pragmatis, mengandalkan pengalaman masa lalu dan intuisi. Bekerja tanpa perencanaan, mengandalkan perasaan. </v>
          </cell>
        </row>
        <row r="71">
          <cell r="K71">
            <v>4</v>
          </cell>
          <cell r="L71" t="str">
            <v xml:space="preserve">PERAN ORANG YANG TEORITIS - Pertimbangan mencakup aspek teoritis ( konsep atau pemikiran baru ) dan aspek praktis ( pengalaman ) secara berimbang  </v>
          </cell>
        </row>
        <row r="72">
          <cell r="K72">
            <v>5</v>
          </cell>
          <cell r="L72" t="str">
            <v xml:space="preserve">PERAN ORANG YANG TEORITIS - Pertimbangan mencakup aspek teoritis ( konsep atau pemikiran baru ) dan aspek praktis ( pengalaman ) secara berimbang  </v>
          </cell>
        </row>
        <row r="73">
          <cell r="K73">
            <v>6</v>
          </cell>
          <cell r="L73" t="str">
            <v xml:space="preserve">PERAN ORANG YANG TEORITIS - Suka memikirkan suatu problem secara mendalam, merujuk pada teori dan konsep.  </v>
          </cell>
        </row>
        <row r="74">
          <cell r="K74">
            <v>7</v>
          </cell>
          <cell r="L74" t="str">
            <v xml:space="preserve">PERAN ORANG YANG TEORITIS - Suka memikirkan suatu problem secara mendalam, merujuk pada teori dan konsep.  </v>
          </cell>
        </row>
        <row r="75">
          <cell r="K75">
            <v>8</v>
          </cell>
          <cell r="L75" t="str">
            <v>PERAN ORANG YANG TEORITIS - Tipe pemikir, sangat berminat pada gagasan, konsep, teori, mencari alternatif baru, menyukai perencanaan. Mungkin sulit dimengerti oleh orang lain, terlalu teoritis dan tidak praktis, mengawang-awang dan berbelit-belit.</v>
          </cell>
        </row>
        <row r="76">
          <cell r="K76">
            <v>9</v>
          </cell>
          <cell r="L76" t="str">
            <v>PERAN ORANG YANG TEORITIS - Tipe pemikir, sangat berminat pada gagasan, konsep, teori, mencari alternatif baru, menyukai perencanaan. Mungkin sulit dimengerti oleh orang lain, terlalu teoritis dan tidak praktis, mengawang-awang dan berbelit-belit.</v>
          </cell>
        </row>
        <row r="78">
          <cell r="K78">
            <v>0</v>
          </cell>
          <cell r="L78" t="str">
            <v xml:space="preserve">PERAN BEKERJA DENGAN DETAIL - Melihat pekerjaan scr makro, membedakan hal penting dari yg kurang penting, mendelegasikan detil pd org lain, generalis. Menghindari detail, konsekuensinya mungkin bertindak tanpa data yg cukup/akurat, bertindak ceroboh pada </v>
          </cell>
        </row>
        <row r="79">
          <cell r="K79">
            <v>1</v>
          </cell>
          <cell r="L79" t="str">
            <v xml:space="preserve">PERAN BEKERJA DENGAN DETAIL - Melihat pekerjaan scr makro, membedakan hal penting dari yg kurang penting, mendelegasikan detil pd org lain, generalis. Menghindari detail, konsekuensinya mungkin bertindak tanpa data yg cukup/akurat, bertindak ceroboh pada </v>
          </cell>
        </row>
        <row r="80">
          <cell r="K80">
            <v>2</v>
          </cell>
          <cell r="L80" t="str">
            <v xml:space="preserve">PERAN BEKERJA DENGAN DETAIL - Cukup peduli akan akurasi dan kelengkapan data.   </v>
          </cell>
        </row>
        <row r="81">
          <cell r="K81">
            <v>3</v>
          </cell>
          <cell r="L81" t="str">
            <v xml:space="preserve">PERAN BEKERJA DENGAN DETAIL - Cukup peduli akan akurasi dan kelengkapan data.   </v>
          </cell>
        </row>
        <row r="82">
          <cell r="K82">
            <v>4</v>
          </cell>
          <cell r="L82" t="str">
            <v xml:space="preserve">PERAN BEKERJA DENGAN DETAIL - Tertarik untuk menangani sendiri detail.   </v>
          </cell>
        </row>
        <row r="83">
          <cell r="K83">
            <v>5</v>
          </cell>
          <cell r="L83" t="str">
            <v xml:space="preserve">PERAN BEKERJA DENGAN DETAIL - Tertarik untuk menangani sendiri detail.   </v>
          </cell>
        </row>
        <row r="84">
          <cell r="K84">
            <v>6</v>
          </cell>
          <cell r="L84" t="str">
            <v xml:space="preserve">PERAN BEKERJA DENGAN DETAIL - Tertarik untuk menangani sendiri detail.   </v>
          </cell>
        </row>
        <row r="85">
          <cell r="K85">
            <v>7</v>
          </cell>
          <cell r="L85" t="str">
            <v xml:space="preserve">PERAN BEKERJA DENGAN DETAIL - Sangat menyukai detail, sangat peduli akan akurasi dan kelengkapan data.  Cenderung terlalu terlibat dengan detail sehingga melupakan tujuan utama. </v>
          </cell>
        </row>
        <row r="86">
          <cell r="K86">
            <v>8</v>
          </cell>
          <cell r="L86" t="str">
            <v xml:space="preserve">PERAN BEKERJA DENGAN DETAIL - Sangat menyukai detail, sangat peduli akan akurasi dan kelengkapan data.  Cenderung terlalu terlibat dengan detail sehingga melupakan tujuan utama. </v>
          </cell>
        </row>
        <row r="87">
          <cell r="K87">
            <v>9</v>
          </cell>
          <cell r="L87" t="str">
            <v xml:space="preserve">PERAN BEKERJA DENGAN DETAIL - Sangat menyukai detail, sangat peduli akan akurasi dan kelengkapan data.  Cenderung terlalu terlibat dengan detail sehingga melupakan tujuan utama. </v>
          </cell>
        </row>
        <row r="89">
          <cell r="K89">
            <v>0</v>
          </cell>
          <cell r="L89" t="str">
            <v>PERAN MENGATUR - Lebih mementingkan fleksibilitas daripada struktur, pendekatan kerja lebih ditentukan oleh situasi daripada oleh perencanaan sebelumnya, mudah beradaptasi.  Tidak mempedulikan keteraturanatau kerapihan, ceroboh.</v>
          </cell>
        </row>
        <row r="90">
          <cell r="K90">
            <v>1</v>
          </cell>
          <cell r="L90" t="str">
            <v>PERAN MENGATUR - Lebih mementingkan fleksibilitas daripada struktur, pendekatan kerja lebih ditentukan oleh situasi daripada oleh perencanaan sebelumnya, mudah beradaptasi.  Tidak mempedulikan keteraturanatau kerapihan, ceroboh.</v>
          </cell>
        </row>
        <row r="91">
          <cell r="K91">
            <v>2</v>
          </cell>
          <cell r="L91" t="str">
            <v>PERAN MENGATUR - Lebih mementingkan fleksibilitas daripada struktur, pendekatan kerja lebih ditentukan oleh situasi daripada oleh perencanaan sebelumnya, mudah beradaptasi.  Tidak mempedulikan keteraturanatau kerapihan, ceroboh.</v>
          </cell>
        </row>
        <row r="92">
          <cell r="K92">
            <v>3</v>
          </cell>
          <cell r="L92" t="str">
            <v xml:space="preserve">PERAN MENGATUR -Fleksibel tapi masih cukup memperhatikan keteraturan atau sistematika kerja.  </v>
          </cell>
        </row>
        <row r="93">
          <cell r="K93">
            <v>4</v>
          </cell>
          <cell r="L93" t="str">
            <v xml:space="preserve">PERAN MENGATUR -Fleksibel tapi masih cukup memperhatikan keteraturan atau sistematika kerja.  </v>
          </cell>
        </row>
        <row r="94">
          <cell r="K94">
            <v>5</v>
          </cell>
          <cell r="L94" t="str">
            <v xml:space="preserve">PERAN MENGATUR -Memperhatikan keteraturan dan sistematika kerja, tapi cukup fleksibel.  </v>
          </cell>
        </row>
        <row r="95">
          <cell r="K95">
            <v>6</v>
          </cell>
          <cell r="L95" t="str">
            <v xml:space="preserve">PERAN MENGATUR -Memperhatikan keteraturan dan sistematika kerja, tapi cukup fleksibel.  </v>
          </cell>
        </row>
        <row r="96">
          <cell r="K96">
            <v>7</v>
          </cell>
          <cell r="L96" t="str">
            <v xml:space="preserve">PERAN MENGATUR -Sistematis, bermetoda, berstruktur, rapi dan teratur, dapat menata tugas dengan baik.  Cenderung kaku, tidak fleksibel.  </v>
          </cell>
        </row>
        <row r="97">
          <cell r="K97">
            <v>8</v>
          </cell>
          <cell r="L97" t="str">
            <v xml:space="preserve">PERAN MENGATUR -Sistematis, bermetoda, berstruktur, rapi dan teratur, dapat menata tugas dengan baik.  Cenderung kaku, tidak fleksibel.  </v>
          </cell>
        </row>
        <row r="98">
          <cell r="K98">
            <v>9</v>
          </cell>
          <cell r="L98" t="str">
            <v xml:space="preserve">PERAN MENGATUR -Sistematis, bermetoda, berstruktur, rapi dan teratur, dapat menata tugas dengan baik.  Cenderung kaku, tidak fleksibel.  </v>
          </cell>
        </row>
        <row r="100">
          <cell r="K100">
            <v>0</v>
          </cell>
          <cell r="L100" t="str">
            <v>PERAN PENGENDALIAN EMOSI - Sangat terbuka, terus terang, mudah terbaca (dari air muka, tindakan,perkataan, sikap). Tidak dapat mengendalikan emosi, cepat bereaksi, kurang mengindahkan/tidak mempunyai 'nilai' yg mengharuskannya menahan emosi.</v>
          </cell>
        </row>
        <row r="101">
          <cell r="K101">
            <v>1</v>
          </cell>
          <cell r="L101" t="str">
            <v>PERAN PENGENDALIAN EMOSI - Sangat terbuka, terus terang, mudah terbaca (dari air muka, tindakan,perkataan, sikap). Tidak dapat mengendalikan emosi, cepat bereaksi, kurang mengindahkan/tidak mempunyai 'nilai' yg mengharuskannya menahan emosi.</v>
          </cell>
        </row>
        <row r="102">
          <cell r="K102">
            <v>2</v>
          </cell>
          <cell r="L102" t="str">
            <v>PERAN PENGENDALIAN EMOSI - Terbuka , cepat bereaksi , tidak normatif, mudah mengungkap pendapat atau perasaannya mengenai suatu hal kepada org lain.</v>
          </cell>
        </row>
        <row r="103">
          <cell r="K103">
            <v>3</v>
          </cell>
          <cell r="L103" t="str">
            <v>PERAN PENGENDALIAN EMOSI - Terbuka , cepat bereaksi , tidak normatif, mudah mengungkap pendapat atau perasaannya mengenai suatu hal kepada org lain.</v>
          </cell>
        </row>
        <row r="104">
          <cell r="K104">
            <v>4</v>
          </cell>
          <cell r="L104" t="str">
            <v>PERAN PENGENDALIAN EMOSI - punya pendekatan emosional seimbang ,mampu mengendalikan, mampu mengungkap atau menyimpan perasaan</v>
          </cell>
        </row>
        <row r="105">
          <cell r="K105">
            <v>5</v>
          </cell>
          <cell r="L105" t="str">
            <v>PERAN PENGENDALIAN EMOSI - punya pendekatan emosional seimbang ,mampu mengendalikan, mampu mengungkap atau menyimpan perasaan</v>
          </cell>
        </row>
        <row r="106">
          <cell r="K106">
            <v>6</v>
          </cell>
          <cell r="L106" t="str">
            <v>PERAN PENGENDALIAN EMOSI - punya pendekatan emosional seimbang ,mampu mengendalikan, mampu mengungkap atau menyimpan perasaan</v>
          </cell>
        </row>
        <row r="107">
          <cell r="K107">
            <v>7</v>
          </cell>
          <cell r="L107" t="str">
            <v xml:space="preserve">PERAN PENGENDALIAN EMOSI - Mampu menyimpan pendapat atau perasaannya, tenang, dapat mengendalikan emosi, menjaga jarak. Tampil pasif dan tidak acuh,mungkin sulit mengungkapkan emosi/perasaan/pandangan. </v>
          </cell>
        </row>
        <row r="108">
          <cell r="K108">
            <v>8</v>
          </cell>
          <cell r="L108" t="str">
            <v xml:space="preserve">PERAN PENGENDALIAN EMOSI - Mampu menyimpan pendapat atau perasaannya, tenang, dapat mengendalikan emosi, menjaga jarak. Tampil pasif dan tidak acuh,mungkin sulit mengungkapkan emosi/perasaan/pandangan. </v>
          </cell>
        </row>
        <row r="109">
          <cell r="K109">
            <v>9</v>
          </cell>
          <cell r="L109" t="str">
            <v xml:space="preserve">PERAN PENGENDALIAN EMOSI - Mampu menyimpan pendapat atau perasaannya, tenang, dapat mengendalikan emosi, menjaga jarak. Tampil pasif dan tidak acuh,mungkin sulit mengungkapkan emosi/perasaan/pandangan. </v>
          </cell>
        </row>
        <row r="111">
          <cell r="K111">
            <v>0</v>
          </cell>
          <cell r="L111" t="str">
            <v>KEBUTUHAN MENYELESAIKAN TUGAS - Tidak terlalu merasa perlu untuk menuntaskan sendiri tugas-tugasnya, senang menangani beberapa pekerjaan sekaligus, mudah mendelegasikan tugas. Komitmen rendah, cenderung meninggalkan tugas  sebelum tuntas, konsentrasi muda</v>
          </cell>
        </row>
        <row r="112">
          <cell r="K112">
            <v>1</v>
          </cell>
          <cell r="L112" t="str">
            <v>KEBUTUHAN MENYELESAIKAN TUGAS - Tidak terlalu merasa perlu untuk menuntaskan sendiri tugas-tugasnya, senang menangani beberapa pekerjaan sekaligus, mudah mendelegasikan tugas. Komitmen rendah, cenderung meninggalkan tugas  sebelum tuntas, konsentrasi muda</v>
          </cell>
        </row>
        <row r="113">
          <cell r="K113">
            <v>2</v>
          </cell>
          <cell r="L113" t="str">
            <v>KEBUTUHAN MENYELESAIKAN TUGAS - Tidak terlalu merasa perlu untuk menuntaskan sendiri tugas-tugasnya, senang menangani beberapa pekerjaan sekaligus, mudah mendelegasikan tugas. Komitmen rendah, cenderung meninggalkan tugas  sebelum tuntas, konsentrasi muda</v>
          </cell>
        </row>
        <row r="114">
          <cell r="K114">
            <v>3</v>
          </cell>
          <cell r="L114" t="str">
            <v>KEBUTUHAN MENYELESAIKAN TUGAS - Cukup memiliki komitmen untuk menuntaskan tugas, akan tetapi jika memungkinkan akan mendelegasikan sebagian dari pekerjaannya kepada orang lain.</v>
          </cell>
        </row>
        <row r="115">
          <cell r="K115">
            <v>4</v>
          </cell>
          <cell r="L115" t="str">
            <v>KEBUTUHAN MENYELESAIKAN TUGAS - Cukup memiliki komitmen untuk menuntaskan tugas, akan tetapi jika memungkinkan akan mendelegasikan sebagian dari pekerjaannya kepada orang lain.</v>
          </cell>
        </row>
        <row r="116">
          <cell r="K116">
            <v>5</v>
          </cell>
          <cell r="L116" t="str">
            <v>KEBUTUHAN MENYELESAIKAN TUGAS - Cukup memiliki komitmen untuk menuntaskan tugas, akan tetapi jika memungkinkan akan mendelegasikan sebagian dari pekerjaannya kepada orang lain.</v>
          </cell>
        </row>
        <row r="117">
          <cell r="K117">
            <v>6</v>
          </cell>
          <cell r="L117" t="str">
            <v>KEBUTUHAN MENYELESAIKAN TUGAS - Komitmen tinggi, lebih suka menangani pekerjaan satu demi satu, akan tetapi masih dapat mengubah prioritas jika terpaksa.</v>
          </cell>
        </row>
        <row r="118">
          <cell r="K118">
            <v>7</v>
          </cell>
          <cell r="L118" t="str">
            <v>KEBUTUHAN MENYELESAIKAN TUGAS - Komitmen tinggi, lebih suka menangani pekerjaan satu demi satu, akan tetapi masih dapat mengubah prioritas jika terpaksa.</v>
          </cell>
        </row>
        <row r="119">
          <cell r="K119">
            <v>8</v>
          </cell>
          <cell r="L119" t="str">
            <v>KEBUTUHAN MENYELESAIKAN TUGAS - Memiliki komitmen yg sangat tinggi thd tugas, sangat ingin menyelesaikantugas, tekun dan tuntas dlm menangani pekerjaan satu demi satu hingga  tuntas. Perhatian terpaku pada satu tugas, sulit utk menangani beberapa pekerjaa</v>
          </cell>
        </row>
        <row r="120">
          <cell r="K120">
            <v>9</v>
          </cell>
          <cell r="L120" t="str">
            <v>KEBUTUHAN MENYELESAIKAN TUGAS - Memiliki komitmen yg sangat tinggi thd tugas, sangat ingin menyelesaikantugas, tekun dan tuntas dlm menangani pekerjaan satu demi satu hingga  tuntas. Perhatian terpaku pada satu tugas, sulit utk menangani beberapa pekerjaa</v>
          </cell>
        </row>
        <row r="122">
          <cell r="K122">
            <v>0</v>
          </cell>
          <cell r="L122" t="str">
            <v>KEBUTUHAN BERPRESTASI - Tidak kompetitif, mapan, puas. Tidak terdorong untuk menghasilkan prestasi, tdk berusaha utk mencapai sukses, membutuhkan dorongan dari luar diri, tidak berinisiatif, tidak memanfaatkan kemampuan diri secara optimal, ragu akan tuju</v>
          </cell>
        </row>
        <row r="123">
          <cell r="K123">
            <v>1</v>
          </cell>
          <cell r="L123" t="str">
            <v>KEBUTUHAN BERPRESTASI - Tidak kompetitif, mapan, puas. Tidak terdorong untuk menghasilkan prestasi, tdk berusaha utk mencapai sukses, membutuhkan dorongan dari luar diri, tidak berinisiatif, tidak memanfaatkan kemampuan diri secara optimal, ragu akan tuju</v>
          </cell>
        </row>
        <row r="124">
          <cell r="K124">
            <v>2</v>
          </cell>
          <cell r="L124" t="str">
            <v>KEBUTUHAN BERPRESTASI - Tidak kompetitif, mapan, puas. Tidak terdorong untuk menghasilkan prestasi, tdk berusaha utk mencapai sukses, membutuhkan dorongan dari luar diri, tidak berinisiatif, tidak memanfaatkan kemampuan diri secara optimal, ragu akan tuju</v>
          </cell>
        </row>
        <row r="125">
          <cell r="K125">
            <v>3</v>
          </cell>
          <cell r="L125" t="str">
            <v>KEBUTUHAN BERPRESTASI - Tidak kompetitif, mapan, puas. Tidak terdorong untuk menghasilkan prestasi, tdk berusaha utk mencapai sukses, membutuhkan dorongan dari luar diri, tidak berinisiatif, tidak memanfaatkan kemampuan diri secara optimal, ragu akan tuju</v>
          </cell>
        </row>
        <row r="126">
          <cell r="K126">
            <v>4</v>
          </cell>
          <cell r="L126" t="str">
            <v>KEBUTUHAN BERPRESTASI - Tidak kompetitif, mapan, puas. Tidak terdorong untuk menghasilkan prestasi, tdk berusaha utk mencapai sukses, membutuhkan dorongan dari luar diri, tidak berinisiatif, tidak memanfaatkan kemampuan diri secara optimal, ragu akan tuju</v>
          </cell>
        </row>
        <row r="127">
          <cell r="K127">
            <v>5</v>
          </cell>
          <cell r="L127" t="str">
            <v>KEBUTUHAN BERPRESTASI - Tahu akan tujuan yang ingin dicapainya dan dapat merumuskannya, realistis akan kemampuan diri, dan berusaha untuk mencapai target.</v>
          </cell>
        </row>
        <row r="128">
          <cell r="K128">
            <v>6</v>
          </cell>
          <cell r="L128" t="str">
            <v>KEBUTUHAN BERPRESTASI - Tahu akan tujuan yang ingin dicapainya dan dapat merumuskannya, realistis akan kemampuan diri, dan berusaha untuk mencapai target.</v>
          </cell>
        </row>
        <row r="129">
          <cell r="K129">
            <v>7</v>
          </cell>
          <cell r="L129" t="str">
            <v>KEBUTUHAN BERPRESTASI - Tahu akan tujuan yang ingin dicapainya dan dapat merumuskannya, realistis akan kemampuan diri, dan berusaha untuk mencapai target.</v>
          </cell>
        </row>
        <row r="130">
          <cell r="K130">
            <v>8</v>
          </cell>
          <cell r="L130" t="str">
            <v>KEBUTUHAN BERPRESTASI - Sangat berambisi untuk berprestasi dan menjadi yg terbaik, menyukai tantangan, cenderung mengejar kesempurnaan, menetapkan target yg tinggi, 'self-starter', merumuskan kerja dg baik. Tdk realistis akan kemampuannya, sulit dipuaskan</v>
          </cell>
        </row>
        <row r="131">
          <cell r="K131">
            <v>9</v>
          </cell>
          <cell r="L131" t="str">
            <v>KEBUTUHAN BERPRESTASI - Sangat berambisi untuk berprestasi dan menjadi yg terbaik, menyukai tantangan, cenderung mengejar kesempurnaan, menetapkan target yg tinggi, 'self-starter', merumuskan kerja dg baik. Tdk realistis akan kemampuannya, sulit dipuaskan</v>
          </cell>
        </row>
        <row r="133">
          <cell r="K133">
            <v>0</v>
          </cell>
          <cell r="L133" t="str">
            <v>KEBUTUHAN MENGATUR ORANG LAIN - Permisif, akan memberikan kesempatan pada orang lain untuk memimpin. Tidak mau mengontrol orang lain dan tidak mau mempertanggung jawabkan hasil kerja bawahannya.</v>
          </cell>
        </row>
        <row r="134">
          <cell r="K134">
            <v>1</v>
          </cell>
          <cell r="L134" t="str">
            <v>KEBUTUHAN MENGATUR ORANG LAIN - Permisif, akan memberikan kesempatan pada orang lain untuk memimpin. Tidak mau mengontrol orang lain dan tidak mau mempertanggung jawabkan hasil kerja bawahannya.</v>
          </cell>
        </row>
        <row r="135">
          <cell r="K135">
            <v>2</v>
          </cell>
          <cell r="L135" t="str">
            <v>KEBUTUHAN MENGATUR ORANG LAIN - Enggan mengontrol org lain &amp; tidak mau mempertanggung jawabkan hasil kerja bawahannya, lebih memberi kebebasan kpd bawahan utkmemilih cara sendiri dlm penyelesaian tugas dan meminta bawahan utk mempertanggungjawabkan hasiln</v>
          </cell>
        </row>
        <row r="136">
          <cell r="K136">
            <v>3</v>
          </cell>
          <cell r="L136" t="str">
            <v>KEBUTUHAN MENGATUR ORANG LAIN - Enggan mengontrol org lain &amp; tidak mau mempertanggung jawabkan hasil kerja bawahannya, lebih memberi kebebasan kpd bawahan utkmemilih cara sendiri dlm penyelesaian tugas dan meminta bawahan utk mempertanggungjawabkan hasiln</v>
          </cell>
        </row>
        <row r="137">
          <cell r="K137">
            <v>4</v>
          </cell>
          <cell r="L137" t="str">
            <v>KEBUTUHAN MENGATUR ORANG LAIN - Cenderung enggan melakukan fungsi pengarahan, pengendalian dan pengawasan, kurang aktif memanfaatkan kapasitas bawahansecara optimal, cenderung bekerja sendiri dalam mencapaitujuan kelompok.</v>
          </cell>
        </row>
        <row r="138">
          <cell r="K138">
            <v>5</v>
          </cell>
          <cell r="L138" t="str">
            <v xml:space="preserve">KEBUTUHAN MENGATUR ORANG LAIN - Bertanggung jawab, akan melakukan fungsi pengarahan, pengendalian dan pengawasan, tapi tidak mendominasi.  </v>
          </cell>
        </row>
        <row r="139">
          <cell r="K139">
            <v>6</v>
          </cell>
          <cell r="L139" t="str">
            <v xml:space="preserve">KEBUTUHAN MENGATUR ORANG LAIN - Dominan dan bertanggung jawab, akan melakukan fungsi pengarahan,pengendalian dan pengawasan  </v>
          </cell>
        </row>
        <row r="140">
          <cell r="K140">
            <v>7</v>
          </cell>
          <cell r="L140" t="str">
            <v xml:space="preserve">KEBUTUHAN MENGATUR ORANG LAIN - Dominan dan bertanggung jawab, akan melakukan fungsi pengarahan,pengendalian dan pengawasan  </v>
          </cell>
        </row>
        <row r="141">
          <cell r="K141">
            <v>8</v>
          </cell>
          <cell r="L141" t="str">
            <v xml:space="preserve">KEBUTUHAN MENGATUR ORANG LAIN - Sangat dominan, sangat mempengaruhi &amp; mengawasi org lain, bertanggung jawab atas tindakan &amp; hasil kerja bawahan. Posesif, tdk ingin berada di bawah pimpinan org lain, cemas bila tdk berada di posisi pemimpin, mungkin sulit </v>
          </cell>
        </row>
        <row r="142">
          <cell r="K142">
            <v>9</v>
          </cell>
          <cell r="L142" t="str">
            <v xml:space="preserve">KEBUTUHAN MENGATUR ORANG LAIN - Sangat dominan, sangat mempengaruhi &amp; mengawasi org lain, bertanggung jawab atas tindakan &amp; hasil kerja bawahan. Posesif, tdk ingin berada di bawah pimpinan org lain, cemas bila tdk berada di posisi pemimpin, mungkin sulit </v>
          </cell>
        </row>
        <row r="144">
          <cell r="K144">
            <v>0</v>
          </cell>
          <cell r="L144" t="str">
            <v xml:space="preserve">KEBUTUHAN UNTUK DIPERHATIKAN - Sederhana, rendah hati, tulus, tidak sombong dan tidak suka menampilkan diri. Terlalu sederhana, cenderung merendahkan kapasitas diri, tidak percaya diri, cenderung menarik diri dan pemalu. </v>
          </cell>
        </row>
        <row r="145">
          <cell r="K145">
            <v>1</v>
          </cell>
          <cell r="L145" t="str">
            <v xml:space="preserve">KEBUTUHAN UNTUK DIPERHATIKAN - Sederhana, rendah hati, tulus, tidak sombong dan tidak suka menampilkan diri. Terlalu sederhana, cenderung merendahkan kapasitas diri, tidak percaya diri, cenderung menarik diri dan pemalu. </v>
          </cell>
        </row>
        <row r="146">
          <cell r="K146">
            <v>2</v>
          </cell>
          <cell r="L146" t="str">
            <v>KEBUTUHAN UNTUK DIPERHATIKAN - Sederhana, cenderung diam, cenderung pemalu, tidak suka menonjolkan diri.</v>
          </cell>
        </row>
        <row r="147">
          <cell r="K147">
            <v>3</v>
          </cell>
          <cell r="L147" t="str">
            <v>KEBUTUHAN UNTUK DIPERHATIKAN - Sederhana, cenderung diam, cenderung pemalu, tidak suka menonjolkan diri.</v>
          </cell>
        </row>
        <row r="148">
          <cell r="K148">
            <v>4</v>
          </cell>
          <cell r="L148" t="str">
            <v>KEBUTUHAN UNTUK DIPERHATIKAN - Mengharapkan pengakuan lingkungan dan tidak mau diabaikan tetapi tidak mencari-cari perhatian.</v>
          </cell>
        </row>
        <row r="149">
          <cell r="K149">
            <v>5</v>
          </cell>
          <cell r="L149" t="str">
            <v>KEBUTUHAN UNTUK DIPERHATIKAN - memiliki perilaku unik untuk mendapatkan perhatian</v>
          </cell>
        </row>
        <row r="150">
          <cell r="K150">
            <v>6</v>
          </cell>
          <cell r="L150" t="str">
            <v>KEBUTUHAN UNTUK DIPERHATIKAN - Bangga akan diri dan gayanya sendiri, senang menjadi pusat perhatian, mengharapkan penghargaan dari lingkungan. Mencari-cari perhatian dan suka menyombongkan diri.</v>
          </cell>
        </row>
        <row r="151">
          <cell r="K151">
            <v>7</v>
          </cell>
          <cell r="L151" t="str">
            <v>KEBUTUHAN UNTUK DIPERHATIKAN - Bangga akan diri dan gayanya sendiri, senang menjadi pusat perhatian, mengharapkan penghargaan dari lingkungan. Mencari-cari perhatian dan suka menyombongkan diri.</v>
          </cell>
        </row>
        <row r="152">
          <cell r="K152">
            <v>8</v>
          </cell>
          <cell r="L152" t="str">
            <v>KEBUTUHAN UNTUK DIPERHATIKAN - Bangga akan diri dan gayanya sendiri, senang menjadi pusat perhatian, mengharapkan penghargaan dari lingkungan. Mencari-cari perhatian dan suka menyombongkan diri.</v>
          </cell>
        </row>
        <row r="153">
          <cell r="K153">
            <v>9</v>
          </cell>
          <cell r="L153" t="str">
            <v>KEBUTUHAN UNTUK DIPERHATIKAN - Bangga akan diri dan gayanya sendiri, senang menjadi pusat perhatian, mengharapkan penghargaan dari lingkungan. Mencari-cari perhatian dan suka menyombongkan diri.</v>
          </cell>
        </row>
        <row r="155">
          <cell r="K155">
            <v>0</v>
          </cell>
          <cell r="L155" t="str">
            <v xml:space="preserve">KEBUTUHAN DITERIMA DALAM KELOMPOK - Mandiri ( dari segi emosi ) , tdk mudah dipengaruhi oleh tekanan kelompok. Penyendiri, kurang peka akan sikap &amp; kebutuhan kelompok, mungkin sulit menyesuaikan diri. </v>
          </cell>
        </row>
        <row r="156">
          <cell r="K156">
            <v>1</v>
          </cell>
          <cell r="L156" t="str">
            <v xml:space="preserve">KEBUTUHAN DITERIMA DALAM KELOMPOK - Mandiri ( dari segi emosi ) , tdk mudah dipengaruhi oleh tekanan kelompok. Penyendiri, kurang peka akan sikap &amp; kebutuhan kelompok, mungkin sulit menyesuaikan diri. </v>
          </cell>
        </row>
        <row r="157">
          <cell r="K157">
            <v>2</v>
          </cell>
          <cell r="L157" t="str">
            <v xml:space="preserve">KEBUTUHAN DITERIMA DALAM KELOMPOK - Mandiri ( dari segi emosi ) , tdk mudah dipengaruhi oleh tekanan kelompok. Penyendiri, kurang peka akan sikap &amp; kebutuhan kelompok, mungkin sulit menyesuaikan diri. </v>
          </cell>
        </row>
        <row r="158">
          <cell r="K158">
            <v>3</v>
          </cell>
          <cell r="L158" t="str">
            <v xml:space="preserve">KEBUTUHAN DITERIMA DALAM KELOMPOK - Selektif dlm bergabung dg kelompok, hanya mau berhubungan dg kelompok di lingkungan kerja apabila bernilai &amp; sesuai minat, tdk terlalu mudah dipengaruhi. </v>
          </cell>
        </row>
        <row r="159">
          <cell r="K159">
            <v>4</v>
          </cell>
          <cell r="L159" t="str">
            <v xml:space="preserve">KEBUTUHAN DITERIMA DALAM KELOMPOK - Selektif dlm bergabung dg kelompok, hanya mau berhubungan dg kelompok di lingkungan kerja apabila bernilai &amp; sesuai minat, tdk terlalu mudah dipengaruhi. </v>
          </cell>
        </row>
        <row r="160">
          <cell r="K160">
            <v>5</v>
          </cell>
          <cell r="L160" t="str">
            <v xml:space="preserve">KEBUTUHAN DITERIMA DALAM KELOMPOK - Selektif dlm bergabung dg kelompok, hanya mau berhubungan dg kelompok di lingkungan kerja apabila bernilai &amp; sesuai minat, tdk terlalu mudah dipengaruhi. </v>
          </cell>
        </row>
        <row r="161">
          <cell r="K161">
            <v>6</v>
          </cell>
          <cell r="L161" t="str">
            <v>KEBUTUHAN DITERIMA DALAM KELOMPOK - Suka bergabung dlm kelompok, sadar akan sikap &amp; kebutuhan kelompok, suka bekerja sama, ingin menjadi bagian dari kelompok,ingin disukai &amp; diakui oleh lingkungan; sangat tergantung pd kelompok, lebih memperhatikan kebutu</v>
          </cell>
        </row>
        <row r="162">
          <cell r="K162">
            <v>7</v>
          </cell>
          <cell r="L162" t="str">
            <v>KEBUTUHAN DITERIMA DALAM KELOMPOK - Suka bergabung dlm kelompok, sadar akan sikap &amp; kebutuhan kelompok, suka bekerja sama, ingin menjadi bagian dari kelompok,ingin disukai &amp; diakui oleh lingkungan; sangat tergantung pd kelompok, lebih memperhatikan kebutu</v>
          </cell>
        </row>
        <row r="163">
          <cell r="K163">
            <v>8</v>
          </cell>
          <cell r="L163" t="str">
            <v>KEBUTUHAN DITERIMA DALAM KELOMPOK - Suka bergabung dlm kelompok, sadar akan sikap &amp; kebutuhan kelompok, suka bekerja sama, ingin menjadi bagian dari kelompok,ingin disukai &amp; diakui oleh lingkungan; sangat tergantung pd kelompok, lebih memperhatikan kebutu</v>
          </cell>
        </row>
        <row r="164">
          <cell r="K164">
            <v>9</v>
          </cell>
          <cell r="L164" t="str">
            <v>KEBUTUHAN DITERIMA DALAM KELOMPOK - Suka bergabung dlm kelompok, sadar akan sikap &amp; kebutuhan kelompok, suka bekerja sama, ingin menjadi bagian dari kelompok,ingin disukai &amp; diakui oleh lingkungan; sangat tergantung pd kelompok, lebih memperhatikan kebutu</v>
          </cell>
        </row>
        <row r="166">
          <cell r="K166">
            <v>0</v>
          </cell>
          <cell r="L166" t="str">
            <v xml:space="preserve">KEBUTUHAN KEDEKATAN DAN KASIH SAYANG - Menjaga jarak, lebih memperhatikan hal - hal kedinasan, tdk mudah dipengaruhi oleh individu tertentu, objektif &amp; analitis. Tampil dingin,tdk acuh, tdk ramah, suka berahasia, mungkin tdk sadar akan perasaan org lain, </v>
          </cell>
        </row>
        <row r="167">
          <cell r="K167">
            <v>1</v>
          </cell>
          <cell r="L167" t="str">
            <v xml:space="preserve">KEBUTUHAN KEDEKATAN DAN KASIH SAYANG - Menjaga jarak, lebih memperhatikan hal - hal kedinasan, tdk mudah dipengaruhi oleh individu tertentu, objektif &amp; analitis. Tampil dingin,tdk acuh, tdk ramah, suka berahasia, mungkin tdk sadar akan perasaan org lain, </v>
          </cell>
        </row>
        <row r="168">
          <cell r="K168">
            <v>2</v>
          </cell>
          <cell r="L168" t="str">
            <v xml:space="preserve">KEBUTUHAN KEDEKATAN DAN KASIH SAYANG - Menjaga jarak, lebih memperhatikan hal - hal kedinasan, tdk mudah dipengaruhi oleh individu tertentu, objektif &amp; analitis. Tampil dingin,tdk acuh, tdk ramah, suka berahasia, mungkin tdk sadar akan perasaan org lain, </v>
          </cell>
        </row>
        <row r="169">
          <cell r="K169">
            <v>3</v>
          </cell>
          <cell r="L169" t="str">
            <v>KEBUTUHAN KEDEKATAN DAN KASIH SAYANG - Tidak mencari atau menghindari hubungan antar pribadi di lingkungan kerja, masih mampu menjaga jarak.</v>
          </cell>
        </row>
        <row r="170">
          <cell r="K170">
            <v>4</v>
          </cell>
          <cell r="L170" t="str">
            <v>KEBUTUHAN KEDEKATAN DAN KASIH SAYANG - Tidak mencari atau menghindari hubungan antar pribadi di lingkungan kerja, masih mampu menjaga jarak.</v>
          </cell>
        </row>
        <row r="171">
          <cell r="K171">
            <v>5</v>
          </cell>
          <cell r="L171" t="str">
            <v>KEBUTUHAN KEDEKATAN DAN KASIH SAYANG - Tidak mencari atau menghindari hubungan antar pribadi di lingkungan kerja, masih mampu menjaga jarak.</v>
          </cell>
        </row>
        <row r="172">
          <cell r="K172">
            <v>6</v>
          </cell>
          <cell r="L172" t="str">
            <v>KEBUTUHAN KEDEKATAN DAN KASIH SAYANG - Peka akan kebutuhan org lain, sangat memikirkan hal - hal yg dibutuhkanorg lain, suka menjalin hub persahabatan yg hangat &amp; tulus. Sangat perasa, mudah tersinggung, cenderung subjektif, dpt terlibat terlalu dlm/intim</v>
          </cell>
        </row>
        <row r="173">
          <cell r="K173">
            <v>7</v>
          </cell>
          <cell r="L173" t="str">
            <v>KEBUTUHAN KEDEKATAN DAN KASIH SAYANG - Peka akan kebutuhan org lain, sangat memikirkan hal - hal yg dibutuhkanorg lain, suka menjalin hub persahabatan yg hangat &amp; tulus. Sangat perasa, mudah tersinggung, cenderung subjektif, dpt terlibat terlalu dlm/intim</v>
          </cell>
        </row>
        <row r="174">
          <cell r="K174">
            <v>8</v>
          </cell>
          <cell r="L174" t="str">
            <v>KEBUTUHAN KEDEKATAN DAN KASIH SAYANG - Peka akan kebutuhan org lain, sangat memikirkan hal - hal yg dibutuhkanorg lain, suka menjalin hub persahabatan yg hangat &amp; tulus. Sangat perasa, mudah tersinggung, cenderung subjektif, dpt terlibat terlalu dlm/intim</v>
          </cell>
        </row>
        <row r="175">
          <cell r="K175">
            <v>9</v>
          </cell>
          <cell r="L175" t="str">
            <v>KEBUTUHAN KEDEKATAN DAN KASIH SAYANG - Peka akan kebutuhan org lain, sangat memikirkan hal - hal yg dibutuhkanorg lain, suka menjalin hub persahabatan yg hangat &amp; tulus. Sangat perasa, mudah tersinggung, cenderung subjektif, dpt terlibat terlalu dlm/intim</v>
          </cell>
        </row>
        <row r="177">
          <cell r="K177">
            <v>0</v>
          </cell>
          <cell r="L177" t="str">
            <v>KEBUTUHAN AKAN PERUBAHAN - Mudah beradaptasi dg pekerjaan rutin tanpa merasa bosan, tidak membutuhkan variasi, menyukai lingkungan stabil dan tidak berubah. Konservatif, menolak perubahan, sulit menerima hal-hal baru, tidakdapat beradaptasi dengan situasi</v>
          </cell>
        </row>
        <row r="178">
          <cell r="K178">
            <v>1</v>
          </cell>
          <cell r="L178" t="str">
            <v>KEBUTUHAN AKAN PERUBAHAN - Mudah beradaptasi dg pekerjaan rutin tanpa merasa bosan, tidak membutuhkan variasi, menyukai lingkungan stabil dan tidak berubah. Konservatif, menolak perubahan, sulit menerima hal-hal baru, tidakdapat beradaptasi dengan situasi</v>
          </cell>
        </row>
        <row r="179">
          <cell r="K179">
            <v>2</v>
          </cell>
          <cell r="L179" t="str">
            <v xml:space="preserve">KEBUTUHAN AKAN PERUBAHAN - Enggan berubah, tidak siap untuk beradaptasi, hanya mau menerima perubahan jika alasannya jelas dan meyakinkan.   </v>
          </cell>
        </row>
        <row r="180">
          <cell r="K180">
            <v>3</v>
          </cell>
          <cell r="L180" t="str">
            <v xml:space="preserve">KEBUTUHAN AKAN PERUBAHAN - Enggan berubah, tidak siap untuk beradaptasi, hanya mau menerima perubahan jika alasannya jelas dan meyakinkan.   </v>
          </cell>
        </row>
        <row r="181">
          <cell r="K181">
            <v>4</v>
          </cell>
          <cell r="L181" t="str">
            <v xml:space="preserve">KEBUTUHAN AKAN PERUBAHAN - Mudah beradaptasi, cukup menyukai perubahan.    </v>
          </cell>
        </row>
        <row r="182">
          <cell r="K182">
            <v>5</v>
          </cell>
          <cell r="L182" t="str">
            <v xml:space="preserve">KEBUTUHAN AKAN PERUBAHAN - Mudah beradaptasi, cukup menyukai perubahan.    </v>
          </cell>
        </row>
        <row r="183">
          <cell r="K183">
            <v>6</v>
          </cell>
          <cell r="L183" t="str">
            <v xml:space="preserve">KEBUTUHAN AKAN PERUBAHAN - Antusias terhadap perubahan dan akan mencari hal-hal baru, tetapi masih selektif ( menilai kemanfaatannya ).  </v>
          </cell>
        </row>
        <row r="184">
          <cell r="K184">
            <v>7</v>
          </cell>
          <cell r="L184" t="str">
            <v xml:space="preserve">KEBUTUHAN AKAN PERUBAHAN - Antusias terhadap perubahan dan akan mencari hal-hal baru, tetapi masih selektif ( menilai kemanfaatannya ).  </v>
          </cell>
        </row>
        <row r="185">
          <cell r="K185">
            <v>8</v>
          </cell>
          <cell r="L185" t="str">
            <v>KEBUTUHAN AKAN PERUBAHAN - Sangat menyukai perubahan, gagasan baru/variasi, aktif mencari per-ubahan, antusias dg hal-hal baru, fleksibel dlm berpikir, mudah beradaptasi pd situasi yg berbeda-beda. Gelisah, frustasi, mudah bosan, sangat membutuhkan varias</v>
          </cell>
        </row>
        <row r="186">
          <cell r="K186">
            <v>9</v>
          </cell>
          <cell r="L186" t="str">
            <v>KEBUTUHAN AKAN PERUBAHAN - Sangat menyukai perubahan, gagasan baru/variasi, aktif mencari per-ubahan, antusias dg hal-hal baru, fleksibel dlm berpikir, mudah beradaptasi pd situasi yg berbeda-beda. Gelisah, frustasi, mudah bosan, sangat membutuhkan varias</v>
          </cell>
        </row>
        <row r="188">
          <cell r="K188">
            <v>0</v>
          </cell>
          <cell r="L188" t="str">
            <v>KEBUTUHAN UNTUK AGRESIF - Sabar, tidak menyukai konflik. Mengelak atau menghindar dari konflik,pasif, menekan atau menyembunyikan perasaan sesungguhnya, menghindari konfrontasi, lari dari konflik, tidak mau mengakui adanya konflik.</v>
          </cell>
        </row>
        <row r="189">
          <cell r="K189">
            <v>1</v>
          </cell>
          <cell r="L189" t="str">
            <v>KEBUTUHAN UNTUK AGRESIF - Sabar, tidak menyukai konflik. Mengelak atau menghindar dari konflik,pasif, menekan atau menyembunyikan perasaan sesungguhnya, menghindari konfrontasi, lari dari konflik, tidak mau mengakui adanya konflik.</v>
          </cell>
        </row>
        <row r="190">
          <cell r="K190">
            <v>2</v>
          </cell>
          <cell r="L190" t="str">
            <v xml:space="preserve">KEBUTUHAN UNTUK AGRESIF - Lebih suka menghindari konflik, akan mencari rasionalisasi untuk dapat menerima situasi dan melihat permasalahan dari sudut pandang orang lain. </v>
          </cell>
        </row>
        <row r="191">
          <cell r="K191">
            <v>3</v>
          </cell>
          <cell r="L191" t="str">
            <v xml:space="preserve">KEBUTUHAN UNTUK AGRESIF - Lebih suka menghindari konflik, akan mencari rasionalisasi untuk dapat menerima situasi dan melihat permasalahan dari sudut pandang orang lain. </v>
          </cell>
        </row>
        <row r="192">
          <cell r="K192">
            <v>4</v>
          </cell>
          <cell r="L192" t="str">
            <v xml:space="preserve">KEBUTUHAN UNTUK AGRESIF - Tidak mencari atau menghindari konflik, mau mendengarkan pandangan orang lain tetapi dapat menjadi keras kepala saat mempertahankan pandangannya. </v>
          </cell>
        </row>
        <row r="193">
          <cell r="K193">
            <v>5</v>
          </cell>
          <cell r="L193" t="str">
            <v xml:space="preserve">KEBUTUHAN UNTUK AGRESIF - Tidak mencari atau menghindari konflik, mau mendengarkan pandangan orang lain tetapi dapat menjadi keras kepala saat mempertahankan pandangannya. </v>
          </cell>
        </row>
        <row r="194">
          <cell r="K194">
            <v>6</v>
          </cell>
          <cell r="L194" t="str">
            <v xml:space="preserve">KEBUTUHAN UNTUK AGRESIF - Akan menghadapi konflik, mengungkapkan serta memaksakan pandangan dengan cara positif.   </v>
          </cell>
        </row>
        <row r="195">
          <cell r="K195">
            <v>7</v>
          </cell>
          <cell r="L195" t="str">
            <v xml:space="preserve">KEBUTUHAN UNTUK AGRESIF - Akan menghadapi konflik, mengungkapkan serta memaksakan pandangan dengan cara positif.   </v>
          </cell>
        </row>
        <row r="196">
          <cell r="K196">
            <v>8</v>
          </cell>
          <cell r="L196" t="str">
            <v xml:space="preserve">KEBUTUHAN UNTUK AGRESIF - Terbuka, jujur, terus terang, asertif, agresif, reaktif, mudah tersinggung, mudah meledak, curiga, berprasangka, suka berkelahi atau berkonfrontasi, berpikir negatif. </v>
          </cell>
        </row>
        <row r="197">
          <cell r="K197">
            <v>9</v>
          </cell>
          <cell r="L197" t="str">
            <v xml:space="preserve">KEBUTUHAN UNTUK AGRESIF - Terbuka, jujur, terus terang, asertif, agresif, reaktif, mudah tersinggung, mudah meledak, curiga, berprasangka, suka berkelahi atau berkonfrontasi, berpikir negatif. </v>
          </cell>
        </row>
        <row r="199">
          <cell r="K199">
            <v>0</v>
          </cell>
          <cell r="L199" t="str">
            <v>KEBUTUHAN – MEMBANTU ATASAN - Otonom, dapat bekerja sendiri tanpa campur tangan orang lain,motivasi timbul krn pekerjaan itu sendiri, bukan krn pujian dr otoritas. Mempertanyakan otoritas, cenderung tidak puas thdp atasan, loyalitas lebih didasari kepenti</v>
          </cell>
        </row>
        <row r="200">
          <cell r="K200">
            <v>1</v>
          </cell>
          <cell r="L200" t="str">
            <v>KEBUTUHAN – MEMBANTU ATASAN - Otonom, dapat bekerja sendiri tanpa campur tangan orang lain,motivasi timbul krn pekerjaan itu sendiri, bukan krn pujian dr otoritas. Mempertanyakan otoritas, cenderung tidak puas thdp atasan, loyalitas lebih didasari kepenti</v>
          </cell>
        </row>
        <row r="201">
          <cell r="K201">
            <v>2</v>
          </cell>
          <cell r="L201" t="str">
            <v>KEBUTUHAN – MEMBANTU ATASAN - Otonom, dapat bekerja sendiri tanpa campur tangan orang lain,motivasi timbul krn pekerjaan itu sendiri, bukan krn pujian dr otoritas. Mempertanyakan otoritas, cenderung tidak puas thdp atasan, loyalitas lebih didasari kepenti</v>
          </cell>
        </row>
        <row r="202">
          <cell r="K202">
            <v>3</v>
          </cell>
          <cell r="L202" t="str">
            <v>KEBUTUHAN – MEMBANTU ATASAN - Otonom, dapat bekerja sendiri tanpa campur tangan orang lain,motivasi timbul krn pekerjaan itu sendiri, bukan krn pujian dr otoritas. Mempertanyakan otoritas, cenderung tidak puas thdp atasan, loyalitas lebih didasari kepenti</v>
          </cell>
        </row>
        <row r="203">
          <cell r="K203">
            <v>4</v>
          </cell>
          <cell r="L203" t="str">
            <v>KEBUTUHAN – MEMBANTU ATASAN - setia terhadap perusahaan, loyal</v>
          </cell>
        </row>
        <row r="204">
          <cell r="K204">
            <v>5</v>
          </cell>
          <cell r="L204" t="str">
            <v>KEBUTUHAN – MEMBANTU ATASAN - setia terhadap perusahaan, loyal</v>
          </cell>
        </row>
        <row r="205">
          <cell r="K205">
            <v>6</v>
          </cell>
          <cell r="L205" t="str">
            <v>KEBUTUHAN – MEMBANTU ATASAN - setia terhadap perusahaan, loyal</v>
          </cell>
        </row>
        <row r="206">
          <cell r="K206">
            <v>7</v>
          </cell>
          <cell r="L206" t="str">
            <v>KEBUTUHAN – MEMBANTU ATASAN - Loyal pada pribadi atasan.</v>
          </cell>
        </row>
        <row r="207">
          <cell r="K207">
            <v>8</v>
          </cell>
          <cell r="L207" t="str">
            <v>KEBUTUHAN – MEMBANTU ATASAN - Loyal, berusaha dekat dg pribadi atasan, ingin menyenangkanatasan, sadar akan harapan atasan akan dirinya.  Terlalu memperhatikan cara menyenangkan atasan, tidak berani berpendirian lain, tidak mandiri, kemungkinan bantuannya</v>
          </cell>
        </row>
        <row r="208">
          <cell r="K208">
            <v>9</v>
          </cell>
          <cell r="L208" t="str">
            <v>KEBUTUHAN – MEMBANTU ATASAN - Loyal, berusaha dekat dg pribadi atasan, ingin menyenangkanatasan, sadar akan harapan atasan akan dirinya.  Terlalu memperhatikan cara menyenangkan atasan, tidak berani berpendirian lain, tidak mandiri, kemungkinan bantuannya</v>
          </cell>
        </row>
        <row r="210">
          <cell r="K210">
            <v>0</v>
          </cell>
          <cell r="L210" t="str">
            <v>KEBUTUHAN MENGIKUTI ATURAN DAN PENGAWASAN - Hanya butuh gambaran ttg kerangka tugas scr garis besar, berpatokan pada tujuan, dpt bekerja dlm suasana yg kurang berstruktur, berinsiatif, mandiri. Tdk patuh, cenderung mengabaikan/tdk paham pentingnya peratur</v>
          </cell>
        </row>
        <row r="211">
          <cell r="K211">
            <v>1</v>
          </cell>
          <cell r="L211" t="str">
            <v>KEBUTUHAN MENGIKUTI ATURAN DAN PENGAWASAN - Hanya butuh gambaran ttg kerangka tugas scr garis besar, berpatokan pada tujuan, dpt bekerja dlm suasana yg kurang berstruktur, berinsiatif, mandiri. Tdk patuh, cenderung mengabaikan/tdk paham pentingnya peratur</v>
          </cell>
        </row>
        <row r="212">
          <cell r="K212">
            <v>2</v>
          </cell>
          <cell r="L212" t="str">
            <v>KEBUTUHAN MENGIKUTI ATURAN DAN PENGAWASAN - Hanya butuh gambaran ttg kerangka tugas scr garis besar, berpatokan pada tujuan, dpt bekerja dlm suasana yg kurang berstruktur, berinsiatif, mandiri. Tdk patuh, cenderung mengabaikan/tdk paham pentingnya peratur</v>
          </cell>
        </row>
        <row r="213">
          <cell r="K213">
            <v>3</v>
          </cell>
          <cell r="L213" t="str">
            <v>KEBUTUHAN MENGIKUTI ATURAN DAN PENGAWASAN - Hanya butuh gambaran ttg kerangka tugas scr garis besar, berpatokan pada tujuan, dpt bekerja dlm suasana yg kurang berstruktur, berinsiatif, mandiri. Tdk patuh, cenderung mengabaikan/tdk paham pentingnya peratur</v>
          </cell>
        </row>
        <row r="214">
          <cell r="K214">
            <v>4</v>
          </cell>
          <cell r="L214" t="str">
            <v>KEBUTUHAN MENGIKUTI ATURAN DAN PENGAWASAN - Perlu pengarahan awal dan tolok ukur keberhasilan.</v>
          </cell>
        </row>
        <row r="215">
          <cell r="K215">
            <v>5</v>
          </cell>
          <cell r="L215" t="str">
            <v>KEBUTUHAN MENGIKUTI ATURAN DAN PENGAWASAN - Perlu pengarahan awal dan tolok ukur keberhasilan.</v>
          </cell>
        </row>
        <row r="216">
          <cell r="K216">
            <v>6</v>
          </cell>
          <cell r="L216" t="str">
            <v xml:space="preserve">KEBUTUHAN MENGIKUTI ATURAN DAN PENGAWASAN - Membutuhkan uraian rinci mengenai tugas, dan batasan tanggung jawab serta wewenang.  </v>
          </cell>
        </row>
        <row r="217">
          <cell r="K217">
            <v>7</v>
          </cell>
          <cell r="L217" t="str">
            <v xml:space="preserve">KEBUTUHAN MENGIKUTI ATURAN DAN PENGAWASAN - Membutuhkan uraian rinci mengenai tugas, dan batasan tanggung jawab serta wewenang.  </v>
          </cell>
        </row>
        <row r="218">
          <cell r="K218">
            <v>8</v>
          </cell>
          <cell r="L218" t="str">
            <v>KEBUTUHAN MENGIKUTI ATURAN DAN PENGAWASAN - Patuh pada kebijaksanaan, peraturan dan struktur organisasi. Ingin segala sesuatunya diuraikan secara rinci, kurang memiliki inisiatif, tdk fleksibel, terlalu tergantung pada organisasi, berharap'disuapi'.</v>
          </cell>
        </row>
        <row r="219">
          <cell r="K219">
            <v>9</v>
          </cell>
          <cell r="L219" t="str">
            <v>KEBUTUHAN MENGIKUTI ATURAN DAN PENGAWASAN - Patuh pada kebijaksanaan, peraturan dan struktur organisasi. Ingin segala sesuatunya diuraikan secara rinci, kurang memiliki inisiatif, tdk fleksibel, terlalu tergantung pada organisasi, berharap'disuapi'.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E5038-4063-478B-94D1-A5306626A7E5}">
  <sheetPr codeName="Sheet9"/>
  <dimension ref="A1:L38"/>
  <sheetViews>
    <sheetView topLeftCell="A13" zoomScale="85" zoomScaleNormal="85" workbookViewId="0">
      <selection activeCell="F35" sqref="F35"/>
    </sheetView>
  </sheetViews>
  <sheetFormatPr defaultRowHeight="14.5" x14ac:dyDescent="0.35"/>
  <cols>
    <col min="5" max="5" width="30.453125" bestFit="1" customWidth="1"/>
    <col min="7" max="7" width="12.1796875" bestFit="1" customWidth="1"/>
  </cols>
  <sheetData>
    <row r="1" spans="1:12" x14ac:dyDescent="0.35">
      <c r="A1" t="s">
        <v>73</v>
      </c>
      <c r="B1">
        <v>0</v>
      </c>
      <c r="C1">
        <v>1</v>
      </c>
      <c r="G1" t="s">
        <v>111</v>
      </c>
      <c r="H1" t="s">
        <v>112</v>
      </c>
      <c r="I1" t="s">
        <v>74</v>
      </c>
      <c r="K1" s="33" t="s">
        <v>11</v>
      </c>
      <c r="L1" s="33" t="s">
        <v>137</v>
      </c>
    </row>
    <row r="2" spans="1:12" x14ac:dyDescent="0.35">
      <c r="B2">
        <v>3</v>
      </c>
      <c r="C2">
        <v>2</v>
      </c>
      <c r="E2" s="32" t="s">
        <v>62</v>
      </c>
      <c r="F2" t="s">
        <v>110</v>
      </c>
      <c r="G2" t="s">
        <v>113</v>
      </c>
      <c r="I2" t="s">
        <v>157</v>
      </c>
      <c r="K2" s="33" t="s">
        <v>13</v>
      </c>
      <c r="L2" s="33" t="s">
        <v>138</v>
      </c>
    </row>
    <row r="3" spans="1:12" x14ac:dyDescent="0.35">
      <c r="B3">
        <v>5</v>
      </c>
      <c r="C3">
        <v>3</v>
      </c>
      <c r="E3" s="32" t="s">
        <v>42</v>
      </c>
      <c r="F3" t="s">
        <v>110</v>
      </c>
      <c r="G3" t="s">
        <v>113</v>
      </c>
      <c r="H3" t="s">
        <v>114</v>
      </c>
      <c r="I3" t="s">
        <v>158</v>
      </c>
      <c r="K3" s="33" t="s">
        <v>15</v>
      </c>
      <c r="L3" s="33" t="s">
        <v>139</v>
      </c>
    </row>
    <row r="4" spans="1:12" x14ac:dyDescent="0.35">
      <c r="B4">
        <v>7</v>
      </c>
      <c r="C4">
        <v>4</v>
      </c>
      <c r="E4" s="32" t="s">
        <v>43</v>
      </c>
      <c r="F4" t="s">
        <v>110</v>
      </c>
      <c r="G4" t="s">
        <v>113</v>
      </c>
      <c r="H4" t="s">
        <v>115</v>
      </c>
      <c r="K4" s="33" t="s">
        <v>16</v>
      </c>
      <c r="L4" s="33" t="s">
        <v>140</v>
      </c>
    </row>
    <row r="5" spans="1:12" x14ac:dyDescent="0.35">
      <c r="A5" t="s">
        <v>74</v>
      </c>
      <c r="B5" t="s">
        <v>75</v>
      </c>
      <c r="C5">
        <v>1</v>
      </c>
      <c r="E5" s="32" t="s">
        <v>44</v>
      </c>
      <c r="F5" t="s">
        <v>110</v>
      </c>
      <c r="G5" t="s">
        <v>113</v>
      </c>
      <c r="I5" t="s">
        <v>159</v>
      </c>
      <c r="K5" s="33" t="s">
        <v>17</v>
      </c>
      <c r="L5" s="33" t="s">
        <v>141</v>
      </c>
    </row>
    <row r="6" spans="1:12" x14ac:dyDescent="0.35">
      <c r="B6" t="s">
        <v>27</v>
      </c>
      <c r="C6">
        <v>2</v>
      </c>
      <c r="E6" s="32" t="s">
        <v>46</v>
      </c>
      <c r="G6" t="s">
        <v>119</v>
      </c>
      <c r="H6" t="s">
        <v>122</v>
      </c>
      <c r="I6" t="s">
        <v>159</v>
      </c>
      <c r="K6" s="33" t="s">
        <v>20</v>
      </c>
      <c r="L6" s="33" t="s">
        <v>142</v>
      </c>
    </row>
    <row r="7" spans="1:12" x14ac:dyDescent="0.35">
      <c r="B7" t="s">
        <v>20</v>
      </c>
      <c r="C7">
        <v>3</v>
      </c>
      <c r="E7" s="32" t="s">
        <v>47</v>
      </c>
      <c r="G7" t="s">
        <v>116</v>
      </c>
      <c r="H7" t="s">
        <v>121</v>
      </c>
      <c r="K7" s="33" t="s">
        <v>24</v>
      </c>
      <c r="L7" s="33" t="s">
        <v>143</v>
      </c>
    </row>
    <row r="8" spans="1:12" x14ac:dyDescent="0.35">
      <c r="B8" t="s">
        <v>19</v>
      </c>
      <c r="C8">
        <v>4</v>
      </c>
      <c r="E8" s="32" t="s">
        <v>48</v>
      </c>
      <c r="G8" t="s">
        <v>117</v>
      </c>
      <c r="H8" t="s">
        <v>121</v>
      </c>
      <c r="K8" s="33" t="s">
        <v>23</v>
      </c>
      <c r="L8" s="33" t="s">
        <v>144</v>
      </c>
    </row>
    <row r="9" spans="1:12" x14ac:dyDescent="0.35">
      <c r="B9" t="s">
        <v>76</v>
      </c>
      <c r="C9">
        <v>4</v>
      </c>
      <c r="E9" s="32" t="s">
        <v>50</v>
      </c>
      <c r="G9" t="s">
        <v>118</v>
      </c>
      <c r="H9" t="s">
        <v>120</v>
      </c>
      <c r="I9" t="s">
        <v>160</v>
      </c>
      <c r="K9" s="33" t="s">
        <v>22</v>
      </c>
      <c r="L9" s="33" t="s">
        <v>145</v>
      </c>
    </row>
    <row r="10" spans="1:12" x14ac:dyDescent="0.35">
      <c r="E10" s="32" t="s">
        <v>51</v>
      </c>
      <c r="G10" t="s">
        <v>123</v>
      </c>
      <c r="H10" t="s">
        <v>121</v>
      </c>
      <c r="K10" s="33" t="s">
        <v>26</v>
      </c>
      <c r="L10" s="33" t="s">
        <v>146</v>
      </c>
    </row>
    <row r="11" spans="1:12" x14ac:dyDescent="0.35">
      <c r="A11">
        <v>0</v>
      </c>
      <c r="B11">
        <v>1</v>
      </c>
      <c r="C11" t="s">
        <v>77</v>
      </c>
      <c r="E11" s="32" t="s">
        <v>52</v>
      </c>
      <c r="G11" t="s">
        <v>125</v>
      </c>
      <c r="H11" t="s">
        <v>124</v>
      </c>
      <c r="I11" t="s">
        <v>161</v>
      </c>
      <c r="K11" s="33" t="s">
        <v>10</v>
      </c>
      <c r="L11" s="33" t="s">
        <v>147</v>
      </c>
    </row>
    <row r="12" spans="1:12" x14ac:dyDescent="0.35">
      <c r="A12">
        <v>79</v>
      </c>
      <c r="B12">
        <v>2</v>
      </c>
      <c r="C12" t="s">
        <v>77</v>
      </c>
      <c r="E12" s="32" t="s">
        <v>53</v>
      </c>
      <c r="G12" t="s">
        <v>126</v>
      </c>
      <c r="H12" t="s">
        <v>124</v>
      </c>
      <c r="K12" s="33" t="s">
        <v>12</v>
      </c>
      <c r="L12" s="33" t="s">
        <v>148</v>
      </c>
    </row>
    <row r="13" spans="1:12" x14ac:dyDescent="0.35">
      <c r="A13">
        <v>90</v>
      </c>
      <c r="B13">
        <v>3</v>
      </c>
      <c r="C13" t="s">
        <v>78</v>
      </c>
      <c r="E13" s="32" t="s">
        <v>55</v>
      </c>
      <c r="G13" t="s">
        <v>127</v>
      </c>
      <c r="H13" t="s">
        <v>128</v>
      </c>
      <c r="I13" t="s">
        <v>157</v>
      </c>
      <c r="K13" s="33" t="s">
        <v>14</v>
      </c>
      <c r="L13" s="33" t="s">
        <v>149</v>
      </c>
    </row>
    <row r="14" spans="1:12" x14ac:dyDescent="0.35">
      <c r="A14">
        <v>110</v>
      </c>
      <c r="B14">
        <v>4</v>
      </c>
      <c r="C14" t="s">
        <v>79</v>
      </c>
      <c r="E14" s="32" t="s">
        <v>56</v>
      </c>
      <c r="G14" t="s">
        <v>129</v>
      </c>
      <c r="H14" t="s">
        <v>130</v>
      </c>
      <c r="K14" s="33" t="s">
        <v>21</v>
      </c>
      <c r="L14" s="33" t="s">
        <v>150</v>
      </c>
    </row>
    <row r="15" spans="1:12" x14ac:dyDescent="0.35">
      <c r="A15">
        <v>119</v>
      </c>
      <c r="B15">
        <v>4</v>
      </c>
      <c r="C15" t="s">
        <v>79</v>
      </c>
      <c r="E15" s="32" t="s">
        <v>57</v>
      </c>
      <c r="G15" t="s">
        <v>131</v>
      </c>
      <c r="H15" t="s">
        <v>120</v>
      </c>
      <c r="K15" s="33" t="s">
        <v>19</v>
      </c>
      <c r="L15" s="33" t="s">
        <v>151</v>
      </c>
    </row>
    <row r="16" spans="1:12" x14ac:dyDescent="0.35">
      <c r="A16">
        <v>200</v>
      </c>
      <c r="B16">
        <v>4</v>
      </c>
      <c r="C16" t="s">
        <v>79</v>
      </c>
      <c r="E16" s="32" t="s">
        <v>58</v>
      </c>
      <c r="G16" t="s">
        <v>132</v>
      </c>
      <c r="H16" t="s">
        <v>134</v>
      </c>
      <c r="K16" s="33" t="s">
        <v>18</v>
      </c>
      <c r="L16" s="33" t="s">
        <v>152</v>
      </c>
    </row>
    <row r="17" spans="1:12" x14ac:dyDescent="0.35">
      <c r="E17" s="32" t="s">
        <v>59</v>
      </c>
      <c r="G17" t="s">
        <v>133</v>
      </c>
      <c r="H17" t="s">
        <v>134</v>
      </c>
      <c r="K17" s="33" t="s">
        <v>25</v>
      </c>
      <c r="L17" s="33" t="s">
        <v>153</v>
      </c>
    </row>
    <row r="18" spans="1:12" x14ac:dyDescent="0.35">
      <c r="A18" t="s">
        <v>80</v>
      </c>
      <c r="E18" s="32" t="s">
        <v>60</v>
      </c>
      <c r="G18" t="s">
        <v>135</v>
      </c>
      <c r="H18" t="s">
        <v>136</v>
      </c>
      <c r="I18" t="s">
        <v>159</v>
      </c>
      <c r="K18" s="33" t="s">
        <v>27</v>
      </c>
      <c r="L18" s="33" t="s">
        <v>154</v>
      </c>
    </row>
    <row r="19" spans="1:12" x14ac:dyDescent="0.35">
      <c r="B19">
        <v>-8</v>
      </c>
      <c r="C19">
        <v>1</v>
      </c>
      <c r="E19" s="83">
        <v>0</v>
      </c>
      <c r="F19" t="s">
        <v>178</v>
      </c>
      <c r="K19" s="33" t="s">
        <v>28</v>
      </c>
      <c r="L19" s="33" t="s">
        <v>155</v>
      </c>
    </row>
    <row r="20" spans="1:12" x14ac:dyDescent="0.35">
      <c r="B20">
        <v>-4</v>
      </c>
      <c r="C20">
        <v>2</v>
      </c>
      <c r="E20" s="83">
        <v>0.5</v>
      </c>
      <c r="F20" t="s">
        <v>178</v>
      </c>
      <c r="K20" s="33" t="s">
        <v>29</v>
      </c>
      <c r="L20" s="33" t="s">
        <v>156</v>
      </c>
    </row>
    <row r="21" spans="1:12" x14ac:dyDescent="0.35">
      <c r="B21">
        <v>4</v>
      </c>
      <c r="C21">
        <v>3</v>
      </c>
      <c r="E21" s="83">
        <v>0.7</v>
      </c>
      <c r="F21" t="s">
        <v>177</v>
      </c>
    </row>
    <row r="22" spans="1:12" x14ac:dyDescent="0.35">
      <c r="B22">
        <v>8</v>
      </c>
      <c r="C22">
        <v>4</v>
      </c>
      <c r="E22" s="83">
        <v>0.9</v>
      </c>
      <c r="F22" t="s">
        <v>176</v>
      </c>
    </row>
    <row r="25" spans="1:12" x14ac:dyDescent="0.35">
      <c r="B25" s="52" t="s">
        <v>24</v>
      </c>
      <c r="C25" s="52" t="s">
        <v>195</v>
      </c>
      <c r="D25" s="52" t="s">
        <v>201</v>
      </c>
      <c r="E25" s="52" t="s">
        <v>202</v>
      </c>
      <c r="F25" s="52" t="s">
        <v>203</v>
      </c>
      <c r="G25" s="52" t="s">
        <v>204</v>
      </c>
      <c r="H25" s="52" t="s">
        <v>205</v>
      </c>
    </row>
    <row r="26" spans="1:12" x14ac:dyDescent="0.35">
      <c r="B26" s="52" t="s">
        <v>15</v>
      </c>
      <c r="C26" s="52" t="s">
        <v>196</v>
      </c>
      <c r="D26" s="52" t="s">
        <v>206</v>
      </c>
      <c r="E26" s="52" t="s">
        <v>207</v>
      </c>
      <c r="F26" s="52" t="s">
        <v>208</v>
      </c>
      <c r="G26" s="52" t="s">
        <v>209</v>
      </c>
      <c r="H26" s="52" t="s">
        <v>210</v>
      </c>
    </row>
    <row r="27" spans="1:12" x14ac:dyDescent="0.35">
      <c r="B27" s="52" t="s">
        <v>12</v>
      </c>
      <c r="C27" s="52" t="s">
        <v>197</v>
      </c>
      <c r="D27" s="52" t="s">
        <v>211</v>
      </c>
      <c r="E27" s="52" t="s">
        <v>212</v>
      </c>
      <c r="F27" s="52" t="s">
        <v>213</v>
      </c>
      <c r="G27" s="52" t="s">
        <v>214</v>
      </c>
      <c r="H27" s="52" t="s">
        <v>215</v>
      </c>
    </row>
    <row r="28" spans="1:12" x14ac:dyDescent="0.35">
      <c r="B28" s="52" t="s">
        <v>20</v>
      </c>
      <c r="C28" s="52" t="s">
        <v>198</v>
      </c>
      <c r="D28" s="52" t="s">
        <v>216</v>
      </c>
      <c r="E28" s="52" t="s">
        <v>217</v>
      </c>
      <c r="F28" s="52" t="s">
        <v>218</v>
      </c>
      <c r="G28" s="52" t="s">
        <v>219</v>
      </c>
      <c r="H28" s="52" t="s">
        <v>220</v>
      </c>
    </row>
    <row r="29" spans="1:12" x14ac:dyDescent="0.35">
      <c r="B29" s="52" t="s">
        <v>26</v>
      </c>
      <c r="C29" s="52" t="s">
        <v>199</v>
      </c>
      <c r="D29" s="52" t="s">
        <v>221</v>
      </c>
      <c r="E29" s="52" t="s">
        <v>222</v>
      </c>
      <c r="F29" s="52" t="s">
        <v>223</v>
      </c>
      <c r="G29" s="52" t="s">
        <v>224</v>
      </c>
      <c r="H29" s="52" t="s">
        <v>225</v>
      </c>
    </row>
    <row r="30" spans="1:12" x14ac:dyDescent="0.35">
      <c r="B30" s="52" t="s">
        <v>22</v>
      </c>
      <c r="C30" s="52" t="s">
        <v>200</v>
      </c>
      <c r="D30" s="52" t="s">
        <v>226</v>
      </c>
      <c r="E30" s="52" t="s">
        <v>227</v>
      </c>
      <c r="F30" s="52" t="s">
        <v>228</v>
      </c>
      <c r="G30" s="52" t="s">
        <v>229</v>
      </c>
      <c r="H30" s="52" t="s">
        <v>230</v>
      </c>
    </row>
    <row r="31" spans="1:12" x14ac:dyDescent="0.35">
      <c r="B31">
        <v>1</v>
      </c>
      <c r="C31">
        <v>2</v>
      </c>
      <c r="D31">
        <v>3</v>
      </c>
      <c r="E31">
        <v>4</v>
      </c>
    </row>
    <row r="33" spans="2:6" ht="15" thickBot="1" x14ac:dyDescent="0.4"/>
    <row r="34" spans="2:6" ht="15" thickBot="1" x14ac:dyDescent="0.4">
      <c r="B34" s="107">
        <v>0</v>
      </c>
      <c r="C34" s="108" t="s">
        <v>178</v>
      </c>
      <c r="F34" t="s">
        <v>168</v>
      </c>
    </row>
    <row r="35" spans="2:6" ht="15" thickBot="1" x14ac:dyDescent="0.4">
      <c r="B35" s="107">
        <v>0.49</v>
      </c>
      <c r="C35" s="108" t="s">
        <v>178</v>
      </c>
      <c r="F35" t="s">
        <v>169</v>
      </c>
    </row>
    <row r="36" spans="2:6" ht="15" thickBot="1" x14ac:dyDescent="0.4">
      <c r="B36" s="107">
        <v>0.5</v>
      </c>
      <c r="C36" s="108" t="s">
        <v>177</v>
      </c>
      <c r="F36" t="s">
        <v>1526</v>
      </c>
    </row>
    <row r="37" spans="2:6" ht="29.5" thickBot="1" x14ac:dyDescent="0.4">
      <c r="B37" s="107">
        <v>0.8</v>
      </c>
      <c r="C37" s="109" t="s">
        <v>176</v>
      </c>
      <c r="F37" t="s">
        <v>171</v>
      </c>
    </row>
    <row r="38" spans="2:6" x14ac:dyDescent="0.35">
      <c r="F38" t="s">
        <v>172</v>
      </c>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C7FE-26EC-4F7E-B5D2-32157E37CFE1}">
  <sheetPr codeName="Sheet1"/>
  <dimension ref="A1:BK503"/>
  <sheetViews>
    <sheetView topLeftCell="B290" zoomScale="70" zoomScaleNormal="70" workbookViewId="0">
      <selection activeCell="B306" sqref="B4:B306"/>
    </sheetView>
  </sheetViews>
  <sheetFormatPr defaultColWidth="9.1796875" defaultRowHeight="14.5" x14ac:dyDescent="0.35"/>
  <cols>
    <col min="1" max="1" width="7.453125" style="52" customWidth="1"/>
    <col min="2" max="3" width="29.26953125" style="52" customWidth="1"/>
    <col min="4" max="23" width="28" style="52" customWidth="1"/>
    <col min="24" max="16384" width="9.1796875" style="52"/>
  </cols>
  <sheetData>
    <row r="1" spans="1:63" x14ac:dyDescent="0.35">
      <c r="B1" s="52">
        <v>1</v>
      </c>
      <c r="C1" s="52">
        <v>2</v>
      </c>
      <c r="D1" s="52">
        <v>3</v>
      </c>
      <c r="E1" s="52">
        <v>4</v>
      </c>
      <c r="F1" s="52">
        <v>5</v>
      </c>
      <c r="G1" s="52">
        <v>6</v>
      </c>
      <c r="H1" s="52">
        <v>7</v>
      </c>
      <c r="I1" s="52">
        <v>8</v>
      </c>
      <c r="J1" s="52">
        <v>9</v>
      </c>
      <c r="K1" s="52">
        <v>10</v>
      </c>
      <c r="L1" s="52">
        <v>11</v>
      </c>
      <c r="M1" s="52">
        <v>12</v>
      </c>
      <c r="N1" s="52">
        <v>13</v>
      </c>
      <c r="O1" s="52">
        <v>14</v>
      </c>
      <c r="P1" s="52">
        <v>15</v>
      </c>
      <c r="Q1" s="52">
        <v>16</v>
      </c>
      <c r="R1" s="52">
        <v>17</v>
      </c>
      <c r="S1" s="52">
        <v>18</v>
      </c>
      <c r="T1" s="52">
        <v>19</v>
      </c>
      <c r="U1" s="52">
        <v>20</v>
      </c>
      <c r="V1" s="52">
        <v>21</v>
      </c>
      <c r="W1" s="52">
        <v>22</v>
      </c>
      <c r="X1" s="52">
        <v>23</v>
      </c>
      <c r="Y1" s="52">
        <v>24</v>
      </c>
      <c r="Z1" s="52">
        <v>25</v>
      </c>
      <c r="AA1" s="52">
        <v>26</v>
      </c>
      <c r="AB1" s="52">
        <v>27</v>
      </c>
      <c r="AC1" s="52">
        <v>28</v>
      </c>
      <c r="AD1" s="52">
        <v>29</v>
      </c>
      <c r="AE1" s="52">
        <v>30</v>
      </c>
      <c r="AF1" s="52">
        <v>31</v>
      </c>
      <c r="AG1" s="52">
        <v>32</v>
      </c>
      <c r="AH1" s="52">
        <v>33</v>
      </c>
      <c r="AI1" s="52">
        <v>34</v>
      </c>
      <c r="AJ1" s="52">
        <v>35</v>
      </c>
      <c r="AK1" s="52">
        <v>36</v>
      </c>
      <c r="AL1" s="52">
        <v>37</v>
      </c>
      <c r="AM1" s="52">
        <v>38</v>
      </c>
      <c r="AN1" s="52">
        <v>39</v>
      </c>
      <c r="AO1" s="52">
        <v>40</v>
      </c>
      <c r="AP1" s="52">
        <v>41</v>
      </c>
      <c r="AQ1" s="52">
        <v>42</v>
      </c>
      <c r="AR1" s="52">
        <v>43</v>
      </c>
      <c r="AS1" s="52">
        <v>44</v>
      </c>
      <c r="AT1" s="52">
        <v>45</v>
      </c>
      <c r="AU1" s="52">
        <v>46</v>
      </c>
      <c r="AV1" s="52">
        <v>47</v>
      </c>
      <c r="AW1" s="52">
        <v>48</v>
      </c>
      <c r="AX1" s="52">
        <v>49</v>
      </c>
      <c r="AY1" s="52">
        <v>50</v>
      </c>
      <c r="AZ1" s="52">
        <v>51</v>
      </c>
      <c r="BA1" s="52">
        <v>52</v>
      </c>
      <c r="BB1" s="52">
        <v>53</v>
      </c>
      <c r="BC1" s="52">
        <v>54</v>
      </c>
      <c r="BD1" s="52">
        <v>55</v>
      </c>
      <c r="BE1" s="52">
        <v>56</v>
      </c>
      <c r="BF1" s="52">
        <v>57</v>
      </c>
      <c r="BG1" s="52">
        <v>58</v>
      </c>
      <c r="BH1" s="52">
        <v>59</v>
      </c>
      <c r="BI1" s="52">
        <v>60</v>
      </c>
      <c r="BJ1" s="52">
        <v>61</v>
      </c>
      <c r="BK1" s="52">
        <v>62</v>
      </c>
    </row>
    <row r="2" spans="1:63" x14ac:dyDescent="0.35">
      <c r="A2" s="117" t="s">
        <v>1</v>
      </c>
      <c r="B2" s="117" t="s">
        <v>2</v>
      </c>
      <c r="C2" s="96"/>
      <c r="D2" s="119" t="s">
        <v>3</v>
      </c>
      <c r="E2" s="120"/>
      <c r="F2" s="121"/>
      <c r="G2" s="119" t="s">
        <v>4</v>
      </c>
      <c r="H2" s="120"/>
      <c r="I2" s="121"/>
      <c r="J2" s="119" t="s">
        <v>5</v>
      </c>
      <c r="K2" s="121"/>
      <c r="L2" s="119" t="s">
        <v>6</v>
      </c>
      <c r="M2" s="120"/>
      <c r="N2" s="120"/>
      <c r="O2" s="121"/>
      <c r="P2" s="119" t="s">
        <v>7</v>
      </c>
      <c r="Q2" s="120"/>
      <c r="R2" s="121"/>
      <c r="S2" s="119" t="s">
        <v>8</v>
      </c>
      <c r="T2" s="120"/>
      <c r="U2" s="121"/>
      <c r="V2" s="119" t="s">
        <v>9</v>
      </c>
      <c r="W2" s="121"/>
      <c r="X2" s="122" t="s">
        <v>3</v>
      </c>
      <c r="Y2" s="118"/>
      <c r="Z2" s="118"/>
      <c r="AA2" s="122" t="s">
        <v>4</v>
      </c>
      <c r="AB2" s="118"/>
      <c r="AC2" s="118"/>
      <c r="AD2" s="122" t="s">
        <v>5</v>
      </c>
      <c r="AE2" s="118"/>
      <c r="AF2" s="122" t="s">
        <v>6</v>
      </c>
      <c r="AG2" s="118"/>
      <c r="AH2" s="118"/>
      <c r="AI2" s="118"/>
      <c r="AJ2" s="122" t="s">
        <v>7</v>
      </c>
      <c r="AK2" s="118"/>
      <c r="AL2" s="118"/>
      <c r="AM2" s="122" t="s">
        <v>8</v>
      </c>
      <c r="AN2" s="118"/>
      <c r="AO2" s="118"/>
      <c r="AP2" s="122" t="s">
        <v>9</v>
      </c>
      <c r="AQ2" s="118"/>
      <c r="AR2" s="122" t="s">
        <v>3</v>
      </c>
      <c r="AS2" s="118"/>
      <c r="AT2" s="118"/>
      <c r="AU2" s="122" t="s">
        <v>4</v>
      </c>
      <c r="AV2" s="118"/>
      <c r="AW2" s="118"/>
      <c r="AX2" s="122" t="s">
        <v>5</v>
      </c>
      <c r="AY2" s="118"/>
      <c r="AZ2" s="122" t="s">
        <v>6</v>
      </c>
      <c r="BA2" s="118"/>
      <c r="BB2" s="118"/>
      <c r="BC2" s="118"/>
      <c r="BD2" s="122" t="s">
        <v>7</v>
      </c>
      <c r="BE2" s="118"/>
      <c r="BF2" s="118"/>
      <c r="BG2" s="122" t="s">
        <v>8</v>
      </c>
      <c r="BH2" s="118"/>
      <c r="BI2" s="118"/>
      <c r="BJ2" s="122" t="s">
        <v>9</v>
      </c>
      <c r="BK2" s="118"/>
    </row>
    <row r="3" spans="1:63" x14ac:dyDescent="0.35">
      <c r="A3" s="118"/>
      <c r="B3" s="118"/>
      <c r="C3" s="95"/>
      <c r="D3" s="94" t="s">
        <v>10</v>
      </c>
      <c r="E3" s="94" t="s">
        <v>11</v>
      </c>
      <c r="F3" s="94" t="s">
        <v>12</v>
      </c>
      <c r="G3" s="94" t="s">
        <v>13</v>
      </c>
      <c r="H3" s="94" t="s">
        <v>14</v>
      </c>
      <c r="I3" s="94" t="s">
        <v>15</v>
      </c>
      <c r="J3" s="94" t="s">
        <v>16</v>
      </c>
      <c r="K3" s="94" t="s">
        <v>17</v>
      </c>
      <c r="L3" s="94" t="s">
        <v>18</v>
      </c>
      <c r="M3" s="94" t="s">
        <v>19</v>
      </c>
      <c r="N3" s="94" t="s">
        <v>20</v>
      </c>
      <c r="O3" s="94" t="s">
        <v>21</v>
      </c>
      <c r="P3" s="94" t="s">
        <v>22</v>
      </c>
      <c r="Q3" s="94" t="s">
        <v>23</v>
      </c>
      <c r="R3" s="94" t="s">
        <v>24</v>
      </c>
      <c r="S3" s="94" t="s">
        <v>25</v>
      </c>
      <c r="T3" s="94" t="s">
        <v>26</v>
      </c>
      <c r="U3" s="94" t="s">
        <v>27</v>
      </c>
      <c r="V3" s="94" t="s">
        <v>28</v>
      </c>
      <c r="W3" s="94" t="s">
        <v>29</v>
      </c>
      <c r="X3" s="94" t="s">
        <v>10</v>
      </c>
      <c r="Y3" s="94" t="s">
        <v>11</v>
      </c>
      <c r="Z3" s="94" t="s">
        <v>12</v>
      </c>
      <c r="AA3" s="94" t="s">
        <v>13</v>
      </c>
      <c r="AB3" s="94" t="s">
        <v>14</v>
      </c>
      <c r="AC3" s="94" t="s">
        <v>15</v>
      </c>
      <c r="AD3" s="94" t="s">
        <v>16</v>
      </c>
      <c r="AE3" s="94" t="s">
        <v>17</v>
      </c>
      <c r="AF3" s="94" t="s">
        <v>18</v>
      </c>
      <c r="AG3" s="94" t="s">
        <v>19</v>
      </c>
      <c r="AH3" s="94" t="s">
        <v>20</v>
      </c>
      <c r="AI3" s="94" t="s">
        <v>21</v>
      </c>
      <c r="AJ3" s="94" t="s">
        <v>22</v>
      </c>
      <c r="AK3" s="94" t="s">
        <v>23</v>
      </c>
      <c r="AL3" s="94" t="s">
        <v>24</v>
      </c>
      <c r="AM3" s="94" t="s">
        <v>25</v>
      </c>
      <c r="AN3" s="94" t="s">
        <v>26</v>
      </c>
      <c r="AO3" s="94" t="s">
        <v>27</v>
      </c>
      <c r="AP3" s="94" t="s">
        <v>28</v>
      </c>
      <c r="AQ3" s="94" t="s">
        <v>29</v>
      </c>
      <c r="AR3" s="94" t="s">
        <v>10</v>
      </c>
      <c r="AS3" s="94" t="s">
        <v>11</v>
      </c>
      <c r="AT3" s="94" t="s">
        <v>12</v>
      </c>
      <c r="AU3" s="94" t="s">
        <v>13</v>
      </c>
      <c r="AV3" s="94" t="s">
        <v>14</v>
      </c>
      <c r="AW3" s="94" t="s">
        <v>15</v>
      </c>
      <c r="AX3" s="94" t="s">
        <v>16</v>
      </c>
      <c r="AY3" s="94" t="s">
        <v>17</v>
      </c>
      <c r="AZ3" s="94" t="s">
        <v>18</v>
      </c>
      <c r="BA3" s="94" t="s">
        <v>19</v>
      </c>
      <c r="BB3" s="94" t="s">
        <v>20</v>
      </c>
      <c r="BC3" s="94" t="s">
        <v>21</v>
      </c>
      <c r="BD3" s="94" t="s">
        <v>22</v>
      </c>
      <c r="BE3" s="94" t="s">
        <v>23</v>
      </c>
      <c r="BF3" s="94" t="s">
        <v>24</v>
      </c>
      <c r="BG3" s="94" t="s">
        <v>25</v>
      </c>
      <c r="BH3" s="94" t="s">
        <v>26</v>
      </c>
      <c r="BI3" s="94" t="s">
        <v>27</v>
      </c>
      <c r="BJ3" s="94" t="s">
        <v>28</v>
      </c>
      <c r="BK3" s="94" t="s">
        <v>29</v>
      </c>
    </row>
    <row r="4" spans="1:63" x14ac:dyDescent="0.35">
      <c r="A4" s="52">
        <v>1</v>
      </c>
      <c r="B4" s="52" t="s">
        <v>1055</v>
      </c>
      <c r="C4" s="93"/>
      <c r="D4" s="93" t="s">
        <v>147</v>
      </c>
      <c r="E4" s="93" t="s">
        <v>569</v>
      </c>
      <c r="F4" s="93" t="s">
        <v>148</v>
      </c>
      <c r="G4" s="93" t="s">
        <v>525</v>
      </c>
      <c r="H4" s="93" t="s">
        <v>561</v>
      </c>
      <c r="I4" s="93" t="s">
        <v>541</v>
      </c>
      <c r="J4" s="93" t="s">
        <v>558</v>
      </c>
      <c r="K4" s="93" t="s">
        <v>529</v>
      </c>
      <c r="L4" s="93" t="s">
        <v>530</v>
      </c>
      <c r="M4" s="93" t="s">
        <v>553</v>
      </c>
      <c r="N4" s="93" t="s">
        <v>562</v>
      </c>
      <c r="O4" s="93" t="s">
        <v>571</v>
      </c>
      <c r="P4" s="93" t="s">
        <v>145</v>
      </c>
      <c r="Q4" s="93" t="s">
        <v>544</v>
      </c>
      <c r="R4" s="93" t="s">
        <v>545</v>
      </c>
      <c r="S4" s="93" t="s">
        <v>536</v>
      </c>
      <c r="T4" s="93" t="s">
        <v>146</v>
      </c>
      <c r="U4" s="93" t="s">
        <v>538</v>
      </c>
      <c r="V4" s="93" t="s">
        <v>155</v>
      </c>
      <c r="W4" s="93" t="s">
        <v>574</v>
      </c>
      <c r="X4" s="103">
        <v>2</v>
      </c>
      <c r="Y4" s="103">
        <v>9</v>
      </c>
      <c r="Z4" s="103">
        <v>3</v>
      </c>
      <c r="AA4" s="103">
        <v>7</v>
      </c>
      <c r="AB4" s="103">
        <v>4</v>
      </c>
      <c r="AC4" s="103">
        <v>7</v>
      </c>
      <c r="AD4" s="103">
        <v>5</v>
      </c>
      <c r="AE4" s="103">
        <v>4</v>
      </c>
      <c r="AF4" s="103">
        <v>6</v>
      </c>
      <c r="AG4" s="103">
        <v>4</v>
      </c>
      <c r="AH4" s="103">
        <v>3</v>
      </c>
      <c r="AI4" s="103">
        <v>4</v>
      </c>
      <c r="AJ4" s="103">
        <v>1</v>
      </c>
      <c r="AK4" s="103">
        <v>4</v>
      </c>
      <c r="AL4" s="103">
        <v>4</v>
      </c>
      <c r="AM4" s="103">
        <v>6</v>
      </c>
      <c r="AN4" s="103">
        <v>1</v>
      </c>
      <c r="AO4" s="103">
        <v>5</v>
      </c>
      <c r="AP4" s="103">
        <v>3</v>
      </c>
      <c r="AQ4" s="103">
        <v>8</v>
      </c>
    </row>
    <row r="5" spans="1:63" x14ac:dyDescent="0.35">
      <c r="A5" s="52">
        <v>2</v>
      </c>
      <c r="B5" s="52" t="s">
        <v>322</v>
      </c>
      <c r="C5" s="93"/>
      <c r="D5" s="101" t="s">
        <v>539</v>
      </c>
      <c r="E5" s="101" t="s">
        <v>523</v>
      </c>
      <c r="F5" s="101" t="s">
        <v>524</v>
      </c>
      <c r="G5" s="101" t="s">
        <v>550</v>
      </c>
      <c r="H5" s="101" t="s">
        <v>526</v>
      </c>
      <c r="I5" s="101" t="s">
        <v>541</v>
      </c>
      <c r="J5" s="101" t="s">
        <v>140</v>
      </c>
      <c r="K5" s="101" t="s">
        <v>529</v>
      </c>
      <c r="L5" s="101" t="s">
        <v>542</v>
      </c>
      <c r="M5" s="101" t="s">
        <v>553</v>
      </c>
      <c r="N5" s="101" t="s">
        <v>562</v>
      </c>
      <c r="O5" s="101" t="s">
        <v>554</v>
      </c>
      <c r="P5" s="101" t="s">
        <v>534</v>
      </c>
      <c r="Q5" s="101" t="s">
        <v>544</v>
      </c>
      <c r="R5" s="101" t="s">
        <v>545</v>
      </c>
      <c r="S5" s="101" t="s">
        <v>536</v>
      </c>
      <c r="T5" s="101" t="s">
        <v>537</v>
      </c>
      <c r="U5" s="101" t="s">
        <v>538</v>
      </c>
      <c r="V5" s="101" t="s">
        <v>155</v>
      </c>
      <c r="W5" s="101" t="s">
        <v>549</v>
      </c>
      <c r="X5" s="103">
        <v>7</v>
      </c>
      <c r="Y5" s="103">
        <v>6</v>
      </c>
      <c r="Z5" s="103">
        <v>5</v>
      </c>
      <c r="AA5" s="103">
        <v>4</v>
      </c>
      <c r="AB5" s="103">
        <v>3</v>
      </c>
      <c r="AC5" s="103">
        <v>6</v>
      </c>
      <c r="AD5" s="103">
        <v>2</v>
      </c>
      <c r="AE5" s="103">
        <v>4</v>
      </c>
      <c r="AF5" s="103">
        <v>5</v>
      </c>
      <c r="AG5" s="103">
        <v>3</v>
      </c>
      <c r="AH5" s="103">
        <v>4</v>
      </c>
      <c r="AI5" s="103">
        <v>3</v>
      </c>
      <c r="AJ5" s="103">
        <v>3</v>
      </c>
      <c r="AK5" s="103">
        <v>6</v>
      </c>
      <c r="AL5" s="103">
        <v>5</v>
      </c>
      <c r="AM5" s="103">
        <v>6</v>
      </c>
      <c r="AN5" s="103">
        <v>5</v>
      </c>
      <c r="AO5" s="103">
        <v>5</v>
      </c>
      <c r="AP5" s="103">
        <v>2</v>
      </c>
      <c r="AQ5" s="103">
        <v>6</v>
      </c>
    </row>
    <row r="6" spans="1:63" x14ac:dyDescent="0.35">
      <c r="A6" s="52">
        <v>3</v>
      </c>
      <c r="B6" s="52" t="s">
        <v>1198</v>
      </c>
      <c r="C6" s="93"/>
      <c r="D6" s="93" t="s">
        <v>539</v>
      </c>
      <c r="E6" s="93" t="s">
        <v>540</v>
      </c>
      <c r="F6" s="93" t="s">
        <v>524</v>
      </c>
      <c r="G6" s="93" t="s">
        <v>138</v>
      </c>
      <c r="H6" s="93" t="s">
        <v>526</v>
      </c>
      <c r="I6" s="93" t="s">
        <v>552</v>
      </c>
      <c r="J6" s="93" t="s">
        <v>140</v>
      </c>
      <c r="K6" s="93" t="s">
        <v>529</v>
      </c>
      <c r="L6" s="93" t="s">
        <v>542</v>
      </c>
      <c r="M6" s="93" t="s">
        <v>531</v>
      </c>
      <c r="N6" s="93" t="s">
        <v>532</v>
      </c>
      <c r="O6" s="93" t="s">
        <v>571</v>
      </c>
      <c r="P6" s="93" t="s">
        <v>563</v>
      </c>
      <c r="Q6" s="93" t="s">
        <v>544</v>
      </c>
      <c r="R6" s="93" t="s">
        <v>545</v>
      </c>
      <c r="S6" s="93" t="s">
        <v>546</v>
      </c>
      <c r="T6" s="93" t="s">
        <v>537</v>
      </c>
      <c r="U6" s="93" t="s">
        <v>538</v>
      </c>
      <c r="V6" s="93" t="s">
        <v>155</v>
      </c>
      <c r="W6" s="93" t="s">
        <v>156</v>
      </c>
      <c r="X6" s="104">
        <v>7</v>
      </c>
      <c r="Y6" s="104">
        <v>4</v>
      </c>
      <c r="Z6" s="104">
        <v>6</v>
      </c>
      <c r="AA6" s="104">
        <v>1</v>
      </c>
      <c r="AB6" s="104">
        <v>3</v>
      </c>
      <c r="AC6" s="104">
        <v>4</v>
      </c>
      <c r="AD6" s="104">
        <v>3</v>
      </c>
      <c r="AE6" s="104">
        <v>5</v>
      </c>
      <c r="AF6" s="104">
        <v>4</v>
      </c>
      <c r="AG6" s="104">
        <v>7</v>
      </c>
      <c r="AH6" s="104">
        <v>8</v>
      </c>
      <c r="AI6" s="104">
        <v>4</v>
      </c>
      <c r="AJ6" s="104">
        <v>7</v>
      </c>
      <c r="AK6" s="104">
        <v>4</v>
      </c>
      <c r="AL6" s="104">
        <v>5</v>
      </c>
      <c r="AM6" s="104">
        <v>4</v>
      </c>
      <c r="AN6" s="104">
        <v>4</v>
      </c>
      <c r="AO6" s="104">
        <v>5</v>
      </c>
      <c r="AP6" s="104">
        <v>2</v>
      </c>
      <c r="AQ6" s="104">
        <v>3</v>
      </c>
    </row>
    <row r="7" spans="1:63" x14ac:dyDescent="0.35">
      <c r="A7" s="52">
        <v>4</v>
      </c>
      <c r="B7" s="52" t="s">
        <v>1241</v>
      </c>
      <c r="C7" s="93"/>
      <c r="D7" s="93" t="s">
        <v>522</v>
      </c>
      <c r="E7" s="93" t="s">
        <v>523</v>
      </c>
      <c r="F7" s="93" t="s">
        <v>148</v>
      </c>
      <c r="G7" s="93" t="s">
        <v>550</v>
      </c>
      <c r="H7" s="93" t="s">
        <v>526</v>
      </c>
      <c r="I7" s="93" t="s">
        <v>572</v>
      </c>
      <c r="J7" s="93" t="s">
        <v>140</v>
      </c>
      <c r="K7" s="93" t="s">
        <v>529</v>
      </c>
      <c r="L7" s="93" t="s">
        <v>530</v>
      </c>
      <c r="M7" s="93" t="s">
        <v>531</v>
      </c>
      <c r="N7" s="93" t="s">
        <v>532</v>
      </c>
      <c r="O7" s="93" t="s">
        <v>554</v>
      </c>
      <c r="P7" s="93" t="s">
        <v>534</v>
      </c>
      <c r="Q7" s="93" t="s">
        <v>544</v>
      </c>
      <c r="R7" s="93" t="s">
        <v>545</v>
      </c>
      <c r="S7" s="93" t="s">
        <v>568</v>
      </c>
      <c r="T7" s="93" t="s">
        <v>547</v>
      </c>
      <c r="U7" s="93" t="s">
        <v>538</v>
      </c>
      <c r="V7" s="93" t="s">
        <v>155</v>
      </c>
      <c r="W7" s="93" t="s">
        <v>549</v>
      </c>
      <c r="X7" s="104">
        <v>4</v>
      </c>
      <c r="Y7" s="104">
        <v>7</v>
      </c>
      <c r="Z7" s="104">
        <v>3</v>
      </c>
      <c r="AA7" s="104">
        <v>4</v>
      </c>
      <c r="AB7" s="104">
        <v>2</v>
      </c>
      <c r="AC7" s="104">
        <v>8</v>
      </c>
      <c r="AD7" s="104">
        <v>2</v>
      </c>
      <c r="AE7" s="104">
        <v>3</v>
      </c>
      <c r="AF7" s="104">
        <v>6</v>
      </c>
      <c r="AG7" s="104">
        <v>6</v>
      </c>
      <c r="AH7" s="104">
        <v>5</v>
      </c>
      <c r="AI7" s="104">
        <v>2</v>
      </c>
      <c r="AJ7" s="104">
        <v>4</v>
      </c>
      <c r="AK7" s="104">
        <v>6</v>
      </c>
      <c r="AL7" s="104">
        <v>4</v>
      </c>
      <c r="AM7" s="104">
        <v>8</v>
      </c>
      <c r="AN7" s="104">
        <v>2</v>
      </c>
      <c r="AO7" s="104">
        <v>5</v>
      </c>
      <c r="AP7" s="104">
        <v>2</v>
      </c>
      <c r="AQ7" s="104">
        <v>7</v>
      </c>
    </row>
    <row r="8" spans="1:63" x14ac:dyDescent="0.35">
      <c r="A8" s="52">
        <v>5</v>
      </c>
      <c r="B8" s="52" t="s">
        <v>1142</v>
      </c>
      <c r="C8" s="93"/>
      <c r="D8" s="93" t="s">
        <v>539</v>
      </c>
      <c r="E8" s="93" t="s">
        <v>523</v>
      </c>
      <c r="F8" s="93" t="s">
        <v>524</v>
      </c>
      <c r="G8" s="93" t="s">
        <v>550</v>
      </c>
      <c r="H8" s="93" t="s">
        <v>561</v>
      </c>
      <c r="I8" s="93" t="s">
        <v>527</v>
      </c>
      <c r="J8" s="93" t="s">
        <v>558</v>
      </c>
      <c r="K8" s="93" t="s">
        <v>529</v>
      </c>
      <c r="L8" s="93" t="s">
        <v>530</v>
      </c>
      <c r="M8" s="93" t="s">
        <v>531</v>
      </c>
      <c r="N8" s="93" t="s">
        <v>532</v>
      </c>
      <c r="O8" s="93" t="s">
        <v>150</v>
      </c>
      <c r="P8" s="93" t="s">
        <v>145</v>
      </c>
      <c r="Q8" s="93" t="s">
        <v>535</v>
      </c>
      <c r="R8" s="93" t="s">
        <v>545</v>
      </c>
      <c r="S8" s="93" t="s">
        <v>536</v>
      </c>
      <c r="T8" s="93" t="s">
        <v>537</v>
      </c>
      <c r="U8" s="93" t="s">
        <v>548</v>
      </c>
      <c r="V8" s="93" t="s">
        <v>155</v>
      </c>
      <c r="W8" s="93" t="s">
        <v>156</v>
      </c>
      <c r="X8" s="104">
        <v>6</v>
      </c>
      <c r="Y8" s="104">
        <v>7</v>
      </c>
      <c r="Z8" s="104">
        <v>5</v>
      </c>
      <c r="AA8" s="104">
        <v>4</v>
      </c>
      <c r="AB8" s="104">
        <v>4</v>
      </c>
      <c r="AC8" s="104">
        <v>3</v>
      </c>
      <c r="AD8" s="104">
        <v>5</v>
      </c>
      <c r="AE8" s="104">
        <v>6</v>
      </c>
      <c r="AF8" s="104">
        <v>8</v>
      </c>
      <c r="AG8" s="104">
        <v>6</v>
      </c>
      <c r="AH8" s="104">
        <v>6</v>
      </c>
      <c r="AI8" s="104">
        <v>1</v>
      </c>
      <c r="AJ8" s="104">
        <v>2</v>
      </c>
      <c r="AK8" s="104">
        <v>2</v>
      </c>
      <c r="AL8" s="104">
        <v>4</v>
      </c>
      <c r="AM8" s="104">
        <v>7</v>
      </c>
      <c r="AN8" s="104">
        <v>6</v>
      </c>
      <c r="AO8" s="104">
        <v>3</v>
      </c>
      <c r="AP8" s="104">
        <v>2</v>
      </c>
      <c r="AQ8" s="104">
        <v>3</v>
      </c>
    </row>
    <row r="9" spans="1:63" x14ac:dyDescent="0.35">
      <c r="A9" s="52">
        <v>6</v>
      </c>
      <c r="B9" s="52" t="s">
        <v>701</v>
      </c>
      <c r="C9" s="93"/>
      <c r="D9" s="101" t="s">
        <v>539</v>
      </c>
      <c r="E9" s="101" t="s">
        <v>523</v>
      </c>
      <c r="F9" s="101" t="s">
        <v>524</v>
      </c>
      <c r="G9" s="101" t="s">
        <v>525</v>
      </c>
      <c r="H9" s="101" t="s">
        <v>551</v>
      </c>
      <c r="I9" s="101" t="s">
        <v>527</v>
      </c>
      <c r="J9" s="101" t="s">
        <v>528</v>
      </c>
      <c r="K9" s="101" t="s">
        <v>529</v>
      </c>
      <c r="L9" s="101" t="s">
        <v>542</v>
      </c>
      <c r="M9" s="101" t="s">
        <v>531</v>
      </c>
      <c r="N9" s="101" t="s">
        <v>142</v>
      </c>
      <c r="O9" s="101" t="s">
        <v>554</v>
      </c>
      <c r="P9" s="101" t="s">
        <v>534</v>
      </c>
      <c r="Q9" s="101" t="s">
        <v>535</v>
      </c>
      <c r="R9" s="101" t="s">
        <v>545</v>
      </c>
      <c r="S9" s="101" t="s">
        <v>565</v>
      </c>
      <c r="T9" s="101" t="s">
        <v>537</v>
      </c>
      <c r="U9" s="101" t="s">
        <v>548</v>
      </c>
      <c r="V9" s="101" t="s">
        <v>81</v>
      </c>
      <c r="W9" s="101" t="s">
        <v>555</v>
      </c>
      <c r="X9" s="104">
        <v>6</v>
      </c>
      <c r="Y9" s="104">
        <v>5</v>
      </c>
      <c r="Z9" s="104">
        <v>6</v>
      </c>
      <c r="AA9" s="104">
        <v>6</v>
      </c>
      <c r="AB9" s="104">
        <v>7</v>
      </c>
      <c r="AC9" s="104">
        <v>3</v>
      </c>
      <c r="AD9" s="104">
        <v>8</v>
      </c>
      <c r="AE9" s="104">
        <v>6</v>
      </c>
      <c r="AF9" s="104">
        <v>3</v>
      </c>
      <c r="AG9" s="104">
        <v>6</v>
      </c>
      <c r="AH9" s="104">
        <v>2</v>
      </c>
      <c r="AI9" s="104">
        <v>3</v>
      </c>
      <c r="AJ9" s="104">
        <v>3</v>
      </c>
      <c r="AK9" s="104">
        <v>3</v>
      </c>
      <c r="AL9" s="104">
        <v>5</v>
      </c>
      <c r="AM9" s="104">
        <v>3</v>
      </c>
      <c r="AN9" s="104">
        <v>4</v>
      </c>
      <c r="AO9" s="104">
        <v>3</v>
      </c>
      <c r="AP9" s="104">
        <v>4</v>
      </c>
      <c r="AQ9" s="104">
        <v>4</v>
      </c>
    </row>
    <row r="10" spans="1:63" x14ac:dyDescent="0.35">
      <c r="A10" s="52">
        <v>7</v>
      </c>
      <c r="B10" s="52" t="s">
        <v>718</v>
      </c>
      <c r="C10" s="93"/>
      <c r="D10" s="101" t="s">
        <v>539</v>
      </c>
      <c r="E10" s="101" t="s">
        <v>569</v>
      </c>
      <c r="F10" s="101" t="s">
        <v>524</v>
      </c>
      <c r="G10" s="101" t="s">
        <v>556</v>
      </c>
      <c r="H10" s="101" t="s">
        <v>526</v>
      </c>
      <c r="I10" s="101" t="s">
        <v>527</v>
      </c>
      <c r="J10" s="101" t="s">
        <v>558</v>
      </c>
      <c r="K10" s="101" t="s">
        <v>529</v>
      </c>
      <c r="L10" s="101" t="s">
        <v>530</v>
      </c>
      <c r="M10" s="101" t="s">
        <v>553</v>
      </c>
      <c r="N10" s="101" t="s">
        <v>532</v>
      </c>
      <c r="O10" s="101" t="s">
        <v>554</v>
      </c>
      <c r="P10" s="101" t="s">
        <v>543</v>
      </c>
      <c r="Q10" s="101" t="s">
        <v>544</v>
      </c>
      <c r="R10" s="101" t="s">
        <v>545</v>
      </c>
      <c r="S10" s="101" t="s">
        <v>536</v>
      </c>
      <c r="T10" s="101" t="s">
        <v>547</v>
      </c>
      <c r="U10" s="101" t="s">
        <v>548</v>
      </c>
      <c r="V10" s="101" t="s">
        <v>155</v>
      </c>
      <c r="W10" s="101" t="s">
        <v>549</v>
      </c>
      <c r="X10" s="104">
        <v>7</v>
      </c>
      <c r="Y10" s="104">
        <v>8</v>
      </c>
      <c r="Z10" s="104">
        <v>5</v>
      </c>
      <c r="AA10" s="104">
        <v>2</v>
      </c>
      <c r="AB10" s="104">
        <v>2</v>
      </c>
      <c r="AC10" s="104">
        <v>3</v>
      </c>
      <c r="AD10" s="104">
        <v>4</v>
      </c>
      <c r="AE10" s="104">
        <v>5</v>
      </c>
      <c r="AF10" s="104">
        <v>6</v>
      </c>
      <c r="AG10" s="104">
        <v>5</v>
      </c>
      <c r="AH10" s="104">
        <v>6</v>
      </c>
      <c r="AI10" s="104">
        <v>3</v>
      </c>
      <c r="AJ10" s="104">
        <v>5</v>
      </c>
      <c r="AK10" s="104">
        <v>5</v>
      </c>
      <c r="AL10" s="104">
        <v>4</v>
      </c>
      <c r="AM10" s="104">
        <v>6</v>
      </c>
      <c r="AN10" s="104">
        <v>3</v>
      </c>
      <c r="AO10" s="104">
        <v>2</v>
      </c>
      <c r="AP10" s="104">
        <v>3</v>
      </c>
      <c r="AQ10" s="104">
        <v>6</v>
      </c>
    </row>
    <row r="11" spans="1:63" x14ac:dyDescent="0.35">
      <c r="A11" s="52">
        <v>8</v>
      </c>
      <c r="B11" s="52" t="s">
        <v>345</v>
      </c>
      <c r="C11" s="93"/>
      <c r="D11" s="101" t="s">
        <v>539</v>
      </c>
      <c r="E11" s="101" t="s">
        <v>569</v>
      </c>
      <c r="F11" s="101" t="s">
        <v>524</v>
      </c>
      <c r="G11" s="101" t="s">
        <v>556</v>
      </c>
      <c r="H11" s="101" t="s">
        <v>149</v>
      </c>
      <c r="I11" s="101" t="s">
        <v>527</v>
      </c>
      <c r="J11" s="101" t="s">
        <v>558</v>
      </c>
      <c r="K11" s="101" t="s">
        <v>529</v>
      </c>
      <c r="L11" s="101" t="s">
        <v>530</v>
      </c>
      <c r="M11" s="101" t="s">
        <v>531</v>
      </c>
      <c r="N11" s="101" t="s">
        <v>532</v>
      </c>
      <c r="O11" s="101" t="s">
        <v>571</v>
      </c>
      <c r="P11" s="101" t="s">
        <v>145</v>
      </c>
      <c r="Q11" s="101" t="s">
        <v>535</v>
      </c>
      <c r="R11" s="101" t="s">
        <v>567</v>
      </c>
      <c r="S11" s="101" t="s">
        <v>565</v>
      </c>
      <c r="T11" s="101" t="s">
        <v>537</v>
      </c>
      <c r="U11" s="101" t="s">
        <v>538</v>
      </c>
      <c r="V11" s="101" t="s">
        <v>81</v>
      </c>
      <c r="W11" s="101" t="s">
        <v>549</v>
      </c>
      <c r="X11" s="104">
        <v>6</v>
      </c>
      <c r="Y11" s="104">
        <v>9</v>
      </c>
      <c r="Z11" s="104">
        <v>5</v>
      </c>
      <c r="AA11" s="104">
        <v>2</v>
      </c>
      <c r="AB11" s="104">
        <v>1</v>
      </c>
      <c r="AC11" s="104">
        <v>2</v>
      </c>
      <c r="AD11" s="104">
        <v>5</v>
      </c>
      <c r="AE11" s="104">
        <v>5</v>
      </c>
      <c r="AF11" s="104">
        <v>7</v>
      </c>
      <c r="AG11" s="104">
        <v>6</v>
      </c>
      <c r="AH11" s="104">
        <v>6</v>
      </c>
      <c r="AI11" s="104">
        <v>4</v>
      </c>
      <c r="AJ11" s="104">
        <v>2</v>
      </c>
      <c r="AK11" s="104">
        <v>2</v>
      </c>
      <c r="AL11" s="104">
        <v>7</v>
      </c>
      <c r="AM11" s="104">
        <v>2</v>
      </c>
      <c r="AN11" s="104">
        <v>5</v>
      </c>
      <c r="AO11" s="104">
        <v>4</v>
      </c>
      <c r="AP11" s="104">
        <v>4</v>
      </c>
      <c r="AQ11" s="104">
        <v>6</v>
      </c>
    </row>
    <row r="12" spans="1:63" x14ac:dyDescent="0.35">
      <c r="A12" s="52">
        <v>9</v>
      </c>
      <c r="B12" s="52" t="s">
        <v>328</v>
      </c>
      <c r="C12" s="93"/>
      <c r="D12" s="101" t="s">
        <v>539</v>
      </c>
      <c r="E12" s="101" t="s">
        <v>523</v>
      </c>
      <c r="F12" s="101" t="s">
        <v>524</v>
      </c>
      <c r="G12" s="101" t="s">
        <v>525</v>
      </c>
      <c r="H12" s="101" t="s">
        <v>560</v>
      </c>
      <c r="I12" s="101" t="s">
        <v>552</v>
      </c>
      <c r="J12" s="101" t="s">
        <v>140</v>
      </c>
      <c r="K12" s="101" t="s">
        <v>529</v>
      </c>
      <c r="L12" s="101" t="s">
        <v>542</v>
      </c>
      <c r="M12" s="101" t="s">
        <v>531</v>
      </c>
      <c r="N12" s="101" t="s">
        <v>142</v>
      </c>
      <c r="O12" s="101" t="s">
        <v>554</v>
      </c>
      <c r="P12" s="101" t="s">
        <v>563</v>
      </c>
      <c r="Q12" s="101" t="s">
        <v>535</v>
      </c>
      <c r="R12" s="101" t="s">
        <v>545</v>
      </c>
      <c r="S12" s="101" t="s">
        <v>153</v>
      </c>
      <c r="T12" s="101" t="s">
        <v>537</v>
      </c>
      <c r="U12" s="101" t="s">
        <v>548</v>
      </c>
      <c r="V12" s="101" t="s">
        <v>155</v>
      </c>
      <c r="W12" s="101" t="s">
        <v>555</v>
      </c>
      <c r="X12" s="104">
        <v>6</v>
      </c>
      <c r="Y12" s="104">
        <v>7</v>
      </c>
      <c r="Z12" s="104">
        <v>6</v>
      </c>
      <c r="AA12" s="104">
        <v>6</v>
      </c>
      <c r="AB12" s="104">
        <v>8</v>
      </c>
      <c r="AC12" s="104">
        <v>4</v>
      </c>
      <c r="AD12" s="104">
        <v>2</v>
      </c>
      <c r="AE12" s="104">
        <v>5</v>
      </c>
      <c r="AF12" s="104">
        <v>4</v>
      </c>
      <c r="AG12" s="104">
        <v>7</v>
      </c>
      <c r="AH12" s="104">
        <v>0</v>
      </c>
      <c r="AI12" s="104">
        <v>3</v>
      </c>
      <c r="AJ12" s="104">
        <v>7</v>
      </c>
      <c r="AK12" s="104">
        <v>3</v>
      </c>
      <c r="AL12" s="104">
        <v>5</v>
      </c>
      <c r="AM12" s="104">
        <v>1</v>
      </c>
      <c r="AN12" s="104">
        <v>6</v>
      </c>
      <c r="AO12" s="104">
        <v>3</v>
      </c>
      <c r="AP12" s="104">
        <v>3</v>
      </c>
      <c r="AQ12" s="104">
        <v>4</v>
      </c>
    </row>
    <row r="13" spans="1:63" x14ac:dyDescent="0.35">
      <c r="A13" s="52">
        <v>10</v>
      </c>
      <c r="B13" s="52" t="s">
        <v>879</v>
      </c>
      <c r="C13" s="93"/>
      <c r="D13" s="101" t="s">
        <v>522</v>
      </c>
      <c r="E13" s="101" t="s">
        <v>540</v>
      </c>
      <c r="F13" s="101" t="s">
        <v>524</v>
      </c>
      <c r="G13" s="101" t="s">
        <v>556</v>
      </c>
      <c r="H13" s="101" t="s">
        <v>561</v>
      </c>
      <c r="I13" s="101" t="s">
        <v>552</v>
      </c>
      <c r="J13" s="101" t="s">
        <v>140</v>
      </c>
      <c r="K13" s="101" t="s">
        <v>141</v>
      </c>
      <c r="L13" s="101" t="s">
        <v>542</v>
      </c>
      <c r="M13" s="101" t="s">
        <v>553</v>
      </c>
      <c r="N13" s="101" t="s">
        <v>532</v>
      </c>
      <c r="O13" s="101" t="s">
        <v>554</v>
      </c>
      <c r="P13" s="101" t="s">
        <v>543</v>
      </c>
      <c r="Q13" s="101" t="s">
        <v>544</v>
      </c>
      <c r="R13" s="101" t="s">
        <v>545</v>
      </c>
      <c r="S13" s="101" t="s">
        <v>546</v>
      </c>
      <c r="T13" s="101" t="s">
        <v>537</v>
      </c>
      <c r="U13" s="101" t="s">
        <v>576</v>
      </c>
      <c r="V13" s="101" t="s">
        <v>155</v>
      </c>
      <c r="W13" s="101" t="s">
        <v>549</v>
      </c>
      <c r="X13" s="104">
        <v>5</v>
      </c>
      <c r="Y13" s="104">
        <v>3</v>
      </c>
      <c r="Z13" s="104">
        <v>5</v>
      </c>
      <c r="AA13" s="104">
        <v>3</v>
      </c>
      <c r="AB13" s="104">
        <v>4</v>
      </c>
      <c r="AC13" s="104">
        <v>4</v>
      </c>
      <c r="AD13" s="104">
        <v>3</v>
      </c>
      <c r="AE13" s="104">
        <v>2</v>
      </c>
      <c r="AF13" s="104">
        <v>4</v>
      </c>
      <c r="AG13" s="104">
        <v>5</v>
      </c>
      <c r="AH13" s="104">
        <v>9</v>
      </c>
      <c r="AI13" s="104">
        <v>3</v>
      </c>
      <c r="AJ13" s="104">
        <v>6</v>
      </c>
      <c r="AK13" s="104">
        <v>5</v>
      </c>
      <c r="AL13" s="104">
        <v>5</v>
      </c>
      <c r="AM13" s="104">
        <v>4</v>
      </c>
      <c r="AN13" s="104">
        <v>5</v>
      </c>
      <c r="AO13" s="104">
        <v>6</v>
      </c>
      <c r="AP13" s="104">
        <v>2</v>
      </c>
      <c r="AQ13" s="104">
        <v>7</v>
      </c>
    </row>
    <row r="14" spans="1:63" x14ac:dyDescent="0.35">
      <c r="A14" s="52">
        <v>11</v>
      </c>
      <c r="B14" s="52" t="s">
        <v>1162</v>
      </c>
      <c r="C14" s="93"/>
      <c r="D14" s="93" t="s">
        <v>522</v>
      </c>
      <c r="E14" s="93" t="s">
        <v>523</v>
      </c>
      <c r="F14" s="93" t="s">
        <v>148</v>
      </c>
      <c r="G14" s="93" t="s">
        <v>138</v>
      </c>
      <c r="H14" s="93" t="s">
        <v>566</v>
      </c>
      <c r="I14" s="93" t="s">
        <v>527</v>
      </c>
      <c r="J14" s="93" t="s">
        <v>558</v>
      </c>
      <c r="K14" s="93" t="s">
        <v>529</v>
      </c>
      <c r="L14" s="93" t="s">
        <v>542</v>
      </c>
      <c r="M14" s="93" t="s">
        <v>531</v>
      </c>
      <c r="N14" s="93" t="s">
        <v>532</v>
      </c>
      <c r="O14" s="93" t="s">
        <v>571</v>
      </c>
      <c r="P14" s="93" t="s">
        <v>534</v>
      </c>
      <c r="Q14" s="93" t="s">
        <v>544</v>
      </c>
      <c r="R14" s="93" t="s">
        <v>545</v>
      </c>
      <c r="S14" s="93" t="s">
        <v>536</v>
      </c>
      <c r="T14" s="93" t="s">
        <v>537</v>
      </c>
      <c r="U14" s="93" t="s">
        <v>548</v>
      </c>
      <c r="V14" s="93" t="s">
        <v>155</v>
      </c>
      <c r="W14" s="93" t="s">
        <v>555</v>
      </c>
      <c r="X14" s="104">
        <v>5</v>
      </c>
      <c r="Y14" s="104">
        <v>6</v>
      </c>
      <c r="Z14" s="104">
        <v>3</v>
      </c>
      <c r="AA14" s="104">
        <v>1</v>
      </c>
      <c r="AB14" s="104">
        <v>5</v>
      </c>
      <c r="AC14" s="104">
        <v>3</v>
      </c>
      <c r="AD14" s="104">
        <v>5</v>
      </c>
      <c r="AE14" s="104">
        <v>5</v>
      </c>
      <c r="AF14" s="104">
        <v>5</v>
      </c>
      <c r="AG14" s="104">
        <v>6</v>
      </c>
      <c r="AH14" s="104">
        <v>8</v>
      </c>
      <c r="AI14" s="104">
        <v>4</v>
      </c>
      <c r="AJ14" s="104">
        <v>4</v>
      </c>
      <c r="AK14" s="104">
        <v>4</v>
      </c>
      <c r="AL14" s="104">
        <v>4</v>
      </c>
      <c r="AM14" s="104">
        <v>7</v>
      </c>
      <c r="AN14" s="104">
        <v>5</v>
      </c>
      <c r="AO14" s="104">
        <v>3</v>
      </c>
      <c r="AP14" s="104">
        <v>2</v>
      </c>
      <c r="AQ14" s="104">
        <v>5</v>
      </c>
    </row>
    <row r="15" spans="1:63" x14ac:dyDescent="0.35">
      <c r="A15" s="52">
        <v>12</v>
      </c>
      <c r="B15" s="52" t="s">
        <v>353</v>
      </c>
      <c r="C15" s="93"/>
      <c r="D15" s="101" t="s">
        <v>522</v>
      </c>
      <c r="E15" s="101" t="s">
        <v>523</v>
      </c>
      <c r="F15" s="101" t="s">
        <v>148</v>
      </c>
      <c r="G15" s="101" t="s">
        <v>138</v>
      </c>
      <c r="H15" s="101" t="s">
        <v>551</v>
      </c>
      <c r="I15" s="101" t="s">
        <v>541</v>
      </c>
      <c r="J15" s="101" t="s">
        <v>140</v>
      </c>
      <c r="K15" s="101" t="s">
        <v>529</v>
      </c>
      <c r="L15" s="101" t="s">
        <v>542</v>
      </c>
      <c r="M15" s="101" t="s">
        <v>553</v>
      </c>
      <c r="N15" s="101" t="s">
        <v>562</v>
      </c>
      <c r="O15" s="101" t="s">
        <v>571</v>
      </c>
      <c r="P15" s="101" t="s">
        <v>563</v>
      </c>
      <c r="Q15" s="101" t="s">
        <v>544</v>
      </c>
      <c r="R15" s="101" t="s">
        <v>545</v>
      </c>
      <c r="S15" s="101" t="s">
        <v>546</v>
      </c>
      <c r="T15" s="101" t="s">
        <v>537</v>
      </c>
      <c r="U15" s="101" t="s">
        <v>538</v>
      </c>
      <c r="V15" s="101" t="s">
        <v>155</v>
      </c>
      <c r="W15" s="101" t="s">
        <v>549</v>
      </c>
      <c r="X15" s="104">
        <v>5</v>
      </c>
      <c r="Y15" s="104">
        <v>6</v>
      </c>
      <c r="Z15" s="104">
        <v>4</v>
      </c>
      <c r="AA15" s="104">
        <v>1</v>
      </c>
      <c r="AB15" s="104">
        <v>7</v>
      </c>
      <c r="AC15" s="104">
        <v>6</v>
      </c>
      <c r="AD15" s="104">
        <v>3</v>
      </c>
      <c r="AE15" s="104">
        <v>3</v>
      </c>
      <c r="AF15" s="104">
        <v>5</v>
      </c>
      <c r="AG15" s="104">
        <v>3</v>
      </c>
      <c r="AH15" s="104">
        <v>4</v>
      </c>
      <c r="AI15" s="104">
        <v>4</v>
      </c>
      <c r="AJ15" s="104">
        <v>8</v>
      </c>
      <c r="AK15" s="104">
        <v>4</v>
      </c>
      <c r="AL15" s="104">
        <v>5</v>
      </c>
      <c r="AM15" s="104">
        <v>5</v>
      </c>
      <c r="AN15" s="104">
        <v>5</v>
      </c>
      <c r="AO15" s="104">
        <v>4</v>
      </c>
      <c r="AP15" s="104">
        <v>1</v>
      </c>
      <c r="AQ15" s="104">
        <v>7</v>
      </c>
    </row>
    <row r="16" spans="1:63" x14ac:dyDescent="0.35">
      <c r="A16" s="52">
        <v>13</v>
      </c>
      <c r="B16" s="52" t="s">
        <v>1225</v>
      </c>
      <c r="C16" s="93"/>
      <c r="D16" s="93" t="s">
        <v>578</v>
      </c>
      <c r="E16" s="93" t="s">
        <v>523</v>
      </c>
      <c r="F16" s="93" t="s">
        <v>524</v>
      </c>
      <c r="G16" s="93" t="s">
        <v>556</v>
      </c>
      <c r="H16" s="93" t="s">
        <v>526</v>
      </c>
      <c r="I16" s="93" t="s">
        <v>541</v>
      </c>
      <c r="J16" s="93" t="s">
        <v>140</v>
      </c>
      <c r="K16" s="93" t="s">
        <v>529</v>
      </c>
      <c r="L16" s="93" t="s">
        <v>542</v>
      </c>
      <c r="M16" s="93" t="s">
        <v>151</v>
      </c>
      <c r="N16" s="93" t="s">
        <v>532</v>
      </c>
      <c r="O16" s="93" t="s">
        <v>150</v>
      </c>
      <c r="P16" s="93" t="s">
        <v>543</v>
      </c>
      <c r="Q16" s="93" t="s">
        <v>544</v>
      </c>
      <c r="R16" s="93" t="s">
        <v>577</v>
      </c>
      <c r="S16" s="93" t="s">
        <v>536</v>
      </c>
      <c r="T16" s="93" t="s">
        <v>547</v>
      </c>
      <c r="U16" s="93" t="s">
        <v>538</v>
      </c>
      <c r="V16" s="93" t="s">
        <v>81</v>
      </c>
      <c r="W16" s="93" t="s">
        <v>549</v>
      </c>
      <c r="X16" s="104">
        <v>8</v>
      </c>
      <c r="Y16" s="104">
        <v>6</v>
      </c>
      <c r="Z16" s="104">
        <v>7</v>
      </c>
      <c r="AA16" s="104">
        <v>3</v>
      </c>
      <c r="AB16" s="104">
        <v>3</v>
      </c>
      <c r="AC16" s="104">
        <v>6</v>
      </c>
      <c r="AD16" s="104">
        <v>1</v>
      </c>
      <c r="AE16" s="104">
        <v>3</v>
      </c>
      <c r="AF16" s="104">
        <v>4</v>
      </c>
      <c r="AG16" s="104">
        <v>1</v>
      </c>
      <c r="AH16" s="104">
        <v>5</v>
      </c>
      <c r="AI16" s="104">
        <v>1</v>
      </c>
      <c r="AJ16" s="104">
        <v>6</v>
      </c>
      <c r="AK16" s="104">
        <v>5</v>
      </c>
      <c r="AL16" s="104">
        <v>8</v>
      </c>
      <c r="AM16" s="104">
        <v>6</v>
      </c>
      <c r="AN16" s="104">
        <v>2</v>
      </c>
      <c r="AO16" s="104">
        <v>4</v>
      </c>
      <c r="AP16" s="104">
        <v>5</v>
      </c>
      <c r="AQ16" s="104">
        <v>6</v>
      </c>
    </row>
    <row r="17" spans="1:43" x14ac:dyDescent="0.35">
      <c r="A17" s="52">
        <v>14</v>
      </c>
      <c r="B17" s="52" t="s">
        <v>1064</v>
      </c>
      <c r="C17" s="93"/>
      <c r="D17" s="93" t="s">
        <v>522</v>
      </c>
      <c r="E17" s="93" t="s">
        <v>523</v>
      </c>
      <c r="F17" s="93" t="s">
        <v>524</v>
      </c>
      <c r="G17" s="93" t="s">
        <v>556</v>
      </c>
      <c r="H17" s="93" t="s">
        <v>561</v>
      </c>
      <c r="I17" s="93" t="s">
        <v>552</v>
      </c>
      <c r="J17" s="93" t="s">
        <v>558</v>
      </c>
      <c r="K17" s="93" t="s">
        <v>529</v>
      </c>
      <c r="L17" s="93" t="s">
        <v>542</v>
      </c>
      <c r="M17" s="93" t="s">
        <v>553</v>
      </c>
      <c r="N17" s="93" t="s">
        <v>532</v>
      </c>
      <c r="O17" s="93" t="s">
        <v>554</v>
      </c>
      <c r="P17" s="93" t="s">
        <v>145</v>
      </c>
      <c r="Q17" s="93" t="s">
        <v>544</v>
      </c>
      <c r="R17" s="93" t="s">
        <v>143</v>
      </c>
      <c r="S17" s="93" t="s">
        <v>536</v>
      </c>
      <c r="T17" s="93" t="s">
        <v>537</v>
      </c>
      <c r="U17" s="93" t="s">
        <v>538</v>
      </c>
      <c r="V17" s="93" t="s">
        <v>155</v>
      </c>
      <c r="W17" s="93" t="s">
        <v>555</v>
      </c>
      <c r="X17" s="104">
        <v>5</v>
      </c>
      <c r="Y17" s="104">
        <v>6</v>
      </c>
      <c r="Z17" s="104">
        <v>5</v>
      </c>
      <c r="AA17" s="104">
        <v>3</v>
      </c>
      <c r="AB17" s="104">
        <v>4</v>
      </c>
      <c r="AC17" s="104">
        <v>5</v>
      </c>
      <c r="AD17" s="104">
        <v>4</v>
      </c>
      <c r="AE17" s="104">
        <v>4</v>
      </c>
      <c r="AF17" s="104">
        <v>4</v>
      </c>
      <c r="AG17" s="104">
        <v>5</v>
      </c>
      <c r="AH17" s="104">
        <v>9</v>
      </c>
      <c r="AI17" s="104">
        <v>2</v>
      </c>
      <c r="AJ17" s="104">
        <v>1</v>
      </c>
      <c r="AK17" s="104">
        <v>4</v>
      </c>
      <c r="AL17" s="104">
        <v>3</v>
      </c>
      <c r="AM17" s="104">
        <v>7</v>
      </c>
      <c r="AN17" s="104">
        <v>6</v>
      </c>
      <c r="AO17" s="104">
        <v>5</v>
      </c>
      <c r="AP17" s="104">
        <v>3</v>
      </c>
      <c r="AQ17" s="104">
        <v>5</v>
      </c>
    </row>
    <row r="18" spans="1:43" x14ac:dyDescent="0.35">
      <c r="A18" s="52">
        <v>15</v>
      </c>
      <c r="B18" s="52" t="s">
        <v>268</v>
      </c>
      <c r="C18" s="93"/>
      <c r="D18" s="101" t="s">
        <v>539</v>
      </c>
      <c r="E18" s="101" t="s">
        <v>523</v>
      </c>
      <c r="F18" s="101" t="s">
        <v>524</v>
      </c>
      <c r="G18" s="101" t="s">
        <v>556</v>
      </c>
      <c r="H18" s="101" t="s">
        <v>561</v>
      </c>
      <c r="I18" s="101" t="s">
        <v>527</v>
      </c>
      <c r="J18" s="101" t="s">
        <v>140</v>
      </c>
      <c r="K18" s="101" t="s">
        <v>529</v>
      </c>
      <c r="L18" s="101" t="s">
        <v>530</v>
      </c>
      <c r="M18" s="101" t="s">
        <v>553</v>
      </c>
      <c r="N18" s="101" t="s">
        <v>562</v>
      </c>
      <c r="O18" s="101" t="s">
        <v>554</v>
      </c>
      <c r="P18" s="101" t="s">
        <v>563</v>
      </c>
      <c r="Q18" s="101" t="s">
        <v>544</v>
      </c>
      <c r="R18" s="101" t="s">
        <v>567</v>
      </c>
      <c r="S18" s="101" t="s">
        <v>546</v>
      </c>
      <c r="T18" s="101" t="s">
        <v>537</v>
      </c>
      <c r="U18" s="101" t="s">
        <v>538</v>
      </c>
      <c r="V18" s="101" t="s">
        <v>155</v>
      </c>
      <c r="W18" s="101" t="s">
        <v>555</v>
      </c>
      <c r="X18" s="104">
        <v>7</v>
      </c>
      <c r="Y18" s="104">
        <v>5</v>
      </c>
      <c r="Z18" s="104">
        <v>5</v>
      </c>
      <c r="AA18" s="104">
        <v>3</v>
      </c>
      <c r="AB18" s="104">
        <v>4</v>
      </c>
      <c r="AC18" s="104">
        <v>2</v>
      </c>
      <c r="AD18" s="104">
        <v>2</v>
      </c>
      <c r="AE18" s="104">
        <v>6</v>
      </c>
      <c r="AF18" s="104">
        <v>6</v>
      </c>
      <c r="AG18" s="104">
        <v>3</v>
      </c>
      <c r="AH18" s="104">
        <v>4</v>
      </c>
      <c r="AI18" s="104">
        <v>3</v>
      </c>
      <c r="AJ18" s="104">
        <v>8</v>
      </c>
      <c r="AK18" s="104">
        <v>4</v>
      </c>
      <c r="AL18" s="104">
        <v>7</v>
      </c>
      <c r="AM18" s="104">
        <v>5</v>
      </c>
      <c r="AN18" s="104">
        <v>4</v>
      </c>
      <c r="AO18" s="104">
        <v>5</v>
      </c>
      <c r="AP18" s="104">
        <v>2</v>
      </c>
      <c r="AQ18" s="104">
        <v>5</v>
      </c>
    </row>
    <row r="19" spans="1:43" x14ac:dyDescent="0.35">
      <c r="A19" s="52">
        <v>16</v>
      </c>
      <c r="B19" s="52" t="s">
        <v>1099</v>
      </c>
      <c r="C19" s="93"/>
      <c r="D19" s="93" t="s">
        <v>522</v>
      </c>
      <c r="E19" s="93" t="s">
        <v>523</v>
      </c>
      <c r="F19" s="93" t="s">
        <v>524</v>
      </c>
      <c r="G19" s="93" t="s">
        <v>550</v>
      </c>
      <c r="H19" s="93" t="s">
        <v>561</v>
      </c>
      <c r="I19" s="93" t="s">
        <v>527</v>
      </c>
      <c r="J19" s="93" t="s">
        <v>140</v>
      </c>
      <c r="K19" s="93" t="s">
        <v>141</v>
      </c>
      <c r="L19" s="93" t="s">
        <v>530</v>
      </c>
      <c r="M19" s="93" t="s">
        <v>553</v>
      </c>
      <c r="N19" s="93" t="s">
        <v>532</v>
      </c>
      <c r="O19" s="93" t="s">
        <v>571</v>
      </c>
      <c r="P19" s="93" t="s">
        <v>563</v>
      </c>
      <c r="Q19" s="93" t="s">
        <v>535</v>
      </c>
      <c r="R19" s="93" t="s">
        <v>567</v>
      </c>
      <c r="S19" s="93" t="s">
        <v>565</v>
      </c>
      <c r="T19" s="93" t="s">
        <v>557</v>
      </c>
      <c r="U19" s="93" t="s">
        <v>538</v>
      </c>
      <c r="V19" s="93" t="s">
        <v>155</v>
      </c>
      <c r="W19" s="93" t="s">
        <v>555</v>
      </c>
      <c r="X19" s="104">
        <v>5</v>
      </c>
      <c r="Y19" s="104">
        <v>7</v>
      </c>
      <c r="Z19" s="104">
        <v>7</v>
      </c>
      <c r="AA19" s="104">
        <v>4</v>
      </c>
      <c r="AB19" s="104">
        <v>4</v>
      </c>
      <c r="AC19" s="104">
        <v>3</v>
      </c>
      <c r="AD19" s="104">
        <v>1</v>
      </c>
      <c r="AE19" s="104">
        <v>2</v>
      </c>
      <c r="AF19" s="104">
        <v>7</v>
      </c>
      <c r="AG19" s="104">
        <v>4</v>
      </c>
      <c r="AH19" s="104">
        <v>5</v>
      </c>
      <c r="AI19" s="104">
        <v>4</v>
      </c>
      <c r="AJ19" s="104">
        <v>7</v>
      </c>
      <c r="AK19" s="104">
        <v>3</v>
      </c>
      <c r="AL19" s="104">
        <v>6</v>
      </c>
      <c r="AM19" s="104">
        <v>3</v>
      </c>
      <c r="AN19" s="104">
        <v>7</v>
      </c>
      <c r="AO19" s="104">
        <v>4</v>
      </c>
      <c r="AP19" s="104">
        <v>2</v>
      </c>
      <c r="AQ19" s="104">
        <v>5</v>
      </c>
    </row>
    <row r="20" spans="1:43" x14ac:dyDescent="0.35">
      <c r="A20" s="52">
        <v>17</v>
      </c>
      <c r="B20" s="52" t="s">
        <v>699</v>
      </c>
      <c r="C20" s="93"/>
      <c r="D20" s="101" t="s">
        <v>539</v>
      </c>
      <c r="E20" s="101" t="s">
        <v>523</v>
      </c>
      <c r="F20" s="101" t="s">
        <v>524</v>
      </c>
      <c r="G20" s="101" t="s">
        <v>550</v>
      </c>
      <c r="H20" s="101" t="s">
        <v>566</v>
      </c>
      <c r="I20" s="101" t="s">
        <v>527</v>
      </c>
      <c r="J20" s="101" t="s">
        <v>140</v>
      </c>
      <c r="K20" s="101" t="s">
        <v>529</v>
      </c>
      <c r="L20" s="101" t="s">
        <v>152</v>
      </c>
      <c r="M20" s="101" t="s">
        <v>553</v>
      </c>
      <c r="N20" s="101" t="s">
        <v>532</v>
      </c>
      <c r="O20" s="101" t="s">
        <v>571</v>
      </c>
      <c r="P20" s="101" t="s">
        <v>534</v>
      </c>
      <c r="Q20" s="101" t="s">
        <v>544</v>
      </c>
      <c r="R20" s="101" t="s">
        <v>545</v>
      </c>
      <c r="S20" s="101" t="s">
        <v>536</v>
      </c>
      <c r="T20" s="101" t="s">
        <v>537</v>
      </c>
      <c r="U20" s="101" t="s">
        <v>548</v>
      </c>
      <c r="V20" s="101" t="s">
        <v>155</v>
      </c>
      <c r="W20" s="101" t="s">
        <v>555</v>
      </c>
      <c r="X20" s="104">
        <v>6</v>
      </c>
      <c r="Y20" s="104">
        <v>6</v>
      </c>
      <c r="Z20" s="104">
        <v>7</v>
      </c>
      <c r="AA20" s="104">
        <v>4</v>
      </c>
      <c r="AB20" s="104">
        <v>5</v>
      </c>
      <c r="AC20" s="104">
        <v>3</v>
      </c>
      <c r="AD20" s="104">
        <v>1</v>
      </c>
      <c r="AE20" s="104">
        <v>4</v>
      </c>
      <c r="AF20" s="104">
        <v>2</v>
      </c>
      <c r="AG20" s="104">
        <v>4</v>
      </c>
      <c r="AH20" s="104">
        <v>9</v>
      </c>
      <c r="AI20" s="104">
        <v>4</v>
      </c>
      <c r="AJ20" s="104">
        <v>4</v>
      </c>
      <c r="AK20" s="104">
        <v>4</v>
      </c>
      <c r="AL20" s="104">
        <v>4</v>
      </c>
      <c r="AM20" s="104">
        <v>6</v>
      </c>
      <c r="AN20" s="104">
        <v>6</v>
      </c>
      <c r="AO20" s="104">
        <v>3</v>
      </c>
      <c r="AP20" s="104">
        <v>3</v>
      </c>
      <c r="AQ20" s="104">
        <v>5</v>
      </c>
    </row>
    <row r="21" spans="1:43" x14ac:dyDescent="0.35">
      <c r="A21" s="52">
        <v>18</v>
      </c>
      <c r="B21" s="52" t="s">
        <v>1037</v>
      </c>
      <c r="C21" s="93"/>
      <c r="D21" s="93" t="s">
        <v>539</v>
      </c>
      <c r="E21" s="93" t="s">
        <v>523</v>
      </c>
      <c r="F21" s="93" t="s">
        <v>524</v>
      </c>
      <c r="G21" s="93" t="s">
        <v>556</v>
      </c>
      <c r="H21" s="93" t="s">
        <v>551</v>
      </c>
      <c r="I21" s="93" t="s">
        <v>552</v>
      </c>
      <c r="J21" s="93" t="s">
        <v>140</v>
      </c>
      <c r="K21" s="93" t="s">
        <v>529</v>
      </c>
      <c r="L21" s="93" t="s">
        <v>152</v>
      </c>
      <c r="M21" s="93" t="s">
        <v>553</v>
      </c>
      <c r="N21" s="93" t="s">
        <v>532</v>
      </c>
      <c r="O21" s="93" t="s">
        <v>554</v>
      </c>
      <c r="P21" s="93" t="s">
        <v>543</v>
      </c>
      <c r="Q21" s="93" t="s">
        <v>544</v>
      </c>
      <c r="R21" s="93" t="s">
        <v>567</v>
      </c>
      <c r="S21" s="93" t="s">
        <v>536</v>
      </c>
      <c r="T21" s="93" t="s">
        <v>537</v>
      </c>
      <c r="U21" s="93" t="s">
        <v>538</v>
      </c>
      <c r="V21" s="93" t="s">
        <v>155</v>
      </c>
      <c r="W21" s="93" t="s">
        <v>555</v>
      </c>
      <c r="X21" s="104">
        <v>6</v>
      </c>
      <c r="Y21" s="104">
        <v>5</v>
      </c>
      <c r="Z21" s="104">
        <v>6</v>
      </c>
      <c r="AA21" s="104">
        <v>2</v>
      </c>
      <c r="AB21" s="104">
        <v>6</v>
      </c>
      <c r="AC21" s="104">
        <v>4</v>
      </c>
      <c r="AD21" s="104">
        <v>1</v>
      </c>
      <c r="AE21" s="104">
        <v>3</v>
      </c>
      <c r="AF21" s="104">
        <v>1</v>
      </c>
      <c r="AG21" s="104">
        <v>4</v>
      </c>
      <c r="AH21" s="104">
        <v>8</v>
      </c>
      <c r="AI21" s="104">
        <v>3</v>
      </c>
      <c r="AJ21" s="104">
        <v>5</v>
      </c>
      <c r="AK21" s="104">
        <v>5</v>
      </c>
      <c r="AL21" s="104">
        <v>6</v>
      </c>
      <c r="AM21" s="104">
        <v>7</v>
      </c>
      <c r="AN21" s="104">
        <v>6</v>
      </c>
      <c r="AO21" s="104">
        <v>4</v>
      </c>
      <c r="AP21" s="104">
        <v>3</v>
      </c>
      <c r="AQ21" s="104">
        <v>5</v>
      </c>
    </row>
    <row r="22" spans="1:43" x14ac:dyDescent="0.35">
      <c r="A22" s="52">
        <v>19</v>
      </c>
      <c r="B22" s="52" t="s">
        <v>1079</v>
      </c>
      <c r="C22" s="93"/>
      <c r="D22" s="93" t="s">
        <v>539</v>
      </c>
      <c r="E22" s="93" t="s">
        <v>540</v>
      </c>
      <c r="F22" s="93" t="s">
        <v>524</v>
      </c>
      <c r="G22" s="93" t="s">
        <v>138</v>
      </c>
      <c r="H22" s="93" t="s">
        <v>561</v>
      </c>
      <c r="I22" s="93" t="s">
        <v>527</v>
      </c>
      <c r="J22" s="93" t="s">
        <v>558</v>
      </c>
      <c r="K22" s="93" t="s">
        <v>529</v>
      </c>
      <c r="L22" s="93" t="s">
        <v>152</v>
      </c>
      <c r="M22" s="93" t="s">
        <v>531</v>
      </c>
      <c r="N22" s="93" t="s">
        <v>562</v>
      </c>
      <c r="O22" s="93" t="s">
        <v>150</v>
      </c>
      <c r="P22" s="93" t="s">
        <v>563</v>
      </c>
      <c r="Q22" s="93" t="s">
        <v>564</v>
      </c>
      <c r="R22" s="93" t="s">
        <v>567</v>
      </c>
      <c r="S22" s="93" t="s">
        <v>153</v>
      </c>
      <c r="T22" s="93" t="s">
        <v>537</v>
      </c>
      <c r="U22" s="93" t="s">
        <v>548</v>
      </c>
      <c r="V22" s="93" t="s">
        <v>81</v>
      </c>
      <c r="W22" s="93" t="s">
        <v>574</v>
      </c>
      <c r="X22" s="104">
        <v>7</v>
      </c>
      <c r="Y22" s="104">
        <v>4</v>
      </c>
      <c r="Z22" s="104">
        <v>6</v>
      </c>
      <c r="AA22" s="104">
        <v>0</v>
      </c>
      <c r="AB22" s="104">
        <v>4</v>
      </c>
      <c r="AC22" s="104">
        <v>2</v>
      </c>
      <c r="AD22" s="104">
        <v>5</v>
      </c>
      <c r="AE22" s="104">
        <v>5</v>
      </c>
      <c r="AF22" s="104">
        <v>2</v>
      </c>
      <c r="AG22" s="104">
        <v>7</v>
      </c>
      <c r="AH22" s="104">
        <v>3</v>
      </c>
      <c r="AI22" s="104">
        <v>1</v>
      </c>
      <c r="AJ22" s="104">
        <v>7</v>
      </c>
      <c r="AK22" s="104">
        <v>8</v>
      </c>
      <c r="AL22" s="104">
        <v>7</v>
      </c>
      <c r="AM22" s="104">
        <v>1</v>
      </c>
      <c r="AN22" s="104">
        <v>4</v>
      </c>
      <c r="AO22" s="104">
        <v>3</v>
      </c>
      <c r="AP22" s="104">
        <v>5</v>
      </c>
      <c r="AQ22" s="104">
        <v>9</v>
      </c>
    </row>
    <row r="23" spans="1:43" x14ac:dyDescent="0.35">
      <c r="A23" s="52">
        <v>20</v>
      </c>
      <c r="B23" s="52" t="s">
        <v>1035</v>
      </c>
      <c r="C23" s="93"/>
      <c r="D23" s="93" t="s">
        <v>522</v>
      </c>
      <c r="E23" s="93" t="s">
        <v>540</v>
      </c>
      <c r="F23" s="93" t="s">
        <v>148</v>
      </c>
      <c r="G23" s="93" t="s">
        <v>525</v>
      </c>
      <c r="H23" s="93" t="s">
        <v>561</v>
      </c>
      <c r="I23" s="93" t="s">
        <v>541</v>
      </c>
      <c r="J23" s="93" t="s">
        <v>140</v>
      </c>
      <c r="K23" s="93" t="s">
        <v>529</v>
      </c>
      <c r="L23" s="93" t="s">
        <v>542</v>
      </c>
      <c r="M23" s="93" t="s">
        <v>553</v>
      </c>
      <c r="N23" s="93" t="s">
        <v>532</v>
      </c>
      <c r="O23" s="93" t="s">
        <v>554</v>
      </c>
      <c r="P23" s="93" t="s">
        <v>534</v>
      </c>
      <c r="Q23" s="93" t="s">
        <v>535</v>
      </c>
      <c r="R23" s="93" t="s">
        <v>545</v>
      </c>
      <c r="S23" s="93" t="s">
        <v>536</v>
      </c>
      <c r="T23" s="93" t="s">
        <v>537</v>
      </c>
      <c r="U23" s="93" t="s">
        <v>576</v>
      </c>
      <c r="V23" s="93" t="s">
        <v>81</v>
      </c>
      <c r="W23" s="93" t="s">
        <v>555</v>
      </c>
      <c r="X23" s="104">
        <v>4</v>
      </c>
      <c r="Y23" s="104">
        <v>4</v>
      </c>
      <c r="Z23" s="104">
        <v>3</v>
      </c>
      <c r="AA23" s="104">
        <v>6</v>
      </c>
      <c r="AB23" s="104">
        <v>4</v>
      </c>
      <c r="AC23" s="104">
        <v>6</v>
      </c>
      <c r="AD23" s="104">
        <v>2</v>
      </c>
      <c r="AE23" s="104">
        <v>5</v>
      </c>
      <c r="AF23" s="104">
        <v>5</v>
      </c>
      <c r="AG23" s="104">
        <v>4</v>
      </c>
      <c r="AH23" s="104">
        <v>8</v>
      </c>
      <c r="AI23" s="104">
        <v>3</v>
      </c>
      <c r="AJ23" s="104">
        <v>4</v>
      </c>
      <c r="AK23" s="104">
        <v>2</v>
      </c>
      <c r="AL23" s="104">
        <v>4</v>
      </c>
      <c r="AM23" s="104">
        <v>6</v>
      </c>
      <c r="AN23" s="104">
        <v>4</v>
      </c>
      <c r="AO23" s="104">
        <v>6</v>
      </c>
      <c r="AP23" s="104">
        <v>5</v>
      </c>
      <c r="AQ23" s="104">
        <v>5</v>
      </c>
    </row>
    <row r="24" spans="1:43" x14ac:dyDescent="0.35">
      <c r="A24" s="52">
        <v>21</v>
      </c>
      <c r="B24" s="52" t="s">
        <v>1144</v>
      </c>
      <c r="C24" s="93"/>
      <c r="D24" s="93" t="s">
        <v>147</v>
      </c>
      <c r="E24" s="93" t="s">
        <v>523</v>
      </c>
      <c r="F24" s="93" t="s">
        <v>148</v>
      </c>
      <c r="G24" s="93" t="s">
        <v>556</v>
      </c>
      <c r="H24" s="93" t="s">
        <v>526</v>
      </c>
      <c r="I24" s="93" t="s">
        <v>552</v>
      </c>
      <c r="J24" s="93" t="s">
        <v>140</v>
      </c>
      <c r="K24" s="93" t="s">
        <v>529</v>
      </c>
      <c r="L24" s="93" t="s">
        <v>530</v>
      </c>
      <c r="M24" s="93" t="s">
        <v>553</v>
      </c>
      <c r="N24" s="93" t="s">
        <v>532</v>
      </c>
      <c r="O24" s="93" t="s">
        <v>571</v>
      </c>
      <c r="P24" s="93" t="s">
        <v>543</v>
      </c>
      <c r="Q24" s="93" t="s">
        <v>535</v>
      </c>
      <c r="R24" s="93" t="s">
        <v>143</v>
      </c>
      <c r="S24" s="93" t="s">
        <v>536</v>
      </c>
      <c r="T24" s="93" t="s">
        <v>537</v>
      </c>
      <c r="U24" s="93" t="s">
        <v>538</v>
      </c>
      <c r="V24" s="93" t="s">
        <v>155</v>
      </c>
      <c r="W24" s="93" t="s">
        <v>549</v>
      </c>
      <c r="X24" s="104">
        <v>2</v>
      </c>
      <c r="Y24" s="104">
        <v>5</v>
      </c>
      <c r="Z24" s="104">
        <v>2</v>
      </c>
      <c r="AA24" s="104">
        <v>3</v>
      </c>
      <c r="AB24" s="104">
        <v>3</v>
      </c>
      <c r="AC24" s="104">
        <v>4</v>
      </c>
      <c r="AD24" s="104">
        <v>3</v>
      </c>
      <c r="AE24" s="104">
        <v>6</v>
      </c>
      <c r="AF24" s="104">
        <v>8</v>
      </c>
      <c r="AG24" s="104">
        <v>5</v>
      </c>
      <c r="AH24" s="104">
        <v>9</v>
      </c>
      <c r="AI24" s="104">
        <v>4</v>
      </c>
      <c r="AJ24" s="104">
        <v>5</v>
      </c>
      <c r="AK24" s="104">
        <v>2</v>
      </c>
      <c r="AL24" s="104">
        <v>2</v>
      </c>
      <c r="AM24" s="104">
        <v>7</v>
      </c>
      <c r="AN24" s="104">
        <v>6</v>
      </c>
      <c r="AO24" s="104">
        <v>5</v>
      </c>
      <c r="AP24" s="104">
        <v>2</v>
      </c>
      <c r="AQ24" s="104">
        <v>7</v>
      </c>
    </row>
    <row r="25" spans="1:43" x14ac:dyDescent="0.35">
      <c r="A25" s="52">
        <v>22</v>
      </c>
      <c r="B25" s="52" t="s">
        <v>1102</v>
      </c>
      <c r="C25" s="93"/>
      <c r="D25" s="93" t="s">
        <v>522</v>
      </c>
      <c r="E25" s="93" t="s">
        <v>523</v>
      </c>
      <c r="F25" s="93" t="s">
        <v>573</v>
      </c>
      <c r="G25" s="93" t="s">
        <v>556</v>
      </c>
      <c r="H25" s="93" t="s">
        <v>561</v>
      </c>
      <c r="I25" s="93" t="s">
        <v>541</v>
      </c>
      <c r="J25" s="93" t="s">
        <v>140</v>
      </c>
      <c r="K25" s="93" t="s">
        <v>529</v>
      </c>
      <c r="L25" s="93" t="s">
        <v>542</v>
      </c>
      <c r="M25" s="93" t="s">
        <v>553</v>
      </c>
      <c r="N25" s="93" t="s">
        <v>532</v>
      </c>
      <c r="O25" s="93" t="s">
        <v>554</v>
      </c>
      <c r="P25" s="93" t="s">
        <v>145</v>
      </c>
      <c r="Q25" s="93" t="s">
        <v>544</v>
      </c>
      <c r="R25" s="93" t="s">
        <v>567</v>
      </c>
      <c r="S25" s="93" t="s">
        <v>546</v>
      </c>
      <c r="T25" s="93" t="s">
        <v>537</v>
      </c>
      <c r="U25" s="93" t="s">
        <v>538</v>
      </c>
      <c r="V25" s="93" t="s">
        <v>155</v>
      </c>
      <c r="W25" s="93" t="s">
        <v>555</v>
      </c>
      <c r="X25" s="104">
        <v>5</v>
      </c>
      <c r="Y25" s="104">
        <v>7</v>
      </c>
      <c r="Z25" s="104">
        <v>8</v>
      </c>
      <c r="AA25" s="104">
        <v>2</v>
      </c>
      <c r="AB25" s="104">
        <v>4</v>
      </c>
      <c r="AC25" s="104">
        <v>7</v>
      </c>
      <c r="AD25" s="104">
        <v>2</v>
      </c>
      <c r="AE25" s="104">
        <v>4</v>
      </c>
      <c r="AF25" s="104">
        <v>4</v>
      </c>
      <c r="AG25" s="104">
        <v>5</v>
      </c>
      <c r="AH25" s="104">
        <v>5</v>
      </c>
      <c r="AI25" s="104">
        <v>2</v>
      </c>
      <c r="AJ25" s="104">
        <v>1</v>
      </c>
      <c r="AK25" s="104">
        <v>6</v>
      </c>
      <c r="AL25" s="104">
        <v>7</v>
      </c>
      <c r="AM25" s="104">
        <v>4</v>
      </c>
      <c r="AN25" s="104">
        <v>4</v>
      </c>
      <c r="AO25" s="104">
        <v>5</v>
      </c>
      <c r="AP25" s="104">
        <v>3</v>
      </c>
      <c r="AQ25" s="104">
        <v>5</v>
      </c>
    </row>
    <row r="26" spans="1:43" x14ac:dyDescent="0.35">
      <c r="A26" s="52">
        <v>23</v>
      </c>
      <c r="B26" s="52" t="s">
        <v>669</v>
      </c>
      <c r="C26" s="93"/>
      <c r="D26" s="101" t="s">
        <v>539</v>
      </c>
      <c r="E26" s="101" t="s">
        <v>540</v>
      </c>
      <c r="F26" s="101" t="s">
        <v>148</v>
      </c>
      <c r="G26" s="101" t="s">
        <v>570</v>
      </c>
      <c r="H26" s="101" t="s">
        <v>551</v>
      </c>
      <c r="I26" s="101" t="s">
        <v>572</v>
      </c>
      <c r="J26" s="101" t="s">
        <v>558</v>
      </c>
      <c r="K26" s="101" t="s">
        <v>529</v>
      </c>
      <c r="L26" s="101" t="s">
        <v>542</v>
      </c>
      <c r="M26" s="101" t="s">
        <v>151</v>
      </c>
      <c r="N26" s="101" t="s">
        <v>562</v>
      </c>
      <c r="O26" s="101" t="s">
        <v>571</v>
      </c>
      <c r="P26" s="101" t="s">
        <v>534</v>
      </c>
      <c r="Q26" s="101" t="s">
        <v>564</v>
      </c>
      <c r="R26" s="101" t="s">
        <v>545</v>
      </c>
      <c r="S26" s="101" t="s">
        <v>536</v>
      </c>
      <c r="T26" s="101" t="s">
        <v>146</v>
      </c>
      <c r="U26" s="101" t="s">
        <v>548</v>
      </c>
      <c r="V26" s="101" t="s">
        <v>155</v>
      </c>
      <c r="W26" s="101" t="s">
        <v>549</v>
      </c>
      <c r="X26" s="104">
        <v>7</v>
      </c>
      <c r="Y26" s="104">
        <v>4</v>
      </c>
      <c r="Z26" s="104">
        <v>4</v>
      </c>
      <c r="AA26" s="104">
        <v>5</v>
      </c>
      <c r="AB26" s="104">
        <v>7</v>
      </c>
      <c r="AC26" s="104">
        <v>8</v>
      </c>
      <c r="AD26" s="104">
        <v>4</v>
      </c>
      <c r="AE26" s="104">
        <v>4</v>
      </c>
      <c r="AF26" s="104">
        <v>3</v>
      </c>
      <c r="AG26" s="104">
        <v>2</v>
      </c>
      <c r="AH26" s="104">
        <v>4</v>
      </c>
      <c r="AI26" s="104">
        <v>4</v>
      </c>
      <c r="AJ26" s="104">
        <v>3</v>
      </c>
      <c r="AK26" s="104">
        <v>7</v>
      </c>
      <c r="AL26" s="104">
        <v>5</v>
      </c>
      <c r="AM26" s="104">
        <v>6</v>
      </c>
      <c r="AN26" s="104">
        <v>1</v>
      </c>
      <c r="AO26" s="104">
        <v>2</v>
      </c>
      <c r="AP26" s="104">
        <v>3</v>
      </c>
      <c r="AQ26" s="104">
        <v>7</v>
      </c>
    </row>
    <row r="27" spans="1:43" x14ac:dyDescent="0.35">
      <c r="A27" s="52">
        <v>24</v>
      </c>
      <c r="B27" s="52" t="s">
        <v>1071</v>
      </c>
      <c r="C27" s="93"/>
      <c r="D27" s="93" t="s">
        <v>539</v>
      </c>
      <c r="E27" s="93" t="s">
        <v>523</v>
      </c>
      <c r="F27" s="93" t="s">
        <v>524</v>
      </c>
      <c r="G27" s="93" t="s">
        <v>525</v>
      </c>
      <c r="H27" s="93" t="s">
        <v>566</v>
      </c>
      <c r="I27" s="93" t="s">
        <v>552</v>
      </c>
      <c r="J27" s="93" t="s">
        <v>528</v>
      </c>
      <c r="K27" s="93" t="s">
        <v>141</v>
      </c>
      <c r="L27" s="93" t="s">
        <v>542</v>
      </c>
      <c r="M27" s="93" t="s">
        <v>531</v>
      </c>
      <c r="N27" s="93" t="s">
        <v>532</v>
      </c>
      <c r="O27" s="93" t="s">
        <v>533</v>
      </c>
      <c r="P27" s="93" t="s">
        <v>145</v>
      </c>
      <c r="Q27" s="93" t="s">
        <v>544</v>
      </c>
      <c r="R27" s="93" t="s">
        <v>143</v>
      </c>
      <c r="S27" s="93" t="s">
        <v>565</v>
      </c>
      <c r="T27" s="93" t="s">
        <v>547</v>
      </c>
      <c r="U27" s="93" t="s">
        <v>548</v>
      </c>
      <c r="V27" s="93" t="s">
        <v>155</v>
      </c>
      <c r="W27" s="93" t="s">
        <v>549</v>
      </c>
      <c r="X27" s="104">
        <v>6</v>
      </c>
      <c r="Y27" s="104">
        <v>6</v>
      </c>
      <c r="Z27" s="104">
        <v>6</v>
      </c>
      <c r="AA27" s="104">
        <v>6</v>
      </c>
      <c r="AB27" s="104">
        <v>5</v>
      </c>
      <c r="AC27" s="104">
        <v>4</v>
      </c>
      <c r="AD27" s="104">
        <v>9</v>
      </c>
      <c r="AE27" s="104">
        <v>2</v>
      </c>
      <c r="AF27" s="104">
        <v>4</v>
      </c>
      <c r="AG27" s="104">
        <v>7</v>
      </c>
      <c r="AH27" s="104">
        <v>6</v>
      </c>
      <c r="AI27" s="104">
        <v>5</v>
      </c>
      <c r="AJ27" s="104">
        <v>1</v>
      </c>
      <c r="AK27" s="104">
        <v>5</v>
      </c>
      <c r="AL27" s="104">
        <v>3</v>
      </c>
      <c r="AM27" s="104">
        <v>3</v>
      </c>
      <c r="AN27" s="104">
        <v>3</v>
      </c>
      <c r="AO27" s="104">
        <v>2</v>
      </c>
      <c r="AP27" s="104">
        <v>1</v>
      </c>
      <c r="AQ27" s="104">
        <v>6</v>
      </c>
    </row>
    <row r="28" spans="1:43" x14ac:dyDescent="0.35">
      <c r="A28" s="52">
        <v>25</v>
      </c>
      <c r="B28" s="52" t="s">
        <v>708</v>
      </c>
      <c r="C28" s="93"/>
      <c r="D28" s="101" t="s">
        <v>522</v>
      </c>
      <c r="E28" s="101" t="s">
        <v>540</v>
      </c>
      <c r="F28" s="101" t="s">
        <v>524</v>
      </c>
      <c r="G28" s="101" t="s">
        <v>556</v>
      </c>
      <c r="H28" s="101" t="s">
        <v>149</v>
      </c>
      <c r="I28" s="101" t="s">
        <v>552</v>
      </c>
      <c r="J28" s="101" t="s">
        <v>140</v>
      </c>
      <c r="K28" s="101" t="s">
        <v>529</v>
      </c>
      <c r="L28" s="101" t="s">
        <v>530</v>
      </c>
      <c r="M28" s="101" t="s">
        <v>553</v>
      </c>
      <c r="N28" s="101" t="s">
        <v>532</v>
      </c>
      <c r="O28" s="101" t="s">
        <v>571</v>
      </c>
      <c r="P28" s="101" t="s">
        <v>534</v>
      </c>
      <c r="Q28" s="101" t="s">
        <v>544</v>
      </c>
      <c r="R28" s="101" t="s">
        <v>577</v>
      </c>
      <c r="S28" s="101" t="s">
        <v>546</v>
      </c>
      <c r="T28" s="101" t="s">
        <v>537</v>
      </c>
      <c r="U28" s="101" t="s">
        <v>548</v>
      </c>
      <c r="V28" s="101" t="s">
        <v>81</v>
      </c>
      <c r="W28" s="101" t="s">
        <v>574</v>
      </c>
      <c r="X28" s="104">
        <v>4</v>
      </c>
      <c r="Y28" s="104">
        <v>4</v>
      </c>
      <c r="Z28" s="104">
        <v>5</v>
      </c>
      <c r="AA28" s="104">
        <v>3</v>
      </c>
      <c r="AB28" s="104">
        <v>1</v>
      </c>
      <c r="AC28" s="104">
        <v>4</v>
      </c>
      <c r="AD28" s="104">
        <v>3</v>
      </c>
      <c r="AE28" s="104">
        <v>4</v>
      </c>
      <c r="AF28" s="104">
        <v>6</v>
      </c>
      <c r="AG28" s="104">
        <v>4</v>
      </c>
      <c r="AH28" s="104">
        <v>5</v>
      </c>
      <c r="AI28" s="104">
        <v>4</v>
      </c>
      <c r="AJ28" s="104">
        <v>4</v>
      </c>
      <c r="AK28" s="104">
        <v>6</v>
      </c>
      <c r="AL28" s="104">
        <v>8</v>
      </c>
      <c r="AM28" s="104">
        <v>5</v>
      </c>
      <c r="AN28" s="104">
        <v>4</v>
      </c>
      <c r="AO28" s="104">
        <v>3</v>
      </c>
      <c r="AP28" s="104">
        <v>5</v>
      </c>
      <c r="AQ28" s="104">
        <v>8</v>
      </c>
    </row>
    <row r="29" spans="1:43" x14ac:dyDescent="0.35">
      <c r="A29" s="52">
        <v>26</v>
      </c>
      <c r="B29" s="52" t="s">
        <v>664</v>
      </c>
      <c r="C29" s="93"/>
      <c r="D29" s="101" t="s">
        <v>522</v>
      </c>
      <c r="E29" s="101" t="s">
        <v>569</v>
      </c>
      <c r="F29" s="101" t="s">
        <v>524</v>
      </c>
      <c r="G29" s="101" t="s">
        <v>138</v>
      </c>
      <c r="H29" s="101" t="s">
        <v>526</v>
      </c>
      <c r="I29" s="101" t="s">
        <v>527</v>
      </c>
      <c r="J29" s="101" t="s">
        <v>558</v>
      </c>
      <c r="K29" s="101" t="s">
        <v>529</v>
      </c>
      <c r="L29" s="101" t="s">
        <v>530</v>
      </c>
      <c r="M29" s="101" t="s">
        <v>531</v>
      </c>
      <c r="N29" s="101" t="s">
        <v>142</v>
      </c>
      <c r="O29" s="101" t="s">
        <v>554</v>
      </c>
      <c r="P29" s="101" t="s">
        <v>534</v>
      </c>
      <c r="Q29" s="101" t="s">
        <v>544</v>
      </c>
      <c r="R29" s="101" t="s">
        <v>567</v>
      </c>
      <c r="S29" s="101" t="s">
        <v>546</v>
      </c>
      <c r="T29" s="101" t="s">
        <v>537</v>
      </c>
      <c r="U29" s="101" t="s">
        <v>154</v>
      </c>
      <c r="V29" s="101" t="s">
        <v>81</v>
      </c>
      <c r="W29" s="101" t="s">
        <v>549</v>
      </c>
      <c r="X29" s="104">
        <v>5</v>
      </c>
      <c r="Y29" s="104">
        <v>8</v>
      </c>
      <c r="Z29" s="104">
        <v>5</v>
      </c>
      <c r="AA29" s="104">
        <v>1</v>
      </c>
      <c r="AB29" s="104">
        <v>2</v>
      </c>
      <c r="AC29" s="104">
        <v>3</v>
      </c>
      <c r="AD29" s="104">
        <v>5</v>
      </c>
      <c r="AE29" s="104">
        <v>4</v>
      </c>
      <c r="AF29" s="104">
        <v>6</v>
      </c>
      <c r="AG29" s="104">
        <v>8</v>
      </c>
      <c r="AH29" s="104">
        <v>1</v>
      </c>
      <c r="AI29" s="104">
        <v>2</v>
      </c>
      <c r="AJ29" s="104">
        <v>4</v>
      </c>
      <c r="AK29" s="104">
        <v>6</v>
      </c>
      <c r="AL29" s="104">
        <v>7</v>
      </c>
      <c r="AM29" s="104">
        <v>5</v>
      </c>
      <c r="AN29" s="104">
        <v>6</v>
      </c>
      <c r="AO29" s="104">
        <v>1</v>
      </c>
      <c r="AP29" s="104">
        <v>4</v>
      </c>
      <c r="AQ29" s="104">
        <v>7</v>
      </c>
    </row>
    <row r="30" spans="1:43" x14ac:dyDescent="0.35">
      <c r="A30" s="52">
        <v>27</v>
      </c>
      <c r="B30" s="52" t="s">
        <v>698</v>
      </c>
      <c r="C30" s="93"/>
      <c r="D30" s="101" t="s">
        <v>539</v>
      </c>
      <c r="E30" s="101" t="s">
        <v>540</v>
      </c>
      <c r="F30" s="101" t="s">
        <v>524</v>
      </c>
      <c r="G30" s="101" t="s">
        <v>550</v>
      </c>
      <c r="H30" s="101" t="s">
        <v>551</v>
      </c>
      <c r="I30" s="101" t="s">
        <v>552</v>
      </c>
      <c r="J30" s="101" t="s">
        <v>528</v>
      </c>
      <c r="K30" s="101" t="s">
        <v>529</v>
      </c>
      <c r="L30" s="101" t="s">
        <v>542</v>
      </c>
      <c r="M30" s="101" t="s">
        <v>553</v>
      </c>
      <c r="N30" s="101" t="s">
        <v>532</v>
      </c>
      <c r="O30" s="101" t="s">
        <v>554</v>
      </c>
      <c r="P30" s="101" t="s">
        <v>534</v>
      </c>
      <c r="Q30" s="101" t="s">
        <v>535</v>
      </c>
      <c r="R30" s="101" t="s">
        <v>143</v>
      </c>
      <c r="S30" s="101" t="s">
        <v>565</v>
      </c>
      <c r="T30" s="101" t="s">
        <v>557</v>
      </c>
      <c r="U30" s="101" t="s">
        <v>548</v>
      </c>
      <c r="V30" s="101" t="s">
        <v>81</v>
      </c>
      <c r="W30" s="101" t="s">
        <v>549</v>
      </c>
      <c r="X30" s="104">
        <v>7</v>
      </c>
      <c r="Y30" s="104">
        <v>4</v>
      </c>
      <c r="Z30" s="104">
        <v>5</v>
      </c>
      <c r="AA30" s="104">
        <v>4</v>
      </c>
      <c r="AB30" s="104">
        <v>6</v>
      </c>
      <c r="AC30" s="104">
        <v>4</v>
      </c>
      <c r="AD30" s="104">
        <v>7</v>
      </c>
      <c r="AE30" s="104">
        <v>4</v>
      </c>
      <c r="AF30" s="104">
        <v>3</v>
      </c>
      <c r="AG30" s="104">
        <v>5</v>
      </c>
      <c r="AH30" s="104">
        <v>6</v>
      </c>
      <c r="AI30" s="104">
        <v>3</v>
      </c>
      <c r="AJ30" s="104">
        <v>4</v>
      </c>
      <c r="AK30" s="104">
        <v>2</v>
      </c>
      <c r="AL30" s="104">
        <v>3</v>
      </c>
      <c r="AM30" s="104">
        <v>3</v>
      </c>
      <c r="AN30" s="104">
        <v>7</v>
      </c>
      <c r="AO30" s="104">
        <v>2</v>
      </c>
      <c r="AP30" s="104">
        <v>4</v>
      </c>
      <c r="AQ30" s="104">
        <v>7</v>
      </c>
    </row>
    <row r="31" spans="1:43" x14ac:dyDescent="0.35">
      <c r="A31" s="52">
        <v>28</v>
      </c>
      <c r="B31" s="52" t="s">
        <v>655</v>
      </c>
      <c r="C31" s="93"/>
      <c r="D31" s="101" t="s">
        <v>522</v>
      </c>
      <c r="E31" s="101" t="s">
        <v>540</v>
      </c>
      <c r="F31" s="101" t="s">
        <v>148</v>
      </c>
      <c r="G31" s="101" t="s">
        <v>570</v>
      </c>
      <c r="H31" s="101" t="s">
        <v>551</v>
      </c>
      <c r="I31" s="101" t="s">
        <v>552</v>
      </c>
      <c r="J31" s="101" t="s">
        <v>140</v>
      </c>
      <c r="K31" s="101" t="s">
        <v>529</v>
      </c>
      <c r="L31" s="101" t="s">
        <v>530</v>
      </c>
      <c r="M31" s="101" t="s">
        <v>553</v>
      </c>
      <c r="N31" s="101" t="s">
        <v>532</v>
      </c>
      <c r="O31" s="101" t="s">
        <v>571</v>
      </c>
      <c r="P31" s="101" t="s">
        <v>145</v>
      </c>
      <c r="Q31" s="101" t="s">
        <v>544</v>
      </c>
      <c r="R31" s="101" t="s">
        <v>545</v>
      </c>
      <c r="S31" s="101" t="s">
        <v>536</v>
      </c>
      <c r="T31" s="101" t="s">
        <v>537</v>
      </c>
      <c r="U31" s="101" t="s">
        <v>548</v>
      </c>
      <c r="V31" s="101" t="s">
        <v>155</v>
      </c>
      <c r="W31" s="101" t="s">
        <v>555</v>
      </c>
      <c r="X31" s="104">
        <v>3</v>
      </c>
      <c r="Y31" s="104">
        <v>3</v>
      </c>
      <c r="Z31" s="104">
        <v>3</v>
      </c>
      <c r="AA31" s="104">
        <v>5</v>
      </c>
      <c r="AB31" s="104">
        <v>7</v>
      </c>
      <c r="AC31" s="104">
        <v>4</v>
      </c>
      <c r="AD31" s="104">
        <v>3</v>
      </c>
      <c r="AE31" s="104">
        <v>6</v>
      </c>
      <c r="AF31" s="104">
        <v>7</v>
      </c>
      <c r="AG31" s="104">
        <v>5</v>
      </c>
      <c r="AH31" s="104">
        <v>7</v>
      </c>
      <c r="AI31" s="104">
        <v>4</v>
      </c>
      <c r="AJ31" s="104">
        <v>2</v>
      </c>
      <c r="AK31" s="104">
        <v>5</v>
      </c>
      <c r="AL31" s="104">
        <v>5</v>
      </c>
      <c r="AM31" s="104">
        <v>6</v>
      </c>
      <c r="AN31" s="104">
        <v>5</v>
      </c>
      <c r="AO31" s="104">
        <v>3</v>
      </c>
      <c r="AP31" s="104">
        <v>3</v>
      </c>
      <c r="AQ31" s="104">
        <v>4</v>
      </c>
    </row>
    <row r="32" spans="1:43" x14ac:dyDescent="0.35">
      <c r="A32" s="52">
        <v>29</v>
      </c>
      <c r="B32" s="52" t="s">
        <v>980</v>
      </c>
      <c r="C32" s="93"/>
      <c r="D32" s="93" t="s">
        <v>522</v>
      </c>
      <c r="E32" s="93" t="s">
        <v>523</v>
      </c>
      <c r="F32" s="93" t="s">
        <v>524</v>
      </c>
      <c r="G32" s="93" t="s">
        <v>550</v>
      </c>
      <c r="H32" s="93" t="s">
        <v>551</v>
      </c>
      <c r="I32" s="93" t="s">
        <v>552</v>
      </c>
      <c r="J32" s="93" t="s">
        <v>140</v>
      </c>
      <c r="K32" s="93" t="s">
        <v>529</v>
      </c>
      <c r="L32" s="93" t="s">
        <v>152</v>
      </c>
      <c r="M32" s="93" t="s">
        <v>553</v>
      </c>
      <c r="N32" s="93" t="s">
        <v>532</v>
      </c>
      <c r="O32" s="93" t="s">
        <v>571</v>
      </c>
      <c r="P32" s="93" t="s">
        <v>534</v>
      </c>
      <c r="Q32" s="93" t="s">
        <v>544</v>
      </c>
      <c r="R32" s="93" t="s">
        <v>545</v>
      </c>
      <c r="S32" s="93" t="s">
        <v>565</v>
      </c>
      <c r="T32" s="93" t="s">
        <v>547</v>
      </c>
      <c r="U32" s="93" t="s">
        <v>538</v>
      </c>
      <c r="V32" s="93" t="s">
        <v>155</v>
      </c>
      <c r="W32" s="93" t="s">
        <v>549</v>
      </c>
      <c r="X32" s="104">
        <v>5</v>
      </c>
      <c r="Y32" s="104">
        <v>7</v>
      </c>
      <c r="Z32" s="104">
        <v>7</v>
      </c>
      <c r="AA32" s="104">
        <v>4</v>
      </c>
      <c r="AB32" s="104">
        <v>7</v>
      </c>
      <c r="AC32" s="104">
        <v>5</v>
      </c>
      <c r="AD32" s="104">
        <v>3</v>
      </c>
      <c r="AE32" s="104">
        <v>4</v>
      </c>
      <c r="AF32" s="104">
        <v>2</v>
      </c>
      <c r="AG32" s="104">
        <v>5</v>
      </c>
      <c r="AH32" s="104">
        <v>7</v>
      </c>
      <c r="AI32" s="104">
        <v>4</v>
      </c>
      <c r="AJ32" s="104">
        <v>4</v>
      </c>
      <c r="AK32" s="104">
        <v>4</v>
      </c>
      <c r="AL32" s="104">
        <v>5</v>
      </c>
      <c r="AM32" s="104">
        <v>3</v>
      </c>
      <c r="AN32" s="104">
        <v>2</v>
      </c>
      <c r="AO32" s="104">
        <v>4</v>
      </c>
      <c r="AP32" s="104">
        <v>2</v>
      </c>
      <c r="AQ32" s="104">
        <v>6</v>
      </c>
    </row>
    <row r="33" spans="1:43" x14ac:dyDescent="0.35">
      <c r="A33" s="52">
        <v>30</v>
      </c>
      <c r="B33" s="52" t="s">
        <v>685</v>
      </c>
      <c r="C33" s="93"/>
      <c r="D33" s="101" t="s">
        <v>539</v>
      </c>
      <c r="E33" s="101" t="s">
        <v>523</v>
      </c>
      <c r="F33" s="101" t="s">
        <v>148</v>
      </c>
      <c r="G33" s="101" t="s">
        <v>556</v>
      </c>
      <c r="H33" s="101" t="s">
        <v>526</v>
      </c>
      <c r="I33" s="101" t="s">
        <v>527</v>
      </c>
      <c r="J33" s="101" t="s">
        <v>528</v>
      </c>
      <c r="K33" s="101" t="s">
        <v>529</v>
      </c>
      <c r="L33" s="101" t="s">
        <v>530</v>
      </c>
      <c r="M33" s="101" t="s">
        <v>151</v>
      </c>
      <c r="N33" s="101" t="s">
        <v>532</v>
      </c>
      <c r="O33" s="101" t="s">
        <v>533</v>
      </c>
      <c r="P33" s="101" t="s">
        <v>534</v>
      </c>
      <c r="Q33" s="101" t="s">
        <v>544</v>
      </c>
      <c r="R33" s="101" t="s">
        <v>567</v>
      </c>
      <c r="S33" s="101" t="s">
        <v>565</v>
      </c>
      <c r="T33" s="101" t="s">
        <v>547</v>
      </c>
      <c r="U33" s="101" t="s">
        <v>576</v>
      </c>
      <c r="V33" s="101" t="s">
        <v>155</v>
      </c>
      <c r="W33" s="101" t="s">
        <v>549</v>
      </c>
      <c r="X33" s="104">
        <v>6</v>
      </c>
      <c r="Y33" s="104">
        <v>5</v>
      </c>
      <c r="Z33" s="104">
        <v>4</v>
      </c>
      <c r="AA33" s="104">
        <v>3</v>
      </c>
      <c r="AB33" s="104">
        <v>3</v>
      </c>
      <c r="AC33" s="104">
        <v>2</v>
      </c>
      <c r="AD33" s="104">
        <v>8</v>
      </c>
      <c r="AE33" s="104">
        <v>3</v>
      </c>
      <c r="AF33" s="104">
        <v>6</v>
      </c>
      <c r="AG33" s="104">
        <v>2</v>
      </c>
      <c r="AH33" s="104">
        <v>5</v>
      </c>
      <c r="AI33" s="104">
        <v>5</v>
      </c>
      <c r="AJ33" s="104">
        <v>4</v>
      </c>
      <c r="AK33" s="104">
        <v>5</v>
      </c>
      <c r="AL33" s="104">
        <v>7</v>
      </c>
      <c r="AM33" s="104">
        <v>3</v>
      </c>
      <c r="AN33" s="104">
        <v>3</v>
      </c>
      <c r="AO33" s="104">
        <v>7</v>
      </c>
      <c r="AP33" s="104">
        <v>2</v>
      </c>
      <c r="AQ33" s="104">
        <v>7</v>
      </c>
    </row>
    <row r="34" spans="1:43" x14ac:dyDescent="0.35">
      <c r="A34" s="52">
        <v>31</v>
      </c>
      <c r="B34" s="52" t="s">
        <v>275</v>
      </c>
      <c r="C34" s="93"/>
      <c r="D34" s="101" t="s">
        <v>539</v>
      </c>
      <c r="E34" s="101" t="s">
        <v>523</v>
      </c>
      <c r="F34" s="101" t="s">
        <v>524</v>
      </c>
      <c r="G34" s="101" t="s">
        <v>570</v>
      </c>
      <c r="H34" s="101" t="s">
        <v>561</v>
      </c>
      <c r="I34" s="101" t="s">
        <v>552</v>
      </c>
      <c r="J34" s="101" t="s">
        <v>528</v>
      </c>
      <c r="K34" s="101" t="s">
        <v>141</v>
      </c>
      <c r="L34" s="101" t="s">
        <v>152</v>
      </c>
      <c r="M34" s="101" t="s">
        <v>553</v>
      </c>
      <c r="N34" s="101" t="s">
        <v>532</v>
      </c>
      <c r="O34" s="101" t="s">
        <v>571</v>
      </c>
      <c r="P34" s="101" t="s">
        <v>543</v>
      </c>
      <c r="Q34" s="101" t="s">
        <v>544</v>
      </c>
      <c r="R34" s="101" t="s">
        <v>567</v>
      </c>
      <c r="S34" s="101" t="s">
        <v>536</v>
      </c>
      <c r="T34" s="101" t="s">
        <v>146</v>
      </c>
      <c r="U34" s="101" t="s">
        <v>538</v>
      </c>
      <c r="V34" s="101" t="s">
        <v>81</v>
      </c>
      <c r="W34" s="101" t="s">
        <v>555</v>
      </c>
      <c r="X34" s="104">
        <v>6</v>
      </c>
      <c r="Y34" s="104">
        <v>5</v>
      </c>
      <c r="Z34" s="104">
        <v>5</v>
      </c>
      <c r="AA34" s="104">
        <v>5</v>
      </c>
      <c r="AB34" s="104">
        <v>4</v>
      </c>
      <c r="AC34" s="104">
        <v>4</v>
      </c>
      <c r="AD34" s="104">
        <v>7</v>
      </c>
      <c r="AE34" s="104">
        <v>1</v>
      </c>
      <c r="AF34" s="104">
        <v>2</v>
      </c>
      <c r="AG34" s="104">
        <v>5</v>
      </c>
      <c r="AH34" s="104">
        <v>8</v>
      </c>
      <c r="AI34" s="104">
        <v>4</v>
      </c>
      <c r="AJ34" s="104">
        <v>5</v>
      </c>
      <c r="AK34" s="104">
        <v>4</v>
      </c>
      <c r="AL34" s="104">
        <v>6</v>
      </c>
      <c r="AM34" s="104">
        <v>6</v>
      </c>
      <c r="AN34" s="104">
        <v>0</v>
      </c>
      <c r="AO34" s="104">
        <v>4</v>
      </c>
      <c r="AP34" s="104">
        <v>4</v>
      </c>
      <c r="AQ34" s="104">
        <v>5</v>
      </c>
    </row>
    <row r="35" spans="1:43" x14ac:dyDescent="0.35">
      <c r="A35" s="52">
        <v>32</v>
      </c>
      <c r="B35" s="52" t="s">
        <v>1105</v>
      </c>
      <c r="C35" s="93"/>
      <c r="D35" s="93" t="s">
        <v>522</v>
      </c>
      <c r="E35" s="93" t="s">
        <v>523</v>
      </c>
      <c r="F35" s="93" t="s">
        <v>524</v>
      </c>
      <c r="G35" s="93" t="s">
        <v>525</v>
      </c>
      <c r="H35" s="93" t="s">
        <v>551</v>
      </c>
      <c r="I35" s="93" t="s">
        <v>541</v>
      </c>
      <c r="J35" s="93" t="s">
        <v>558</v>
      </c>
      <c r="K35" s="93" t="s">
        <v>141</v>
      </c>
      <c r="L35" s="93" t="s">
        <v>530</v>
      </c>
      <c r="M35" s="93" t="s">
        <v>553</v>
      </c>
      <c r="N35" s="93" t="s">
        <v>142</v>
      </c>
      <c r="O35" s="93" t="s">
        <v>571</v>
      </c>
      <c r="P35" s="93" t="s">
        <v>145</v>
      </c>
      <c r="Q35" s="93" t="s">
        <v>535</v>
      </c>
      <c r="R35" s="93" t="s">
        <v>545</v>
      </c>
      <c r="S35" s="93" t="s">
        <v>568</v>
      </c>
      <c r="T35" s="93" t="s">
        <v>557</v>
      </c>
      <c r="U35" s="93" t="s">
        <v>548</v>
      </c>
      <c r="V35" s="93" t="s">
        <v>155</v>
      </c>
      <c r="W35" s="93" t="s">
        <v>156</v>
      </c>
      <c r="X35" s="104">
        <v>3</v>
      </c>
      <c r="Y35" s="104">
        <v>7</v>
      </c>
      <c r="Z35" s="104">
        <v>6</v>
      </c>
      <c r="AA35" s="104">
        <v>7</v>
      </c>
      <c r="AB35" s="104">
        <v>6</v>
      </c>
      <c r="AC35" s="104">
        <v>6</v>
      </c>
      <c r="AD35" s="104">
        <v>4</v>
      </c>
      <c r="AE35" s="104">
        <v>2</v>
      </c>
      <c r="AF35" s="104">
        <v>6</v>
      </c>
      <c r="AG35" s="104">
        <v>5</v>
      </c>
      <c r="AH35" s="104">
        <v>2</v>
      </c>
      <c r="AI35" s="104">
        <v>4</v>
      </c>
      <c r="AJ35" s="104">
        <v>2</v>
      </c>
      <c r="AK35" s="104">
        <v>3</v>
      </c>
      <c r="AL35" s="104">
        <v>5</v>
      </c>
      <c r="AM35" s="104">
        <v>8</v>
      </c>
      <c r="AN35" s="104">
        <v>7</v>
      </c>
      <c r="AO35" s="104">
        <v>2</v>
      </c>
      <c r="AP35" s="104">
        <v>2</v>
      </c>
      <c r="AQ35" s="104">
        <v>3</v>
      </c>
    </row>
    <row r="36" spans="1:43" x14ac:dyDescent="0.35">
      <c r="A36" s="52">
        <v>33</v>
      </c>
      <c r="B36" s="52" t="s">
        <v>323</v>
      </c>
      <c r="C36" s="93"/>
      <c r="D36" s="101" t="s">
        <v>578</v>
      </c>
      <c r="E36" s="101" t="s">
        <v>540</v>
      </c>
      <c r="F36" s="101" t="s">
        <v>148</v>
      </c>
      <c r="G36" s="101" t="s">
        <v>556</v>
      </c>
      <c r="H36" s="101" t="s">
        <v>551</v>
      </c>
      <c r="I36" s="101" t="s">
        <v>572</v>
      </c>
      <c r="J36" s="101" t="s">
        <v>140</v>
      </c>
      <c r="K36" s="101" t="s">
        <v>529</v>
      </c>
      <c r="L36" s="101" t="s">
        <v>542</v>
      </c>
      <c r="M36" s="101" t="s">
        <v>553</v>
      </c>
      <c r="N36" s="101" t="s">
        <v>532</v>
      </c>
      <c r="O36" s="101" t="s">
        <v>554</v>
      </c>
      <c r="P36" s="101" t="s">
        <v>563</v>
      </c>
      <c r="Q36" s="101" t="s">
        <v>544</v>
      </c>
      <c r="R36" s="101" t="s">
        <v>545</v>
      </c>
      <c r="S36" s="101" t="s">
        <v>546</v>
      </c>
      <c r="T36" s="101" t="s">
        <v>537</v>
      </c>
      <c r="U36" s="101" t="s">
        <v>538</v>
      </c>
      <c r="V36" s="101" t="s">
        <v>155</v>
      </c>
      <c r="W36" s="101" t="s">
        <v>549</v>
      </c>
      <c r="X36" s="104">
        <v>9</v>
      </c>
      <c r="Y36" s="104">
        <v>4</v>
      </c>
      <c r="Z36" s="104">
        <v>3</v>
      </c>
      <c r="AA36" s="104">
        <v>2</v>
      </c>
      <c r="AB36" s="104">
        <v>7</v>
      </c>
      <c r="AC36" s="104">
        <v>8</v>
      </c>
      <c r="AD36" s="104">
        <v>1</v>
      </c>
      <c r="AE36" s="104">
        <v>3</v>
      </c>
      <c r="AF36" s="104">
        <v>4</v>
      </c>
      <c r="AG36" s="104">
        <v>3</v>
      </c>
      <c r="AH36" s="104">
        <v>7</v>
      </c>
      <c r="AI36" s="104">
        <v>2</v>
      </c>
      <c r="AJ36" s="104">
        <v>7</v>
      </c>
      <c r="AK36" s="104">
        <v>4</v>
      </c>
      <c r="AL36" s="104">
        <v>5</v>
      </c>
      <c r="AM36" s="104">
        <v>5</v>
      </c>
      <c r="AN36" s="104">
        <v>4</v>
      </c>
      <c r="AO36" s="104">
        <v>5</v>
      </c>
      <c r="AP36" s="104">
        <v>1</v>
      </c>
      <c r="AQ36" s="104">
        <v>6</v>
      </c>
    </row>
    <row r="37" spans="1:43" x14ac:dyDescent="0.35">
      <c r="A37" s="52">
        <v>34</v>
      </c>
      <c r="B37" s="52" t="s">
        <v>359</v>
      </c>
      <c r="C37" s="93"/>
      <c r="D37" s="101" t="s">
        <v>539</v>
      </c>
      <c r="E37" s="101" t="s">
        <v>523</v>
      </c>
      <c r="F37" s="101" t="s">
        <v>524</v>
      </c>
      <c r="G37" s="101" t="s">
        <v>138</v>
      </c>
      <c r="H37" s="101" t="s">
        <v>561</v>
      </c>
      <c r="I37" s="101" t="s">
        <v>552</v>
      </c>
      <c r="J37" s="101" t="s">
        <v>140</v>
      </c>
      <c r="K37" s="101" t="s">
        <v>529</v>
      </c>
      <c r="L37" s="101" t="s">
        <v>152</v>
      </c>
      <c r="M37" s="101" t="s">
        <v>553</v>
      </c>
      <c r="N37" s="101" t="s">
        <v>562</v>
      </c>
      <c r="O37" s="101" t="s">
        <v>554</v>
      </c>
      <c r="P37" s="101" t="s">
        <v>563</v>
      </c>
      <c r="Q37" s="101" t="s">
        <v>544</v>
      </c>
      <c r="R37" s="101" t="s">
        <v>567</v>
      </c>
      <c r="S37" s="101" t="s">
        <v>568</v>
      </c>
      <c r="T37" s="101" t="s">
        <v>537</v>
      </c>
      <c r="U37" s="101" t="s">
        <v>538</v>
      </c>
      <c r="V37" s="101" t="s">
        <v>155</v>
      </c>
      <c r="W37" s="101" t="s">
        <v>549</v>
      </c>
      <c r="X37" s="104">
        <v>6</v>
      </c>
      <c r="Y37" s="104">
        <v>6</v>
      </c>
      <c r="Z37" s="104">
        <v>5</v>
      </c>
      <c r="AA37" s="104">
        <v>1</v>
      </c>
      <c r="AB37" s="104">
        <v>4</v>
      </c>
      <c r="AC37" s="104">
        <v>4</v>
      </c>
      <c r="AD37" s="104">
        <v>2</v>
      </c>
      <c r="AE37" s="104">
        <v>5</v>
      </c>
      <c r="AF37" s="104">
        <v>2</v>
      </c>
      <c r="AG37" s="104">
        <v>4</v>
      </c>
      <c r="AH37" s="104">
        <v>4</v>
      </c>
      <c r="AI37" s="104">
        <v>3</v>
      </c>
      <c r="AJ37" s="104">
        <v>8</v>
      </c>
      <c r="AK37" s="104">
        <v>4</v>
      </c>
      <c r="AL37" s="104">
        <v>6</v>
      </c>
      <c r="AM37" s="104">
        <v>8</v>
      </c>
      <c r="AN37" s="104">
        <v>5</v>
      </c>
      <c r="AO37" s="104">
        <v>4</v>
      </c>
      <c r="AP37" s="104">
        <v>3</v>
      </c>
      <c r="AQ37" s="104">
        <v>6</v>
      </c>
    </row>
    <row r="38" spans="1:43" x14ac:dyDescent="0.35">
      <c r="A38" s="52">
        <v>35</v>
      </c>
      <c r="B38" s="52" t="s">
        <v>693</v>
      </c>
      <c r="C38" s="93"/>
      <c r="D38" s="101" t="s">
        <v>522</v>
      </c>
      <c r="E38" s="101" t="s">
        <v>523</v>
      </c>
      <c r="F38" s="101" t="s">
        <v>524</v>
      </c>
      <c r="G38" s="101" t="s">
        <v>550</v>
      </c>
      <c r="H38" s="101" t="s">
        <v>560</v>
      </c>
      <c r="I38" s="101" t="s">
        <v>541</v>
      </c>
      <c r="J38" s="101" t="s">
        <v>558</v>
      </c>
      <c r="K38" s="101" t="s">
        <v>529</v>
      </c>
      <c r="L38" s="101" t="s">
        <v>152</v>
      </c>
      <c r="M38" s="101" t="s">
        <v>553</v>
      </c>
      <c r="N38" s="101" t="s">
        <v>532</v>
      </c>
      <c r="O38" s="101" t="s">
        <v>554</v>
      </c>
      <c r="P38" s="101" t="s">
        <v>534</v>
      </c>
      <c r="Q38" s="101" t="s">
        <v>544</v>
      </c>
      <c r="R38" s="101" t="s">
        <v>143</v>
      </c>
      <c r="S38" s="101" t="s">
        <v>546</v>
      </c>
      <c r="T38" s="101" t="s">
        <v>547</v>
      </c>
      <c r="U38" s="101" t="s">
        <v>538</v>
      </c>
      <c r="V38" s="101" t="s">
        <v>155</v>
      </c>
      <c r="W38" s="101" t="s">
        <v>549</v>
      </c>
      <c r="X38" s="104">
        <v>5</v>
      </c>
      <c r="Y38" s="104">
        <v>7</v>
      </c>
      <c r="Z38" s="104">
        <v>5</v>
      </c>
      <c r="AA38" s="104">
        <v>4</v>
      </c>
      <c r="AB38" s="104">
        <v>8</v>
      </c>
      <c r="AC38" s="104">
        <v>7</v>
      </c>
      <c r="AD38" s="104">
        <v>4</v>
      </c>
      <c r="AE38" s="104">
        <v>5</v>
      </c>
      <c r="AF38" s="104">
        <v>2</v>
      </c>
      <c r="AG38" s="104">
        <v>4</v>
      </c>
      <c r="AH38" s="104">
        <v>5</v>
      </c>
      <c r="AI38" s="104">
        <v>3</v>
      </c>
      <c r="AJ38" s="104">
        <v>4</v>
      </c>
      <c r="AK38" s="104">
        <v>4</v>
      </c>
      <c r="AL38" s="104">
        <v>3</v>
      </c>
      <c r="AM38" s="104">
        <v>5</v>
      </c>
      <c r="AN38" s="104">
        <v>2</v>
      </c>
      <c r="AO38" s="104">
        <v>4</v>
      </c>
      <c r="AP38" s="104">
        <v>3</v>
      </c>
      <c r="AQ38" s="104">
        <v>6</v>
      </c>
    </row>
    <row r="39" spans="1:43" x14ac:dyDescent="0.35">
      <c r="A39" s="52">
        <v>36</v>
      </c>
      <c r="B39" s="52" t="s">
        <v>378</v>
      </c>
      <c r="C39" s="93"/>
      <c r="D39" s="101" t="s">
        <v>522</v>
      </c>
      <c r="E39" s="101" t="s">
        <v>523</v>
      </c>
      <c r="F39" s="101" t="s">
        <v>148</v>
      </c>
      <c r="G39" s="101" t="s">
        <v>556</v>
      </c>
      <c r="H39" s="101" t="s">
        <v>561</v>
      </c>
      <c r="I39" s="101" t="s">
        <v>552</v>
      </c>
      <c r="J39" s="101" t="s">
        <v>140</v>
      </c>
      <c r="K39" s="101" t="s">
        <v>529</v>
      </c>
      <c r="L39" s="101" t="s">
        <v>542</v>
      </c>
      <c r="M39" s="101" t="s">
        <v>553</v>
      </c>
      <c r="N39" s="101" t="s">
        <v>532</v>
      </c>
      <c r="O39" s="101" t="s">
        <v>571</v>
      </c>
      <c r="P39" s="101" t="s">
        <v>534</v>
      </c>
      <c r="Q39" s="101" t="s">
        <v>535</v>
      </c>
      <c r="R39" s="101" t="s">
        <v>143</v>
      </c>
      <c r="S39" s="101" t="s">
        <v>546</v>
      </c>
      <c r="T39" s="101" t="s">
        <v>557</v>
      </c>
      <c r="U39" s="101" t="s">
        <v>538</v>
      </c>
      <c r="V39" s="101" t="s">
        <v>81</v>
      </c>
      <c r="W39" s="101" t="s">
        <v>549</v>
      </c>
      <c r="X39" s="104">
        <v>4</v>
      </c>
      <c r="Y39" s="104">
        <v>7</v>
      </c>
      <c r="Z39" s="104">
        <v>4</v>
      </c>
      <c r="AA39" s="104">
        <v>2</v>
      </c>
      <c r="AB39" s="104">
        <v>4</v>
      </c>
      <c r="AC39" s="104">
        <v>5</v>
      </c>
      <c r="AD39" s="104">
        <v>3</v>
      </c>
      <c r="AE39" s="104">
        <v>5</v>
      </c>
      <c r="AF39" s="104">
        <v>5</v>
      </c>
      <c r="AG39" s="104">
        <v>4</v>
      </c>
      <c r="AH39" s="104">
        <v>7</v>
      </c>
      <c r="AI39" s="104">
        <v>4</v>
      </c>
      <c r="AJ39" s="104">
        <v>4</v>
      </c>
      <c r="AK39" s="104">
        <v>2</v>
      </c>
      <c r="AL39" s="104">
        <v>2</v>
      </c>
      <c r="AM39" s="104">
        <v>4</v>
      </c>
      <c r="AN39" s="104">
        <v>8</v>
      </c>
      <c r="AO39" s="104">
        <v>5</v>
      </c>
      <c r="AP39" s="104">
        <v>5</v>
      </c>
      <c r="AQ39" s="104">
        <v>6</v>
      </c>
    </row>
    <row r="40" spans="1:43" x14ac:dyDescent="0.35">
      <c r="A40" s="52">
        <v>37</v>
      </c>
      <c r="B40" s="52" t="s">
        <v>1165</v>
      </c>
      <c r="C40" s="93"/>
      <c r="D40" s="93" t="s">
        <v>539</v>
      </c>
      <c r="E40" s="93" t="s">
        <v>569</v>
      </c>
      <c r="F40" s="93" t="s">
        <v>524</v>
      </c>
      <c r="G40" s="93" t="s">
        <v>525</v>
      </c>
      <c r="H40" s="93" t="s">
        <v>566</v>
      </c>
      <c r="I40" s="93" t="s">
        <v>552</v>
      </c>
      <c r="J40" s="93" t="s">
        <v>140</v>
      </c>
      <c r="K40" s="93" t="s">
        <v>529</v>
      </c>
      <c r="L40" s="93" t="s">
        <v>542</v>
      </c>
      <c r="M40" s="93" t="s">
        <v>553</v>
      </c>
      <c r="N40" s="93" t="s">
        <v>562</v>
      </c>
      <c r="O40" s="93" t="s">
        <v>533</v>
      </c>
      <c r="P40" s="93" t="s">
        <v>534</v>
      </c>
      <c r="Q40" s="93" t="s">
        <v>535</v>
      </c>
      <c r="R40" s="93" t="s">
        <v>545</v>
      </c>
      <c r="S40" s="93" t="s">
        <v>546</v>
      </c>
      <c r="T40" s="93" t="s">
        <v>537</v>
      </c>
      <c r="U40" s="93" t="s">
        <v>548</v>
      </c>
      <c r="V40" s="93" t="s">
        <v>155</v>
      </c>
      <c r="W40" s="93" t="s">
        <v>555</v>
      </c>
      <c r="X40" s="104">
        <v>7</v>
      </c>
      <c r="Y40" s="104">
        <v>8</v>
      </c>
      <c r="Z40" s="104">
        <v>7</v>
      </c>
      <c r="AA40" s="104">
        <v>7</v>
      </c>
      <c r="AB40" s="104">
        <v>5</v>
      </c>
      <c r="AC40" s="104">
        <v>4</v>
      </c>
      <c r="AD40" s="104">
        <v>3</v>
      </c>
      <c r="AE40" s="104">
        <v>3</v>
      </c>
      <c r="AF40" s="104">
        <v>3</v>
      </c>
      <c r="AG40" s="104">
        <v>4</v>
      </c>
      <c r="AH40" s="104">
        <v>3</v>
      </c>
      <c r="AI40" s="104">
        <v>5</v>
      </c>
      <c r="AJ40" s="104">
        <v>4</v>
      </c>
      <c r="AK40" s="104">
        <v>3</v>
      </c>
      <c r="AL40" s="104">
        <v>5</v>
      </c>
      <c r="AM40" s="104">
        <v>5</v>
      </c>
      <c r="AN40" s="104">
        <v>5</v>
      </c>
      <c r="AO40" s="104">
        <v>3</v>
      </c>
      <c r="AP40" s="104">
        <v>1</v>
      </c>
      <c r="AQ40" s="104">
        <v>5</v>
      </c>
    </row>
    <row r="41" spans="1:43" x14ac:dyDescent="0.35">
      <c r="A41" s="52">
        <v>38</v>
      </c>
      <c r="B41" s="52" t="s">
        <v>1011</v>
      </c>
      <c r="C41" s="93"/>
      <c r="D41" s="93" t="s">
        <v>539</v>
      </c>
      <c r="E41" s="93" t="s">
        <v>523</v>
      </c>
      <c r="F41" s="93" t="s">
        <v>524</v>
      </c>
      <c r="G41" s="93" t="s">
        <v>556</v>
      </c>
      <c r="H41" s="93" t="s">
        <v>526</v>
      </c>
      <c r="I41" s="93" t="s">
        <v>527</v>
      </c>
      <c r="J41" s="93" t="s">
        <v>140</v>
      </c>
      <c r="K41" s="93" t="s">
        <v>529</v>
      </c>
      <c r="L41" s="93" t="s">
        <v>542</v>
      </c>
      <c r="M41" s="93" t="s">
        <v>553</v>
      </c>
      <c r="N41" s="93" t="s">
        <v>142</v>
      </c>
      <c r="O41" s="93" t="s">
        <v>554</v>
      </c>
      <c r="P41" s="93" t="s">
        <v>563</v>
      </c>
      <c r="Q41" s="93" t="s">
        <v>544</v>
      </c>
      <c r="R41" s="93" t="s">
        <v>567</v>
      </c>
      <c r="S41" s="93" t="s">
        <v>565</v>
      </c>
      <c r="T41" s="93" t="s">
        <v>537</v>
      </c>
      <c r="U41" s="93" t="s">
        <v>548</v>
      </c>
      <c r="V41" s="93" t="s">
        <v>81</v>
      </c>
      <c r="W41" s="93" t="s">
        <v>549</v>
      </c>
      <c r="X41" s="104">
        <v>6</v>
      </c>
      <c r="Y41" s="104">
        <v>7</v>
      </c>
      <c r="Z41" s="104">
        <v>6</v>
      </c>
      <c r="AA41" s="104">
        <v>2</v>
      </c>
      <c r="AB41" s="104">
        <v>3</v>
      </c>
      <c r="AC41" s="104">
        <v>3</v>
      </c>
      <c r="AD41" s="104">
        <v>3</v>
      </c>
      <c r="AE41" s="104">
        <v>4</v>
      </c>
      <c r="AF41" s="104">
        <v>5</v>
      </c>
      <c r="AG41" s="104">
        <v>4</v>
      </c>
      <c r="AH41" s="104">
        <v>2</v>
      </c>
      <c r="AI41" s="104">
        <v>3</v>
      </c>
      <c r="AJ41" s="104">
        <v>7</v>
      </c>
      <c r="AK41" s="104">
        <v>6</v>
      </c>
      <c r="AL41" s="104">
        <v>7</v>
      </c>
      <c r="AM41" s="104">
        <v>3</v>
      </c>
      <c r="AN41" s="104">
        <v>4</v>
      </c>
      <c r="AO41" s="104">
        <v>3</v>
      </c>
      <c r="AP41" s="104">
        <v>5</v>
      </c>
      <c r="AQ41" s="104">
        <v>7</v>
      </c>
    </row>
    <row r="42" spans="1:43" x14ac:dyDescent="0.35">
      <c r="A42" s="52">
        <v>39</v>
      </c>
      <c r="B42" s="52" t="s">
        <v>270</v>
      </c>
      <c r="C42" s="93"/>
      <c r="D42" s="101" t="s">
        <v>539</v>
      </c>
      <c r="E42" s="101" t="s">
        <v>523</v>
      </c>
      <c r="F42" s="101" t="s">
        <v>148</v>
      </c>
      <c r="G42" s="101" t="s">
        <v>550</v>
      </c>
      <c r="H42" s="101" t="s">
        <v>561</v>
      </c>
      <c r="I42" s="101" t="s">
        <v>552</v>
      </c>
      <c r="J42" s="101" t="s">
        <v>140</v>
      </c>
      <c r="K42" s="101" t="s">
        <v>529</v>
      </c>
      <c r="L42" s="101" t="s">
        <v>530</v>
      </c>
      <c r="M42" s="101" t="s">
        <v>553</v>
      </c>
      <c r="N42" s="101" t="s">
        <v>532</v>
      </c>
      <c r="O42" s="101" t="s">
        <v>150</v>
      </c>
      <c r="P42" s="101" t="s">
        <v>534</v>
      </c>
      <c r="Q42" s="101" t="s">
        <v>544</v>
      </c>
      <c r="R42" s="101" t="s">
        <v>567</v>
      </c>
      <c r="S42" s="101" t="s">
        <v>536</v>
      </c>
      <c r="T42" s="101" t="s">
        <v>537</v>
      </c>
      <c r="U42" s="101" t="s">
        <v>538</v>
      </c>
      <c r="V42" s="101" t="s">
        <v>155</v>
      </c>
      <c r="W42" s="101" t="s">
        <v>555</v>
      </c>
      <c r="X42" s="104">
        <v>6</v>
      </c>
      <c r="Y42" s="104">
        <v>6</v>
      </c>
      <c r="Z42" s="104">
        <v>4</v>
      </c>
      <c r="AA42" s="104">
        <v>4</v>
      </c>
      <c r="AB42" s="104">
        <v>4</v>
      </c>
      <c r="AC42" s="104">
        <v>4</v>
      </c>
      <c r="AD42" s="104">
        <v>1</v>
      </c>
      <c r="AE42" s="104">
        <v>4</v>
      </c>
      <c r="AF42" s="104">
        <v>6</v>
      </c>
      <c r="AG42" s="104">
        <v>4</v>
      </c>
      <c r="AH42" s="104">
        <v>7</v>
      </c>
      <c r="AI42" s="104">
        <v>1</v>
      </c>
      <c r="AJ42" s="104">
        <v>4</v>
      </c>
      <c r="AK42" s="104">
        <v>4</v>
      </c>
      <c r="AL42" s="104">
        <v>6</v>
      </c>
      <c r="AM42" s="104">
        <v>7</v>
      </c>
      <c r="AN42" s="104">
        <v>5</v>
      </c>
      <c r="AO42" s="104">
        <v>5</v>
      </c>
      <c r="AP42" s="104">
        <v>3</v>
      </c>
      <c r="AQ42" s="104">
        <v>5</v>
      </c>
    </row>
    <row r="43" spans="1:43" x14ac:dyDescent="0.35">
      <c r="A43" s="52">
        <v>40</v>
      </c>
      <c r="B43" s="52" t="s">
        <v>1227</v>
      </c>
      <c r="C43" s="93"/>
      <c r="D43" s="93" t="s">
        <v>539</v>
      </c>
      <c r="E43" s="93" t="s">
        <v>523</v>
      </c>
      <c r="F43" s="93" t="s">
        <v>524</v>
      </c>
      <c r="G43" s="93" t="s">
        <v>525</v>
      </c>
      <c r="H43" s="93" t="s">
        <v>526</v>
      </c>
      <c r="I43" s="93" t="s">
        <v>541</v>
      </c>
      <c r="J43" s="93" t="s">
        <v>558</v>
      </c>
      <c r="K43" s="93" t="s">
        <v>529</v>
      </c>
      <c r="L43" s="93" t="s">
        <v>530</v>
      </c>
      <c r="M43" s="93" t="s">
        <v>553</v>
      </c>
      <c r="N43" s="93" t="s">
        <v>142</v>
      </c>
      <c r="O43" s="93" t="s">
        <v>150</v>
      </c>
      <c r="P43" s="93" t="s">
        <v>534</v>
      </c>
      <c r="Q43" s="93" t="s">
        <v>544</v>
      </c>
      <c r="R43" s="93" t="s">
        <v>567</v>
      </c>
      <c r="S43" s="93" t="s">
        <v>536</v>
      </c>
      <c r="T43" s="93" t="s">
        <v>537</v>
      </c>
      <c r="U43" s="93" t="s">
        <v>538</v>
      </c>
      <c r="V43" s="93" t="s">
        <v>155</v>
      </c>
      <c r="W43" s="93" t="s">
        <v>549</v>
      </c>
      <c r="X43" s="104">
        <v>7</v>
      </c>
      <c r="Y43" s="104">
        <v>5</v>
      </c>
      <c r="Z43" s="104">
        <v>5</v>
      </c>
      <c r="AA43" s="104">
        <v>6</v>
      </c>
      <c r="AB43" s="104">
        <v>3</v>
      </c>
      <c r="AC43" s="104">
        <v>7</v>
      </c>
      <c r="AD43" s="104">
        <v>4</v>
      </c>
      <c r="AE43" s="104">
        <v>4</v>
      </c>
      <c r="AF43" s="104">
        <v>6</v>
      </c>
      <c r="AG43" s="104">
        <v>5</v>
      </c>
      <c r="AH43" s="104">
        <v>1</v>
      </c>
      <c r="AI43" s="104">
        <v>1</v>
      </c>
      <c r="AJ43" s="104">
        <v>4</v>
      </c>
      <c r="AK43" s="104">
        <v>4</v>
      </c>
      <c r="AL43" s="104">
        <v>6</v>
      </c>
      <c r="AM43" s="104">
        <v>6</v>
      </c>
      <c r="AN43" s="104">
        <v>4</v>
      </c>
      <c r="AO43" s="104">
        <v>4</v>
      </c>
      <c r="AP43" s="104">
        <v>2</v>
      </c>
      <c r="AQ43" s="104">
        <v>6</v>
      </c>
    </row>
    <row r="44" spans="1:43" x14ac:dyDescent="0.35">
      <c r="A44" s="52">
        <v>41</v>
      </c>
      <c r="B44" s="52" t="s">
        <v>665</v>
      </c>
      <c r="C44" s="93"/>
      <c r="D44" s="101" t="s">
        <v>522</v>
      </c>
      <c r="E44" s="101" t="s">
        <v>540</v>
      </c>
      <c r="F44" s="101" t="s">
        <v>148</v>
      </c>
      <c r="G44" s="101" t="s">
        <v>525</v>
      </c>
      <c r="H44" s="101" t="s">
        <v>526</v>
      </c>
      <c r="I44" s="101" t="s">
        <v>541</v>
      </c>
      <c r="J44" s="101" t="s">
        <v>558</v>
      </c>
      <c r="K44" s="101" t="s">
        <v>141</v>
      </c>
      <c r="L44" s="101" t="s">
        <v>530</v>
      </c>
      <c r="M44" s="101" t="s">
        <v>553</v>
      </c>
      <c r="N44" s="101" t="s">
        <v>532</v>
      </c>
      <c r="O44" s="101" t="s">
        <v>554</v>
      </c>
      <c r="P44" s="101" t="s">
        <v>534</v>
      </c>
      <c r="Q44" s="101" t="s">
        <v>544</v>
      </c>
      <c r="R44" s="101" t="s">
        <v>545</v>
      </c>
      <c r="S44" s="101" t="s">
        <v>565</v>
      </c>
      <c r="T44" s="101" t="s">
        <v>547</v>
      </c>
      <c r="U44" s="101" t="s">
        <v>538</v>
      </c>
      <c r="V44" s="101" t="s">
        <v>81</v>
      </c>
      <c r="W44" s="101" t="s">
        <v>555</v>
      </c>
      <c r="X44" s="104">
        <v>5</v>
      </c>
      <c r="Y44" s="104">
        <v>4</v>
      </c>
      <c r="Z44" s="104">
        <v>4</v>
      </c>
      <c r="AA44" s="104">
        <v>6</v>
      </c>
      <c r="AB44" s="104">
        <v>3</v>
      </c>
      <c r="AC44" s="104">
        <v>6</v>
      </c>
      <c r="AD44" s="104">
        <v>5</v>
      </c>
      <c r="AE44" s="104">
        <v>2</v>
      </c>
      <c r="AF44" s="104">
        <v>7</v>
      </c>
      <c r="AG44" s="104">
        <v>4</v>
      </c>
      <c r="AH44" s="104">
        <v>6</v>
      </c>
      <c r="AI44" s="104">
        <v>3</v>
      </c>
      <c r="AJ44" s="104">
        <v>4</v>
      </c>
      <c r="AK44" s="104">
        <v>5</v>
      </c>
      <c r="AL44" s="104">
        <v>4</v>
      </c>
      <c r="AM44" s="104">
        <v>3</v>
      </c>
      <c r="AN44" s="104">
        <v>3</v>
      </c>
      <c r="AO44" s="104">
        <v>5</v>
      </c>
      <c r="AP44" s="104">
        <v>6</v>
      </c>
      <c r="AQ44" s="104">
        <v>5</v>
      </c>
    </row>
    <row r="45" spans="1:43" x14ac:dyDescent="0.35">
      <c r="A45" s="52">
        <v>42</v>
      </c>
      <c r="B45" s="52" t="s">
        <v>1173</v>
      </c>
      <c r="C45" s="93"/>
      <c r="D45" s="93" t="s">
        <v>578</v>
      </c>
      <c r="E45" s="93" t="s">
        <v>540</v>
      </c>
      <c r="F45" s="93" t="s">
        <v>148</v>
      </c>
      <c r="G45" s="93" t="s">
        <v>556</v>
      </c>
      <c r="H45" s="93" t="s">
        <v>566</v>
      </c>
      <c r="I45" s="93" t="s">
        <v>552</v>
      </c>
      <c r="J45" s="93" t="s">
        <v>558</v>
      </c>
      <c r="K45" s="93" t="s">
        <v>529</v>
      </c>
      <c r="L45" s="93" t="s">
        <v>530</v>
      </c>
      <c r="M45" s="93" t="s">
        <v>553</v>
      </c>
      <c r="N45" s="93" t="s">
        <v>562</v>
      </c>
      <c r="O45" s="93" t="s">
        <v>150</v>
      </c>
      <c r="P45" s="93" t="s">
        <v>563</v>
      </c>
      <c r="Q45" s="93" t="s">
        <v>544</v>
      </c>
      <c r="R45" s="93" t="s">
        <v>567</v>
      </c>
      <c r="S45" s="93" t="s">
        <v>546</v>
      </c>
      <c r="T45" s="93" t="s">
        <v>547</v>
      </c>
      <c r="U45" s="93" t="s">
        <v>538</v>
      </c>
      <c r="V45" s="93" t="s">
        <v>155</v>
      </c>
      <c r="W45" s="93" t="s">
        <v>555</v>
      </c>
      <c r="X45" s="104">
        <v>8</v>
      </c>
      <c r="Y45" s="104">
        <v>4</v>
      </c>
      <c r="Z45" s="104">
        <v>3</v>
      </c>
      <c r="AA45" s="104">
        <v>3</v>
      </c>
      <c r="AB45" s="104">
        <v>5</v>
      </c>
      <c r="AC45" s="104">
        <v>4</v>
      </c>
      <c r="AD45" s="104">
        <v>5</v>
      </c>
      <c r="AE45" s="104">
        <v>3</v>
      </c>
      <c r="AF45" s="104">
        <v>6</v>
      </c>
      <c r="AG45" s="104">
        <v>4</v>
      </c>
      <c r="AH45" s="104">
        <v>4</v>
      </c>
      <c r="AI45" s="104">
        <v>1</v>
      </c>
      <c r="AJ45" s="104">
        <v>8</v>
      </c>
      <c r="AK45" s="104">
        <v>5</v>
      </c>
      <c r="AL45" s="104">
        <v>6</v>
      </c>
      <c r="AM45" s="104">
        <v>5</v>
      </c>
      <c r="AN45" s="104">
        <v>3</v>
      </c>
      <c r="AO45" s="104">
        <v>5</v>
      </c>
      <c r="AP45" s="104">
        <v>3</v>
      </c>
      <c r="AQ45" s="104">
        <v>5</v>
      </c>
    </row>
    <row r="46" spans="1:43" x14ac:dyDescent="0.35">
      <c r="A46" s="52">
        <v>43</v>
      </c>
      <c r="B46" s="52" t="s">
        <v>956</v>
      </c>
      <c r="C46" s="93"/>
      <c r="D46" s="93" t="s">
        <v>147</v>
      </c>
      <c r="E46" s="93" t="s">
        <v>523</v>
      </c>
      <c r="F46" s="93" t="s">
        <v>524</v>
      </c>
      <c r="G46" s="93" t="s">
        <v>559</v>
      </c>
      <c r="H46" s="93" t="s">
        <v>551</v>
      </c>
      <c r="I46" s="93" t="s">
        <v>541</v>
      </c>
      <c r="J46" s="93" t="s">
        <v>558</v>
      </c>
      <c r="K46" s="93" t="s">
        <v>529</v>
      </c>
      <c r="L46" s="93" t="s">
        <v>530</v>
      </c>
      <c r="M46" s="93" t="s">
        <v>151</v>
      </c>
      <c r="N46" s="93" t="s">
        <v>532</v>
      </c>
      <c r="O46" s="93" t="s">
        <v>571</v>
      </c>
      <c r="P46" s="93" t="s">
        <v>145</v>
      </c>
      <c r="Q46" s="93" t="s">
        <v>535</v>
      </c>
      <c r="R46" s="93" t="s">
        <v>545</v>
      </c>
      <c r="S46" s="93" t="s">
        <v>536</v>
      </c>
      <c r="T46" s="93" t="s">
        <v>146</v>
      </c>
      <c r="U46" s="93" t="s">
        <v>538</v>
      </c>
      <c r="V46" s="93" t="s">
        <v>155</v>
      </c>
      <c r="W46" s="93" t="s">
        <v>555</v>
      </c>
      <c r="X46" s="104">
        <v>2</v>
      </c>
      <c r="Y46" s="104">
        <v>6</v>
      </c>
      <c r="Z46" s="104">
        <v>7</v>
      </c>
      <c r="AA46" s="104">
        <v>9</v>
      </c>
      <c r="AB46" s="104">
        <v>7</v>
      </c>
      <c r="AC46" s="104">
        <v>6</v>
      </c>
      <c r="AD46" s="104">
        <v>4</v>
      </c>
      <c r="AE46" s="104">
        <v>3</v>
      </c>
      <c r="AF46" s="104">
        <v>6</v>
      </c>
      <c r="AG46" s="104">
        <v>2</v>
      </c>
      <c r="AH46" s="104">
        <v>7</v>
      </c>
      <c r="AI46" s="104">
        <v>4</v>
      </c>
      <c r="AJ46" s="104">
        <v>2</v>
      </c>
      <c r="AK46" s="104">
        <v>3</v>
      </c>
      <c r="AL46" s="104">
        <v>5</v>
      </c>
      <c r="AM46" s="104">
        <v>6</v>
      </c>
      <c r="AN46" s="104">
        <v>0</v>
      </c>
      <c r="AO46" s="104">
        <v>4</v>
      </c>
      <c r="AP46" s="104">
        <v>3</v>
      </c>
      <c r="AQ46" s="104">
        <v>4</v>
      </c>
    </row>
    <row r="47" spans="1:43" x14ac:dyDescent="0.35">
      <c r="A47" s="52">
        <v>44</v>
      </c>
      <c r="B47" s="52" t="s">
        <v>1247</v>
      </c>
      <c r="C47" s="93"/>
      <c r="D47" s="93" t="s">
        <v>539</v>
      </c>
      <c r="E47" s="93" t="s">
        <v>540</v>
      </c>
      <c r="F47" s="93" t="s">
        <v>148</v>
      </c>
      <c r="G47" s="93" t="s">
        <v>556</v>
      </c>
      <c r="H47" s="93" t="s">
        <v>566</v>
      </c>
      <c r="I47" s="93" t="s">
        <v>527</v>
      </c>
      <c r="J47" s="93" t="s">
        <v>558</v>
      </c>
      <c r="K47" s="93" t="s">
        <v>529</v>
      </c>
      <c r="L47" s="93" t="s">
        <v>542</v>
      </c>
      <c r="M47" s="93" t="s">
        <v>151</v>
      </c>
      <c r="N47" s="93" t="s">
        <v>532</v>
      </c>
      <c r="O47" s="93" t="s">
        <v>554</v>
      </c>
      <c r="P47" s="93" t="s">
        <v>543</v>
      </c>
      <c r="Q47" s="93" t="s">
        <v>544</v>
      </c>
      <c r="R47" s="93" t="s">
        <v>545</v>
      </c>
      <c r="S47" s="93" t="s">
        <v>546</v>
      </c>
      <c r="T47" s="93" t="s">
        <v>537</v>
      </c>
      <c r="U47" s="93" t="s">
        <v>538</v>
      </c>
      <c r="V47" s="93" t="s">
        <v>81</v>
      </c>
      <c r="W47" s="93" t="s">
        <v>555</v>
      </c>
      <c r="X47" s="104">
        <v>6</v>
      </c>
      <c r="Y47" s="104">
        <v>4</v>
      </c>
      <c r="Z47" s="104">
        <v>4</v>
      </c>
      <c r="AA47" s="104">
        <v>2</v>
      </c>
      <c r="AB47" s="104">
        <v>5</v>
      </c>
      <c r="AC47" s="104">
        <v>3</v>
      </c>
      <c r="AD47" s="104">
        <v>5</v>
      </c>
      <c r="AE47" s="104">
        <v>4</v>
      </c>
      <c r="AF47" s="104">
        <v>5</v>
      </c>
      <c r="AG47" s="104">
        <v>2</v>
      </c>
      <c r="AH47" s="104">
        <v>6</v>
      </c>
      <c r="AI47" s="104">
        <v>3</v>
      </c>
      <c r="AJ47" s="104">
        <v>6</v>
      </c>
      <c r="AK47" s="104">
        <v>5</v>
      </c>
      <c r="AL47" s="104">
        <v>5</v>
      </c>
      <c r="AM47" s="104">
        <v>5</v>
      </c>
      <c r="AN47" s="104">
        <v>5</v>
      </c>
      <c r="AO47" s="104">
        <v>4</v>
      </c>
      <c r="AP47" s="104">
        <v>6</v>
      </c>
      <c r="AQ47" s="104">
        <v>5</v>
      </c>
    </row>
    <row r="48" spans="1:43" x14ac:dyDescent="0.35">
      <c r="A48" s="52">
        <v>45</v>
      </c>
      <c r="B48" s="52" t="s">
        <v>349</v>
      </c>
      <c r="C48" s="93"/>
      <c r="D48" s="101" t="s">
        <v>522</v>
      </c>
      <c r="E48" s="101" t="s">
        <v>523</v>
      </c>
      <c r="F48" s="101" t="s">
        <v>148</v>
      </c>
      <c r="G48" s="101" t="s">
        <v>138</v>
      </c>
      <c r="H48" s="101" t="s">
        <v>526</v>
      </c>
      <c r="I48" s="101" t="s">
        <v>527</v>
      </c>
      <c r="J48" s="101" t="s">
        <v>140</v>
      </c>
      <c r="K48" s="101" t="s">
        <v>529</v>
      </c>
      <c r="L48" s="101" t="s">
        <v>530</v>
      </c>
      <c r="M48" s="101" t="s">
        <v>531</v>
      </c>
      <c r="N48" s="101" t="s">
        <v>532</v>
      </c>
      <c r="O48" s="101" t="s">
        <v>554</v>
      </c>
      <c r="P48" s="101" t="s">
        <v>534</v>
      </c>
      <c r="Q48" s="101" t="s">
        <v>544</v>
      </c>
      <c r="R48" s="101" t="s">
        <v>545</v>
      </c>
      <c r="S48" s="101" t="s">
        <v>536</v>
      </c>
      <c r="T48" s="101" t="s">
        <v>537</v>
      </c>
      <c r="U48" s="101" t="s">
        <v>538</v>
      </c>
      <c r="V48" s="101" t="s">
        <v>155</v>
      </c>
      <c r="W48" s="101" t="s">
        <v>574</v>
      </c>
      <c r="X48" s="104">
        <v>4</v>
      </c>
      <c r="Y48" s="104">
        <v>5</v>
      </c>
      <c r="Z48" s="104">
        <v>3</v>
      </c>
      <c r="AA48" s="104">
        <v>1</v>
      </c>
      <c r="AB48" s="104">
        <v>2</v>
      </c>
      <c r="AC48" s="104">
        <v>3</v>
      </c>
      <c r="AD48" s="104">
        <v>3</v>
      </c>
      <c r="AE48" s="104">
        <v>5</v>
      </c>
      <c r="AF48" s="104">
        <v>6</v>
      </c>
      <c r="AG48" s="104">
        <v>7</v>
      </c>
      <c r="AH48" s="104">
        <v>9</v>
      </c>
      <c r="AI48" s="104">
        <v>2</v>
      </c>
      <c r="AJ48" s="104">
        <v>3</v>
      </c>
      <c r="AK48" s="104">
        <v>6</v>
      </c>
      <c r="AL48" s="104">
        <v>4</v>
      </c>
      <c r="AM48" s="104">
        <v>6</v>
      </c>
      <c r="AN48" s="104">
        <v>6</v>
      </c>
      <c r="AO48" s="104">
        <v>5</v>
      </c>
      <c r="AP48" s="104">
        <v>2</v>
      </c>
      <c r="AQ48" s="104">
        <v>8</v>
      </c>
    </row>
    <row r="49" spans="1:43" x14ac:dyDescent="0.35">
      <c r="A49" s="52">
        <v>46</v>
      </c>
      <c r="B49" s="52" t="s">
        <v>1081</v>
      </c>
      <c r="C49" s="93"/>
      <c r="D49" s="93" t="s">
        <v>539</v>
      </c>
      <c r="E49" s="93" t="s">
        <v>523</v>
      </c>
      <c r="F49" s="93" t="s">
        <v>148</v>
      </c>
      <c r="G49" s="93" t="s">
        <v>556</v>
      </c>
      <c r="H49" s="93" t="s">
        <v>561</v>
      </c>
      <c r="I49" s="93" t="s">
        <v>527</v>
      </c>
      <c r="J49" s="93" t="s">
        <v>140</v>
      </c>
      <c r="K49" s="93" t="s">
        <v>529</v>
      </c>
      <c r="L49" s="93" t="s">
        <v>542</v>
      </c>
      <c r="M49" s="93" t="s">
        <v>553</v>
      </c>
      <c r="N49" s="93" t="s">
        <v>532</v>
      </c>
      <c r="O49" s="93" t="s">
        <v>554</v>
      </c>
      <c r="P49" s="93" t="s">
        <v>543</v>
      </c>
      <c r="Q49" s="93" t="s">
        <v>544</v>
      </c>
      <c r="R49" s="93" t="s">
        <v>545</v>
      </c>
      <c r="S49" s="93" t="s">
        <v>546</v>
      </c>
      <c r="T49" s="93" t="s">
        <v>537</v>
      </c>
      <c r="U49" s="93" t="s">
        <v>538</v>
      </c>
      <c r="V49" s="93" t="s">
        <v>81</v>
      </c>
      <c r="W49" s="93" t="s">
        <v>549</v>
      </c>
      <c r="X49" s="104">
        <v>6</v>
      </c>
      <c r="Y49" s="104">
        <v>6</v>
      </c>
      <c r="Z49" s="104">
        <v>4</v>
      </c>
      <c r="AA49" s="104">
        <v>3</v>
      </c>
      <c r="AB49" s="104">
        <v>4</v>
      </c>
      <c r="AC49" s="104">
        <v>3</v>
      </c>
      <c r="AD49" s="104">
        <v>2</v>
      </c>
      <c r="AE49" s="104">
        <v>3</v>
      </c>
      <c r="AF49" s="104">
        <v>4</v>
      </c>
      <c r="AG49" s="104">
        <v>5</v>
      </c>
      <c r="AH49" s="104">
        <v>8</v>
      </c>
      <c r="AI49" s="104">
        <v>2</v>
      </c>
      <c r="AJ49" s="104">
        <v>5</v>
      </c>
      <c r="AK49" s="104">
        <v>5</v>
      </c>
      <c r="AL49" s="104">
        <v>4</v>
      </c>
      <c r="AM49" s="104">
        <v>5</v>
      </c>
      <c r="AN49" s="104">
        <v>6</v>
      </c>
      <c r="AO49" s="104">
        <v>4</v>
      </c>
      <c r="AP49" s="104">
        <v>4</v>
      </c>
      <c r="AQ49" s="104">
        <v>7</v>
      </c>
    </row>
    <row r="50" spans="1:43" x14ac:dyDescent="0.35">
      <c r="A50" s="52">
        <v>47</v>
      </c>
      <c r="B50" s="52" t="s">
        <v>958</v>
      </c>
      <c r="C50" s="93"/>
      <c r="D50" s="93" t="s">
        <v>539</v>
      </c>
      <c r="E50" s="93" t="s">
        <v>523</v>
      </c>
      <c r="F50" s="93" t="s">
        <v>524</v>
      </c>
      <c r="G50" s="93" t="s">
        <v>550</v>
      </c>
      <c r="H50" s="93" t="s">
        <v>551</v>
      </c>
      <c r="I50" s="93" t="s">
        <v>552</v>
      </c>
      <c r="J50" s="93" t="s">
        <v>140</v>
      </c>
      <c r="K50" s="93" t="s">
        <v>529</v>
      </c>
      <c r="L50" s="93" t="s">
        <v>542</v>
      </c>
      <c r="M50" s="93" t="s">
        <v>553</v>
      </c>
      <c r="N50" s="93" t="s">
        <v>532</v>
      </c>
      <c r="O50" s="93" t="s">
        <v>571</v>
      </c>
      <c r="P50" s="93" t="s">
        <v>534</v>
      </c>
      <c r="Q50" s="93" t="s">
        <v>544</v>
      </c>
      <c r="R50" s="93" t="s">
        <v>567</v>
      </c>
      <c r="S50" s="93" t="s">
        <v>536</v>
      </c>
      <c r="T50" s="93" t="s">
        <v>537</v>
      </c>
      <c r="U50" s="93" t="s">
        <v>548</v>
      </c>
      <c r="V50" s="93" t="s">
        <v>155</v>
      </c>
      <c r="W50" s="93" t="s">
        <v>549</v>
      </c>
      <c r="X50" s="104">
        <v>6</v>
      </c>
      <c r="Y50" s="104">
        <v>6</v>
      </c>
      <c r="Z50" s="104">
        <v>5</v>
      </c>
      <c r="AA50" s="104">
        <v>4</v>
      </c>
      <c r="AB50" s="104">
        <v>6</v>
      </c>
      <c r="AC50" s="104">
        <v>5</v>
      </c>
      <c r="AD50" s="104">
        <v>3</v>
      </c>
      <c r="AE50" s="104">
        <v>3</v>
      </c>
      <c r="AF50" s="104">
        <v>3</v>
      </c>
      <c r="AG50" s="104">
        <v>3</v>
      </c>
      <c r="AH50" s="104">
        <v>5</v>
      </c>
      <c r="AI50" s="104">
        <v>4</v>
      </c>
      <c r="AJ50" s="104">
        <v>4</v>
      </c>
      <c r="AK50" s="104">
        <v>4</v>
      </c>
      <c r="AL50" s="104">
        <v>6</v>
      </c>
      <c r="AM50" s="104">
        <v>6</v>
      </c>
      <c r="AN50" s="104">
        <v>5</v>
      </c>
      <c r="AO50" s="104">
        <v>3</v>
      </c>
      <c r="AP50" s="104">
        <v>3</v>
      </c>
      <c r="AQ50" s="104">
        <v>6</v>
      </c>
    </row>
    <row r="51" spans="1:43" x14ac:dyDescent="0.35">
      <c r="A51" s="52">
        <v>48</v>
      </c>
      <c r="B51" s="52" t="s">
        <v>705</v>
      </c>
      <c r="C51" s="93"/>
      <c r="D51" s="101" t="s">
        <v>522</v>
      </c>
      <c r="E51" s="101" t="s">
        <v>523</v>
      </c>
      <c r="F51" s="101" t="s">
        <v>524</v>
      </c>
      <c r="G51" s="101" t="s">
        <v>556</v>
      </c>
      <c r="H51" s="101" t="s">
        <v>149</v>
      </c>
      <c r="I51" s="101" t="s">
        <v>552</v>
      </c>
      <c r="J51" s="101" t="s">
        <v>528</v>
      </c>
      <c r="K51" s="101" t="s">
        <v>529</v>
      </c>
      <c r="L51" s="101" t="s">
        <v>530</v>
      </c>
      <c r="M51" s="101" t="s">
        <v>553</v>
      </c>
      <c r="N51" s="101" t="s">
        <v>142</v>
      </c>
      <c r="O51" s="101" t="s">
        <v>554</v>
      </c>
      <c r="P51" s="101" t="s">
        <v>534</v>
      </c>
      <c r="Q51" s="101" t="s">
        <v>544</v>
      </c>
      <c r="R51" s="101" t="s">
        <v>545</v>
      </c>
      <c r="S51" s="101" t="s">
        <v>536</v>
      </c>
      <c r="T51" s="101" t="s">
        <v>537</v>
      </c>
      <c r="U51" s="101" t="s">
        <v>538</v>
      </c>
      <c r="V51" s="101" t="s">
        <v>155</v>
      </c>
      <c r="W51" s="101" t="s">
        <v>574</v>
      </c>
      <c r="X51" s="104">
        <v>3</v>
      </c>
      <c r="Y51" s="104">
        <v>6</v>
      </c>
      <c r="Z51" s="104">
        <v>6</v>
      </c>
      <c r="AA51" s="104">
        <v>3</v>
      </c>
      <c r="AB51" s="104">
        <v>1</v>
      </c>
      <c r="AC51" s="104">
        <v>5</v>
      </c>
      <c r="AD51" s="104">
        <v>7</v>
      </c>
      <c r="AE51" s="104">
        <v>4</v>
      </c>
      <c r="AF51" s="104">
        <v>7</v>
      </c>
      <c r="AG51" s="104">
        <v>3</v>
      </c>
      <c r="AH51" s="104">
        <v>2</v>
      </c>
      <c r="AI51" s="104">
        <v>2</v>
      </c>
      <c r="AJ51" s="104">
        <v>4</v>
      </c>
      <c r="AK51" s="104">
        <v>5</v>
      </c>
      <c r="AL51" s="104">
        <v>4</v>
      </c>
      <c r="AM51" s="104">
        <v>7</v>
      </c>
      <c r="AN51" s="104">
        <v>5</v>
      </c>
      <c r="AO51" s="104">
        <v>4</v>
      </c>
      <c r="AP51" s="104">
        <v>3</v>
      </c>
      <c r="AQ51" s="104">
        <v>9</v>
      </c>
    </row>
    <row r="52" spans="1:43" x14ac:dyDescent="0.35">
      <c r="A52" s="52">
        <v>49</v>
      </c>
      <c r="B52" s="52" t="s">
        <v>311</v>
      </c>
      <c r="C52" s="93"/>
      <c r="D52" s="101" t="s">
        <v>539</v>
      </c>
      <c r="E52" s="101" t="s">
        <v>523</v>
      </c>
      <c r="F52" s="101" t="s">
        <v>148</v>
      </c>
      <c r="G52" s="101" t="s">
        <v>556</v>
      </c>
      <c r="H52" s="101" t="s">
        <v>551</v>
      </c>
      <c r="I52" s="101" t="s">
        <v>552</v>
      </c>
      <c r="J52" s="101" t="s">
        <v>140</v>
      </c>
      <c r="K52" s="101" t="s">
        <v>529</v>
      </c>
      <c r="L52" s="101" t="s">
        <v>542</v>
      </c>
      <c r="M52" s="101" t="s">
        <v>553</v>
      </c>
      <c r="N52" s="101" t="s">
        <v>532</v>
      </c>
      <c r="O52" s="101" t="s">
        <v>571</v>
      </c>
      <c r="P52" s="101" t="s">
        <v>534</v>
      </c>
      <c r="Q52" s="101" t="s">
        <v>564</v>
      </c>
      <c r="R52" s="101" t="s">
        <v>545</v>
      </c>
      <c r="S52" s="101" t="s">
        <v>546</v>
      </c>
      <c r="T52" s="101" t="s">
        <v>537</v>
      </c>
      <c r="U52" s="101" t="s">
        <v>548</v>
      </c>
      <c r="V52" s="101" t="s">
        <v>155</v>
      </c>
      <c r="W52" s="101" t="s">
        <v>549</v>
      </c>
      <c r="X52" s="104">
        <v>7</v>
      </c>
      <c r="Y52" s="104">
        <v>5</v>
      </c>
      <c r="Z52" s="104">
        <v>4</v>
      </c>
      <c r="AA52" s="104">
        <v>3</v>
      </c>
      <c r="AB52" s="104">
        <v>7</v>
      </c>
      <c r="AC52" s="104">
        <v>5</v>
      </c>
      <c r="AD52" s="104">
        <v>2</v>
      </c>
      <c r="AE52" s="104">
        <v>3</v>
      </c>
      <c r="AF52" s="104">
        <v>4</v>
      </c>
      <c r="AG52" s="104">
        <v>5</v>
      </c>
      <c r="AH52" s="104">
        <v>5</v>
      </c>
      <c r="AI52" s="104">
        <v>4</v>
      </c>
      <c r="AJ52" s="104">
        <v>4</v>
      </c>
      <c r="AK52" s="104">
        <v>7</v>
      </c>
      <c r="AL52" s="104">
        <v>5</v>
      </c>
      <c r="AM52" s="104">
        <v>4</v>
      </c>
      <c r="AN52" s="104">
        <v>6</v>
      </c>
      <c r="AO52" s="104">
        <v>2</v>
      </c>
      <c r="AP52" s="104">
        <v>2</v>
      </c>
      <c r="AQ52" s="104">
        <v>6</v>
      </c>
    </row>
    <row r="53" spans="1:43" x14ac:dyDescent="0.35">
      <c r="A53" s="52">
        <v>50</v>
      </c>
      <c r="B53" s="52" t="s">
        <v>1024</v>
      </c>
      <c r="C53" s="93"/>
      <c r="D53" s="93" t="s">
        <v>539</v>
      </c>
      <c r="E53" s="93" t="s">
        <v>569</v>
      </c>
      <c r="F53" s="93" t="s">
        <v>524</v>
      </c>
      <c r="G53" s="93" t="s">
        <v>556</v>
      </c>
      <c r="H53" s="93" t="s">
        <v>561</v>
      </c>
      <c r="I53" s="93" t="s">
        <v>552</v>
      </c>
      <c r="J53" s="93" t="s">
        <v>558</v>
      </c>
      <c r="K53" s="93" t="s">
        <v>141</v>
      </c>
      <c r="L53" s="93" t="s">
        <v>152</v>
      </c>
      <c r="M53" s="93" t="s">
        <v>553</v>
      </c>
      <c r="N53" s="93" t="s">
        <v>532</v>
      </c>
      <c r="O53" s="93" t="s">
        <v>554</v>
      </c>
      <c r="P53" s="93" t="s">
        <v>145</v>
      </c>
      <c r="Q53" s="93" t="s">
        <v>544</v>
      </c>
      <c r="R53" s="93" t="s">
        <v>545</v>
      </c>
      <c r="S53" s="93" t="s">
        <v>546</v>
      </c>
      <c r="T53" s="93" t="s">
        <v>537</v>
      </c>
      <c r="U53" s="93" t="s">
        <v>548</v>
      </c>
      <c r="V53" s="93" t="s">
        <v>155</v>
      </c>
      <c r="W53" s="93" t="s">
        <v>574</v>
      </c>
      <c r="X53" s="104">
        <v>7</v>
      </c>
      <c r="Y53" s="104">
        <v>8</v>
      </c>
      <c r="Z53" s="104">
        <v>6</v>
      </c>
      <c r="AA53" s="104">
        <v>3</v>
      </c>
      <c r="AB53" s="104">
        <v>4</v>
      </c>
      <c r="AC53" s="104">
        <v>4</v>
      </c>
      <c r="AD53" s="104">
        <v>4</v>
      </c>
      <c r="AE53" s="104">
        <v>2</v>
      </c>
      <c r="AF53" s="104">
        <v>2</v>
      </c>
      <c r="AG53" s="104">
        <v>5</v>
      </c>
      <c r="AH53" s="104">
        <v>6</v>
      </c>
      <c r="AI53" s="104">
        <v>2</v>
      </c>
      <c r="AJ53" s="104">
        <v>2</v>
      </c>
      <c r="AK53" s="104">
        <v>6</v>
      </c>
      <c r="AL53" s="104">
        <v>5</v>
      </c>
      <c r="AM53" s="104">
        <v>5</v>
      </c>
      <c r="AN53" s="104">
        <v>5</v>
      </c>
      <c r="AO53" s="104">
        <v>3</v>
      </c>
      <c r="AP53" s="104">
        <v>3</v>
      </c>
      <c r="AQ53" s="104">
        <v>8</v>
      </c>
    </row>
    <row r="54" spans="1:43" x14ac:dyDescent="0.35">
      <c r="A54" s="52">
        <v>51</v>
      </c>
      <c r="B54" s="52" t="s">
        <v>314</v>
      </c>
      <c r="C54" s="93"/>
      <c r="D54" s="101" t="s">
        <v>539</v>
      </c>
      <c r="E54" s="101" t="s">
        <v>523</v>
      </c>
      <c r="F54" s="101" t="s">
        <v>148</v>
      </c>
      <c r="G54" s="101" t="s">
        <v>556</v>
      </c>
      <c r="H54" s="101" t="s">
        <v>561</v>
      </c>
      <c r="I54" s="101" t="s">
        <v>541</v>
      </c>
      <c r="J54" s="101" t="s">
        <v>140</v>
      </c>
      <c r="K54" s="101" t="s">
        <v>141</v>
      </c>
      <c r="L54" s="101" t="s">
        <v>542</v>
      </c>
      <c r="M54" s="101" t="s">
        <v>531</v>
      </c>
      <c r="N54" s="101" t="s">
        <v>532</v>
      </c>
      <c r="O54" s="101" t="s">
        <v>571</v>
      </c>
      <c r="P54" s="101" t="s">
        <v>543</v>
      </c>
      <c r="Q54" s="101" t="s">
        <v>544</v>
      </c>
      <c r="R54" s="101" t="s">
        <v>545</v>
      </c>
      <c r="S54" s="101" t="s">
        <v>536</v>
      </c>
      <c r="T54" s="101" t="s">
        <v>537</v>
      </c>
      <c r="U54" s="101" t="s">
        <v>154</v>
      </c>
      <c r="V54" s="101" t="s">
        <v>155</v>
      </c>
      <c r="W54" s="101" t="s">
        <v>549</v>
      </c>
      <c r="X54" s="104">
        <v>7</v>
      </c>
      <c r="Y54" s="104">
        <v>6</v>
      </c>
      <c r="Z54" s="104">
        <v>4</v>
      </c>
      <c r="AA54" s="104">
        <v>2</v>
      </c>
      <c r="AB54" s="104">
        <v>4</v>
      </c>
      <c r="AC54" s="104">
        <v>6</v>
      </c>
      <c r="AD54" s="104">
        <v>1</v>
      </c>
      <c r="AE54" s="104">
        <v>2</v>
      </c>
      <c r="AF54" s="104">
        <v>4</v>
      </c>
      <c r="AG54" s="104">
        <v>6</v>
      </c>
      <c r="AH54" s="104">
        <v>6</v>
      </c>
      <c r="AI54" s="104">
        <v>4</v>
      </c>
      <c r="AJ54" s="104">
        <v>6</v>
      </c>
      <c r="AK54" s="104">
        <v>6</v>
      </c>
      <c r="AL54" s="104">
        <v>4</v>
      </c>
      <c r="AM54" s="104">
        <v>6</v>
      </c>
      <c r="AN54" s="104">
        <v>6</v>
      </c>
      <c r="AO54" s="104">
        <v>1</v>
      </c>
      <c r="AP54" s="104">
        <v>3</v>
      </c>
      <c r="AQ54" s="104">
        <v>6</v>
      </c>
    </row>
    <row r="55" spans="1:43" x14ac:dyDescent="0.35">
      <c r="A55" s="52">
        <v>52</v>
      </c>
      <c r="B55" s="52" t="s">
        <v>1046</v>
      </c>
      <c r="C55" s="93"/>
      <c r="D55" s="93" t="s">
        <v>539</v>
      </c>
      <c r="E55" s="93" t="s">
        <v>523</v>
      </c>
      <c r="F55" s="93" t="s">
        <v>148</v>
      </c>
      <c r="G55" s="93" t="s">
        <v>556</v>
      </c>
      <c r="H55" s="93" t="s">
        <v>551</v>
      </c>
      <c r="I55" s="93" t="s">
        <v>552</v>
      </c>
      <c r="J55" s="93" t="s">
        <v>140</v>
      </c>
      <c r="K55" s="93" t="s">
        <v>529</v>
      </c>
      <c r="L55" s="93" t="s">
        <v>542</v>
      </c>
      <c r="M55" s="93" t="s">
        <v>151</v>
      </c>
      <c r="N55" s="93" t="s">
        <v>532</v>
      </c>
      <c r="O55" s="93" t="s">
        <v>579</v>
      </c>
      <c r="P55" s="93" t="s">
        <v>563</v>
      </c>
      <c r="Q55" s="93" t="s">
        <v>544</v>
      </c>
      <c r="R55" s="93" t="s">
        <v>545</v>
      </c>
      <c r="S55" s="93" t="s">
        <v>536</v>
      </c>
      <c r="T55" s="93" t="s">
        <v>547</v>
      </c>
      <c r="U55" s="93" t="s">
        <v>548</v>
      </c>
      <c r="V55" s="93" t="s">
        <v>155</v>
      </c>
      <c r="W55" s="93" t="s">
        <v>549</v>
      </c>
      <c r="X55" s="104">
        <v>7</v>
      </c>
      <c r="Y55" s="104">
        <v>6</v>
      </c>
      <c r="Z55" s="104">
        <v>3</v>
      </c>
      <c r="AA55" s="104">
        <v>2</v>
      </c>
      <c r="AB55" s="104">
        <v>7</v>
      </c>
      <c r="AC55" s="104">
        <v>5</v>
      </c>
      <c r="AD55" s="104">
        <v>3</v>
      </c>
      <c r="AE55" s="104">
        <v>3</v>
      </c>
      <c r="AF55" s="104">
        <v>3</v>
      </c>
      <c r="AG55" s="104">
        <v>1</v>
      </c>
      <c r="AH55" s="104">
        <v>7</v>
      </c>
      <c r="AI55" s="104">
        <v>6</v>
      </c>
      <c r="AJ55" s="104">
        <v>7</v>
      </c>
      <c r="AK55" s="104">
        <v>5</v>
      </c>
      <c r="AL55" s="104">
        <v>4</v>
      </c>
      <c r="AM55" s="104">
        <v>7</v>
      </c>
      <c r="AN55" s="104">
        <v>3</v>
      </c>
      <c r="AO55" s="104">
        <v>3</v>
      </c>
      <c r="AP55" s="104">
        <v>2</v>
      </c>
      <c r="AQ55" s="104">
        <v>6</v>
      </c>
    </row>
    <row r="56" spans="1:43" x14ac:dyDescent="0.35">
      <c r="A56" s="52">
        <v>53</v>
      </c>
      <c r="B56" s="52" t="s">
        <v>943</v>
      </c>
      <c r="C56" s="93"/>
      <c r="D56" s="93" t="s">
        <v>539</v>
      </c>
      <c r="E56" s="93" t="s">
        <v>523</v>
      </c>
      <c r="F56" s="93" t="s">
        <v>148</v>
      </c>
      <c r="G56" s="93" t="s">
        <v>138</v>
      </c>
      <c r="H56" s="93" t="s">
        <v>551</v>
      </c>
      <c r="I56" s="93" t="s">
        <v>552</v>
      </c>
      <c r="J56" s="93" t="s">
        <v>140</v>
      </c>
      <c r="K56" s="93" t="s">
        <v>529</v>
      </c>
      <c r="L56" s="93" t="s">
        <v>530</v>
      </c>
      <c r="M56" s="93" t="s">
        <v>553</v>
      </c>
      <c r="N56" s="93" t="s">
        <v>532</v>
      </c>
      <c r="O56" s="93" t="s">
        <v>554</v>
      </c>
      <c r="P56" s="93" t="s">
        <v>543</v>
      </c>
      <c r="Q56" s="93" t="s">
        <v>544</v>
      </c>
      <c r="R56" s="93" t="s">
        <v>567</v>
      </c>
      <c r="S56" s="93" t="s">
        <v>546</v>
      </c>
      <c r="T56" s="93" t="s">
        <v>537</v>
      </c>
      <c r="U56" s="93" t="s">
        <v>538</v>
      </c>
      <c r="V56" s="93" t="s">
        <v>155</v>
      </c>
      <c r="W56" s="93" t="s">
        <v>549</v>
      </c>
      <c r="X56" s="104">
        <v>6</v>
      </c>
      <c r="Y56" s="104">
        <v>6</v>
      </c>
      <c r="Z56" s="104">
        <v>4</v>
      </c>
      <c r="AA56" s="104">
        <v>1</v>
      </c>
      <c r="AB56" s="104">
        <v>6</v>
      </c>
      <c r="AC56" s="104">
        <v>4</v>
      </c>
      <c r="AD56" s="104">
        <v>0</v>
      </c>
      <c r="AE56" s="104">
        <v>6</v>
      </c>
      <c r="AF56" s="104">
        <v>7</v>
      </c>
      <c r="AG56" s="104">
        <v>4</v>
      </c>
      <c r="AH56" s="104">
        <v>6</v>
      </c>
      <c r="AI56" s="104">
        <v>2</v>
      </c>
      <c r="AJ56" s="104">
        <v>6</v>
      </c>
      <c r="AK56" s="104">
        <v>6</v>
      </c>
      <c r="AL56" s="104">
        <v>6</v>
      </c>
      <c r="AM56" s="104">
        <v>4</v>
      </c>
      <c r="AN56" s="104">
        <v>4</v>
      </c>
      <c r="AO56" s="104">
        <v>4</v>
      </c>
      <c r="AP56" s="104">
        <v>2</v>
      </c>
      <c r="AQ56" s="104">
        <v>6</v>
      </c>
    </row>
    <row r="57" spans="1:43" x14ac:dyDescent="0.35">
      <c r="A57" s="52">
        <v>54</v>
      </c>
      <c r="B57" s="52" t="s">
        <v>673</v>
      </c>
      <c r="C57" s="93"/>
      <c r="D57" s="101" t="s">
        <v>522</v>
      </c>
      <c r="E57" s="101" t="s">
        <v>523</v>
      </c>
      <c r="F57" s="101" t="s">
        <v>148</v>
      </c>
      <c r="G57" s="101" t="s">
        <v>550</v>
      </c>
      <c r="H57" s="101" t="s">
        <v>566</v>
      </c>
      <c r="I57" s="101" t="s">
        <v>552</v>
      </c>
      <c r="J57" s="101" t="s">
        <v>140</v>
      </c>
      <c r="K57" s="101" t="s">
        <v>529</v>
      </c>
      <c r="L57" s="101" t="s">
        <v>542</v>
      </c>
      <c r="M57" s="101" t="s">
        <v>553</v>
      </c>
      <c r="N57" s="101" t="s">
        <v>562</v>
      </c>
      <c r="O57" s="101" t="s">
        <v>554</v>
      </c>
      <c r="P57" s="101" t="s">
        <v>563</v>
      </c>
      <c r="Q57" s="101" t="s">
        <v>544</v>
      </c>
      <c r="R57" s="101" t="s">
        <v>545</v>
      </c>
      <c r="S57" s="101" t="s">
        <v>568</v>
      </c>
      <c r="T57" s="101" t="s">
        <v>537</v>
      </c>
      <c r="U57" s="101" t="s">
        <v>538</v>
      </c>
      <c r="V57" s="101" t="s">
        <v>155</v>
      </c>
      <c r="W57" s="101" t="s">
        <v>549</v>
      </c>
      <c r="X57" s="104">
        <v>5</v>
      </c>
      <c r="Y57" s="104">
        <v>6</v>
      </c>
      <c r="Z57" s="104">
        <v>4</v>
      </c>
      <c r="AA57" s="104">
        <v>4</v>
      </c>
      <c r="AB57" s="104">
        <v>5</v>
      </c>
      <c r="AC57" s="104">
        <v>5</v>
      </c>
      <c r="AD57" s="104">
        <v>2</v>
      </c>
      <c r="AE57" s="104">
        <v>3</v>
      </c>
      <c r="AF57" s="104">
        <v>3</v>
      </c>
      <c r="AG57" s="104">
        <v>4</v>
      </c>
      <c r="AH57" s="104">
        <v>4</v>
      </c>
      <c r="AI57" s="104">
        <v>3</v>
      </c>
      <c r="AJ57" s="104">
        <v>8</v>
      </c>
      <c r="AK57" s="104">
        <v>4</v>
      </c>
      <c r="AL57" s="104">
        <v>5</v>
      </c>
      <c r="AM57" s="104">
        <v>8</v>
      </c>
      <c r="AN57" s="104">
        <v>4</v>
      </c>
      <c r="AO57" s="104">
        <v>5</v>
      </c>
      <c r="AP57" s="104">
        <v>2</v>
      </c>
      <c r="AQ57" s="104">
        <v>6</v>
      </c>
    </row>
    <row r="58" spans="1:43" x14ac:dyDescent="0.35">
      <c r="A58" s="52">
        <v>55</v>
      </c>
      <c r="B58" s="52" t="s">
        <v>1075</v>
      </c>
      <c r="C58" s="93"/>
      <c r="D58" s="93" t="s">
        <v>539</v>
      </c>
      <c r="E58" s="93" t="s">
        <v>523</v>
      </c>
      <c r="F58" s="93" t="s">
        <v>148</v>
      </c>
      <c r="G58" s="93" t="s">
        <v>138</v>
      </c>
      <c r="H58" s="93" t="s">
        <v>561</v>
      </c>
      <c r="I58" s="93" t="s">
        <v>527</v>
      </c>
      <c r="J58" s="93" t="s">
        <v>140</v>
      </c>
      <c r="K58" s="93" t="s">
        <v>529</v>
      </c>
      <c r="L58" s="93" t="s">
        <v>542</v>
      </c>
      <c r="M58" s="93" t="s">
        <v>553</v>
      </c>
      <c r="N58" s="93" t="s">
        <v>532</v>
      </c>
      <c r="O58" s="93" t="s">
        <v>554</v>
      </c>
      <c r="P58" s="93" t="s">
        <v>563</v>
      </c>
      <c r="Q58" s="93" t="s">
        <v>544</v>
      </c>
      <c r="R58" s="93" t="s">
        <v>545</v>
      </c>
      <c r="S58" s="93" t="s">
        <v>536</v>
      </c>
      <c r="T58" s="93" t="s">
        <v>537</v>
      </c>
      <c r="U58" s="93" t="s">
        <v>548</v>
      </c>
      <c r="V58" s="93" t="s">
        <v>155</v>
      </c>
      <c r="W58" s="93" t="s">
        <v>549</v>
      </c>
      <c r="X58" s="104">
        <v>7</v>
      </c>
      <c r="Y58" s="104">
        <v>6</v>
      </c>
      <c r="Z58" s="104">
        <v>4</v>
      </c>
      <c r="AA58" s="104">
        <v>1</v>
      </c>
      <c r="AB58" s="104">
        <v>4</v>
      </c>
      <c r="AC58" s="104">
        <v>3</v>
      </c>
      <c r="AD58" s="104">
        <v>3</v>
      </c>
      <c r="AE58" s="104">
        <v>5</v>
      </c>
      <c r="AF58" s="104">
        <v>5</v>
      </c>
      <c r="AG58" s="104">
        <v>5</v>
      </c>
      <c r="AH58" s="104">
        <v>6</v>
      </c>
      <c r="AI58" s="104">
        <v>3</v>
      </c>
      <c r="AJ58" s="104">
        <v>7</v>
      </c>
      <c r="AK58" s="104">
        <v>5</v>
      </c>
      <c r="AL58" s="104">
        <v>5</v>
      </c>
      <c r="AM58" s="104">
        <v>6</v>
      </c>
      <c r="AN58" s="104">
        <v>4</v>
      </c>
      <c r="AO58" s="104">
        <v>3</v>
      </c>
      <c r="AP58" s="104">
        <v>2</v>
      </c>
      <c r="AQ58" s="104">
        <v>6</v>
      </c>
    </row>
    <row r="59" spans="1:43" x14ac:dyDescent="0.35">
      <c r="A59" s="52">
        <v>56</v>
      </c>
      <c r="B59" s="52" t="s">
        <v>289</v>
      </c>
      <c r="C59" s="93"/>
      <c r="D59" s="101" t="s">
        <v>522</v>
      </c>
      <c r="E59" s="101" t="s">
        <v>523</v>
      </c>
      <c r="F59" s="101" t="s">
        <v>148</v>
      </c>
      <c r="G59" s="101" t="s">
        <v>138</v>
      </c>
      <c r="H59" s="101" t="s">
        <v>526</v>
      </c>
      <c r="I59" s="101" t="s">
        <v>527</v>
      </c>
      <c r="J59" s="101" t="s">
        <v>140</v>
      </c>
      <c r="K59" s="101" t="s">
        <v>529</v>
      </c>
      <c r="L59" s="101" t="s">
        <v>530</v>
      </c>
      <c r="M59" s="101" t="s">
        <v>531</v>
      </c>
      <c r="N59" s="101" t="s">
        <v>532</v>
      </c>
      <c r="O59" s="101" t="s">
        <v>571</v>
      </c>
      <c r="P59" s="101" t="s">
        <v>534</v>
      </c>
      <c r="Q59" s="101" t="s">
        <v>544</v>
      </c>
      <c r="R59" s="101" t="s">
        <v>545</v>
      </c>
      <c r="S59" s="101" t="s">
        <v>546</v>
      </c>
      <c r="T59" s="101" t="s">
        <v>557</v>
      </c>
      <c r="U59" s="101" t="s">
        <v>154</v>
      </c>
      <c r="V59" s="101" t="s">
        <v>81</v>
      </c>
      <c r="W59" s="101" t="s">
        <v>574</v>
      </c>
      <c r="X59" s="104">
        <v>5</v>
      </c>
      <c r="Y59" s="104">
        <v>7</v>
      </c>
      <c r="Z59" s="104">
        <v>3</v>
      </c>
      <c r="AA59" s="104">
        <v>1</v>
      </c>
      <c r="AB59" s="104">
        <v>2</v>
      </c>
      <c r="AC59" s="104">
        <v>3</v>
      </c>
      <c r="AD59" s="104">
        <v>2</v>
      </c>
      <c r="AE59" s="104">
        <v>4</v>
      </c>
      <c r="AF59" s="104">
        <v>6</v>
      </c>
      <c r="AG59" s="104">
        <v>6</v>
      </c>
      <c r="AH59" s="104">
        <v>9</v>
      </c>
      <c r="AI59" s="104">
        <v>4</v>
      </c>
      <c r="AJ59" s="104">
        <v>4</v>
      </c>
      <c r="AK59" s="104">
        <v>4</v>
      </c>
      <c r="AL59" s="104">
        <v>4</v>
      </c>
      <c r="AM59" s="104">
        <v>4</v>
      </c>
      <c r="AN59" s="104">
        <v>7</v>
      </c>
      <c r="AO59" s="104">
        <v>1</v>
      </c>
      <c r="AP59" s="104">
        <v>5</v>
      </c>
      <c r="AQ59" s="104">
        <v>9</v>
      </c>
    </row>
    <row r="60" spans="1:43" x14ac:dyDescent="0.35">
      <c r="A60" s="52">
        <v>57</v>
      </c>
      <c r="B60" s="52" t="s">
        <v>1230</v>
      </c>
      <c r="C60" s="93"/>
      <c r="D60" s="93" t="s">
        <v>522</v>
      </c>
      <c r="E60" s="93" t="s">
        <v>523</v>
      </c>
      <c r="F60" s="93" t="s">
        <v>148</v>
      </c>
      <c r="G60" s="93" t="s">
        <v>556</v>
      </c>
      <c r="H60" s="93" t="s">
        <v>551</v>
      </c>
      <c r="I60" s="93" t="s">
        <v>527</v>
      </c>
      <c r="J60" s="93" t="s">
        <v>140</v>
      </c>
      <c r="K60" s="93" t="s">
        <v>141</v>
      </c>
      <c r="L60" s="93" t="s">
        <v>530</v>
      </c>
      <c r="M60" s="93" t="s">
        <v>553</v>
      </c>
      <c r="N60" s="93" t="s">
        <v>532</v>
      </c>
      <c r="O60" s="93" t="s">
        <v>579</v>
      </c>
      <c r="P60" s="93" t="s">
        <v>534</v>
      </c>
      <c r="Q60" s="93" t="s">
        <v>544</v>
      </c>
      <c r="R60" s="93" t="s">
        <v>567</v>
      </c>
      <c r="S60" s="93" t="s">
        <v>546</v>
      </c>
      <c r="T60" s="93" t="s">
        <v>537</v>
      </c>
      <c r="U60" s="93" t="s">
        <v>548</v>
      </c>
      <c r="V60" s="93" t="s">
        <v>155</v>
      </c>
      <c r="W60" s="93" t="s">
        <v>549</v>
      </c>
      <c r="X60" s="104">
        <v>5</v>
      </c>
      <c r="Y60" s="104">
        <v>7</v>
      </c>
      <c r="Z60" s="104">
        <v>3</v>
      </c>
      <c r="AA60" s="104">
        <v>3</v>
      </c>
      <c r="AB60" s="104">
        <v>6</v>
      </c>
      <c r="AC60" s="104">
        <v>3</v>
      </c>
      <c r="AD60" s="104">
        <v>3</v>
      </c>
      <c r="AE60" s="104">
        <v>1</v>
      </c>
      <c r="AF60" s="104">
        <v>6</v>
      </c>
      <c r="AG60" s="104">
        <v>4</v>
      </c>
      <c r="AH60" s="104">
        <v>8</v>
      </c>
      <c r="AI60" s="104">
        <v>7</v>
      </c>
      <c r="AJ60" s="104">
        <v>4</v>
      </c>
      <c r="AK60" s="104">
        <v>5</v>
      </c>
      <c r="AL60" s="104">
        <v>6</v>
      </c>
      <c r="AM60" s="104">
        <v>5</v>
      </c>
      <c r="AN60" s="104">
        <v>5</v>
      </c>
      <c r="AO60" s="104">
        <v>2</v>
      </c>
      <c r="AP60" s="104">
        <v>1</v>
      </c>
      <c r="AQ60" s="104">
        <v>6</v>
      </c>
    </row>
    <row r="61" spans="1:43" x14ac:dyDescent="0.35">
      <c r="A61" s="52">
        <v>58</v>
      </c>
      <c r="B61" s="52" t="s">
        <v>1232</v>
      </c>
      <c r="C61" s="93"/>
      <c r="D61" s="93" t="s">
        <v>539</v>
      </c>
      <c r="E61" s="93" t="s">
        <v>523</v>
      </c>
      <c r="F61" s="93" t="s">
        <v>524</v>
      </c>
      <c r="G61" s="93" t="s">
        <v>556</v>
      </c>
      <c r="H61" s="93" t="s">
        <v>526</v>
      </c>
      <c r="I61" s="93" t="s">
        <v>541</v>
      </c>
      <c r="J61" s="93" t="s">
        <v>140</v>
      </c>
      <c r="K61" s="93" t="s">
        <v>141</v>
      </c>
      <c r="L61" s="93" t="s">
        <v>152</v>
      </c>
      <c r="M61" s="93" t="s">
        <v>553</v>
      </c>
      <c r="N61" s="93" t="s">
        <v>532</v>
      </c>
      <c r="O61" s="93" t="s">
        <v>533</v>
      </c>
      <c r="P61" s="93" t="s">
        <v>543</v>
      </c>
      <c r="Q61" s="93" t="s">
        <v>544</v>
      </c>
      <c r="R61" s="93" t="s">
        <v>567</v>
      </c>
      <c r="S61" s="93" t="s">
        <v>546</v>
      </c>
      <c r="T61" s="93" t="s">
        <v>537</v>
      </c>
      <c r="U61" s="93" t="s">
        <v>548</v>
      </c>
      <c r="V61" s="93" t="s">
        <v>155</v>
      </c>
      <c r="W61" s="93" t="s">
        <v>549</v>
      </c>
      <c r="X61" s="104">
        <v>6</v>
      </c>
      <c r="Y61" s="104">
        <v>6</v>
      </c>
      <c r="Z61" s="104">
        <v>6</v>
      </c>
      <c r="AA61" s="104">
        <v>3</v>
      </c>
      <c r="AB61" s="104">
        <v>3</v>
      </c>
      <c r="AC61" s="104">
        <v>6</v>
      </c>
      <c r="AD61" s="104">
        <v>1</v>
      </c>
      <c r="AE61" s="104">
        <v>2</v>
      </c>
      <c r="AF61" s="104">
        <v>2</v>
      </c>
      <c r="AG61" s="104">
        <v>5</v>
      </c>
      <c r="AH61" s="104">
        <v>6</v>
      </c>
      <c r="AI61" s="104">
        <v>5</v>
      </c>
      <c r="AJ61" s="104">
        <v>6</v>
      </c>
      <c r="AK61" s="104">
        <v>5</v>
      </c>
      <c r="AL61" s="104">
        <v>6</v>
      </c>
      <c r="AM61" s="104">
        <v>5</v>
      </c>
      <c r="AN61" s="104">
        <v>4</v>
      </c>
      <c r="AO61" s="104">
        <v>3</v>
      </c>
      <c r="AP61" s="104">
        <v>3</v>
      </c>
      <c r="AQ61" s="104">
        <v>7</v>
      </c>
    </row>
    <row r="62" spans="1:43" x14ac:dyDescent="0.35">
      <c r="A62" s="52">
        <v>59</v>
      </c>
      <c r="B62" s="52" t="s">
        <v>667</v>
      </c>
      <c r="C62" s="93"/>
      <c r="D62" s="101" t="s">
        <v>539</v>
      </c>
      <c r="E62" s="101" t="s">
        <v>569</v>
      </c>
      <c r="F62" s="101" t="s">
        <v>524</v>
      </c>
      <c r="G62" s="101" t="s">
        <v>556</v>
      </c>
      <c r="H62" s="101" t="s">
        <v>149</v>
      </c>
      <c r="I62" s="101" t="s">
        <v>541</v>
      </c>
      <c r="J62" s="101" t="s">
        <v>140</v>
      </c>
      <c r="K62" s="101" t="s">
        <v>529</v>
      </c>
      <c r="L62" s="101" t="s">
        <v>530</v>
      </c>
      <c r="M62" s="101" t="s">
        <v>553</v>
      </c>
      <c r="N62" s="101" t="s">
        <v>142</v>
      </c>
      <c r="O62" s="101" t="s">
        <v>554</v>
      </c>
      <c r="P62" s="101" t="s">
        <v>534</v>
      </c>
      <c r="Q62" s="101" t="s">
        <v>544</v>
      </c>
      <c r="R62" s="101" t="s">
        <v>567</v>
      </c>
      <c r="S62" s="101" t="s">
        <v>546</v>
      </c>
      <c r="T62" s="101" t="s">
        <v>547</v>
      </c>
      <c r="U62" s="101" t="s">
        <v>538</v>
      </c>
      <c r="V62" s="101" t="s">
        <v>155</v>
      </c>
      <c r="W62" s="101" t="s">
        <v>549</v>
      </c>
      <c r="X62" s="104">
        <v>6</v>
      </c>
      <c r="Y62" s="104">
        <v>8</v>
      </c>
      <c r="Z62" s="104">
        <v>7</v>
      </c>
      <c r="AA62" s="104">
        <v>3</v>
      </c>
      <c r="AB62" s="104">
        <v>1</v>
      </c>
      <c r="AC62" s="104">
        <v>7</v>
      </c>
      <c r="AD62" s="104">
        <v>3</v>
      </c>
      <c r="AE62" s="104">
        <v>5</v>
      </c>
      <c r="AF62" s="104">
        <v>6</v>
      </c>
      <c r="AG62" s="104">
        <v>5</v>
      </c>
      <c r="AH62" s="104">
        <v>1</v>
      </c>
      <c r="AI62" s="104">
        <v>3</v>
      </c>
      <c r="AJ62" s="104">
        <v>4</v>
      </c>
      <c r="AK62" s="104">
        <v>5</v>
      </c>
      <c r="AL62" s="104">
        <v>6</v>
      </c>
      <c r="AM62" s="104">
        <v>4</v>
      </c>
      <c r="AN62" s="104">
        <v>3</v>
      </c>
      <c r="AO62" s="104">
        <v>4</v>
      </c>
      <c r="AP62" s="104">
        <v>3</v>
      </c>
      <c r="AQ62" s="104">
        <v>6</v>
      </c>
    </row>
    <row r="63" spans="1:43" x14ac:dyDescent="0.35">
      <c r="A63" s="52">
        <v>60</v>
      </c>
      <c r="B63" s="52" t="s">
        <v>689</v>
      </c>
      <c r="C63" s="93"/>
      <c r="D63" s="101" t="s">
        <v>539</v>
      </c>
      <c r="E63" s="101" t="s">
        <v>540</v>
      </c>
      <c r="F63" s="101" t="s">
        <v>148</v>
      </c>
      <c r="G63" s="101" t="s">
        <v>138</v>
      </c>
      <c r="H63" s="101" t="s">
        <v>560</v>
      </c>
      <c r="I63" s="101" t="s">
        <v>527</v>
      </c>
      <c r="J63" s="101" t="s">
        <v>558</v>
      </c>
      <c r="K63" s="101" t="s">
        <v>529</v>
      </c>
      <c r="L63" s="101" t="s">
        <v>542</v>
      </c>
      <c r="M63" s="101" t="s">
        <v>151</v>
      </c>
      <c r="N63" s="101" t="s">
        <v>562</v>
      </c>
      <c r="O63" s="101" t="s">
        <v>579</v>
      </c>
      <c r="P63" s="101" t="s">
        <v>543</v>
      </c>
      <c r="Q63" s="101" t="s">
        <v>544</v>
      </c>
      <c r="R63" s="101" t="s">
        <v>545</v>
      </c>
      <c r="S63" s="101" t="s">
        <v>546</v>
      </c>
      <c r="T63" s="101" t="s">
        <v>537</v>
      </c>
      <c r="U63" s="101" t="s">
        <v>538</v>
      </c>
      <c r="V63" s="101" t="s">
        <v>155</v>
      </c>
      <c r="W63" s="101" t="s">
        <v>555</v>
      </c>
      <c r="X63" s="104">
        <v>6</v>
      </c>
      <c r="Y63" s="104">
        <v>3</v>
      </c>
      <c r="Z63" s="104">
        <v>4</v>
      </c>
      <c r="AA63" s="104">
        <v>1</v>
      </c>
      <c r="AB63" s="104">
        <v>8</v>
      </c>
      <c r="AC63" s="104">
        <v>3</v>
      </c>
      <c r="AD63" s="104">
        <v>6</v>
      </c>
      <c r="AE63" s="104">
        <v>6</v>
      </c>
      <c r="AF63" s="104">
        <v>4</v>
      </c>
      <c r="AG63" s="104">
        <v>2</v>
      </c>
      <c r="AH63" s="104">
        <v>4</v>
      </c>
      <c r="AI63" s="104">
        <v>6</v>
      </c>
      <c r="AJ63" s="104">
        <v>6</v>
      </c>
      <c r="AK63" s="104">
        <v>5</v>
      </c>
      <c r="AL63" s="104">
        <v>5</v>
      </c>
      <c r="AM63" s="104">
        <v>5</v>
      </c>
      <c r="AN63" s="104">
        <v>6</v>
      </c>
      <c r="AO63" s="104">
        <v>4</v>
      </c>
      <c r="AP63" s="104">
        <v>1</v>
      </c>
      <c r="AQ63" s="104">
        <v>5</v>
      </c>
    </row>
    <row r="64" spans="1:43" x14ac:dyDescent="0.35">
      <c r="A64" s="52">
        <v>61</v>
      </c>
      <c r="B64" s="52" t="s">
        <v>1204</v>
      </c>
      <c r="C64" s="93"/>
      <c r="D64" s="93" t="s">
        <v>539</v>
      </c>
      <c r="E64" s="93" t="s">
        <v>540</v>
      </c>
      <c r="F64" s="93" t="s">
        <v>148</v>
      </c>
      <c r="G64" s="93" t="s">
        <v>556</v>
      </c>
      <c r="H64" s="93" t="s">
        <v>566</v>
      </c>
      <c r="I64" s="93" t="s">
        <v>552</v>
      </c>
      <c r="J64" s="93" t="s">
        <v>558</v>
      </c>
      <c r="K64" s="93" t="s">
        <v>529</v>
      </c>
      <c r="L64" s="93" t="s">
        <v>542</v>
      </c>
      <c r="M64" s="93" t="s">
        <v>553</v>
      </c>
      <c r="N64" s="93" t="s">
        <v>562</v>
      </c>
      <c r="O64" s="93" t="s">
        <v>571</v>
      </c>
      <c r="P64" s="93" t="s">
        <v>563</v>
      </c>
      <c r="Q64" s="93" t="s">
        <v>544</v>
      </c>
      <c r="R64" s="93" t="s">
        <v>545</v>
      </c>
      <c r="S64" s="93" t="s">
        <v>568</v>
      </c>
      <c r="T64" s="93" t="s">
        <v>537</v>
      </c>
      <c r="U64" s="93" t="s">
        <v>548</v>
      </c>
      <c r="V64" s="93" t="s">
        <v>155</v>
      </c>
      <c r="W64" s="93" t="s">
        <v>555</v>
      </c>
      <c r="X64" s="104">
        <v>7</v>
      </c>
      <c r="Y64" s="104">
        <v>3</v>
      </c>
      <c r="Z64" s="104">
        <v>3</v>
      </c>
      <c r="AA64" s="104">
        <v>2</v>
      </c>
      <c r="AB64" s="104">
        <v>5</v>
      </c>
      <c r="AC64" s="104">
        <v>4</v>
      </c>
      <c r="AD64" s="104">
        <v>6</v>
      </c>
      <c r="AE64" s="104">
        <v>6</v>
      </c>
      <c r="AF64" s="104">
        <v>3</v>
      </c>
      <c r="AG64" s="104">
        <v>4</v>
      </c>
      <c r="AH64" s="104">
        <v>4</v>
      </c>
      <c r="AI64" s="104">
        <v>4</v>
      </c>
      <c r="AJ64" s="104">
        <v>7</v>
      </c>
      <c r="AK64" s="104">
        <v>5</v>
      </c>
      <c r="AL64" s="104">
        <v>4</v>
      </c>
      <c r="AM64" s="104">
        <v>8</v>
      </c>
      <c r="AN64" s="104">
        <v>4</v>
      </c>
      <c r="AO64" s="104">
        <v>3</v>
      </c>
      <c r="AP64" s="104">
        <v>3</v>
      </c>
      <c r="AQ64" s="104">
        <v>5</v>
      </c>
    </row>
    <row r="65" spans="1:43" x14ac:dyDescent="0.35">
      <c r="A65" s="52">
        <v>62</v>
      </c>
      <c r="B65" s="52" t="s">
        <v>1048</v>
      </c>
      <c r="C65" s="93"/>
      <c r="D65" s="93" t="s">
        <v>578</v>
      </c>
      <c r="E65" s="93" t="s">
        <v>523</v>
      </c>
      <c r="F65" s="93" t="s">
        <v>148</v>
      </c>
      <c r="G65" s="93" t="s">
        <v>138</v>
      </c>
      <c r="H65" s="93" t="s">
        <v>526</v>
      </c>
      <c r="I65" s="93" t="s">
        <v>552</v>
      </c>
      <c r="J65" s="93" t="s">
        <v>140</v>
      </c>
      <c r="K65" s="93" t="s">
        <v>529</v>
      </c>
      <c r="L65" s="93" t="s">
        <v>542</v>
      </c>
      <c r="M65" s="93" t="s">
        <v>531</v>
      </c>
      <c r="N65" s="93" t="s">
        <v>562</v>
      </c>
      <c r="O65" s="93" t="s">
        <v>554</v>
      </c>
      <c r="P65" s="93" t="s">
        <v>534</v>
      </c>
      <c r="Q65" s="93" t="s">
        <v>544</v>
      </c>
      <c r="R65" s="93" t="s">
        <v>545</v>
      </c>
      <c r="S65" s="93" t="s">
        <v>546</v>
      </c>
      <c r="T65" s="93" t="s">
        <v>557</v>
      </c>
      <c r="U65" s="93" t="s">
        <v>548</v>
      </c>
      <c r="V65" s="93" t="s">
        <v>81</v>
      </c>
      <c r="W65" s="93" t="s">
        <v>549</v>
      </c>
      <c r="X65" s="104">
        <v>8</v>
      </c>
      <c r="Y65" s="104">
        <v>7</v>
      </c>
      <c r="Z65" s="104">
        <v>4</v>
      </c>
      <c r="AA65" s="104">
        <v>1</v>
      </c>
      <c r="AB65" s="104">
        <v>3</v>
      </c>
      <c r="AC65" s="104">
        <v>5</v>
      </c>
      <c r="AD65" s="104">
        <v>3</v>
      </c>
      <c r="AE65" s="104">
        <v>5</v>
      </c>
      <c r="AF65" s="104">
        <v>4</v>
      </c>
      <c r="AG65" s="104">
        <v>6</v>
      </c>
      <c r="AH65" s="104">
        <v>4</v>
      </c>
      <c r="AI65" s="104">
        <v>2</v>
      </c>
      <c r="AJ65" s="104">
        <v>4</v>
      </c>
      <c r="AK65" s="104">
        <v>5</v>
      </c>
      <c r="AL65" s="104">
        <v>4</v>
      </c>
      <c r="AM65" s="104">
        <v>5</v>
      </c>
      <c r="AN65" s="104">
        <v>7</v>
      </c>
      <c r="AO65" s="104">
        <v>3</v>
      </c>
      <c r="AP65" s="104">
        <v>4</v>
      </c>
      <c r="AQ65" s="104">
        <v>6</v>
      </c>
    </row>
    <row r="66" spans="1:43" x14ac:dyDescent="0.35">
      <c r="A66" s="52">
        <v>63</v>
      </c>
      <c r="B66" s="52" t="s">
        <v>250</v>
      </c>
      <c r="C66" s="93"/>
      <c r="D66" s="101" t="s">
        <v>147</v>
      </c>
      <c r="E66" s="101" t="s">
        <v>523</v>
      </c>
      <c r="F66" s="101" t="s">
        <v>148</v>
      </c>
      <c r="G66" s="101" t="s">
        <v>556</v>
      </c>
      <c r="H66" s="101" t="s">
        <v>149</v>
      </c>
      <c r="I66" s="101" t="s">
        <v>527</v>
      </c>
      <c r="J66" s="101" t="s">
        <v>528</v>
      </c>
      <c r="K66" s="101" t="s">
        <v>141</v>
      </c>
      <c r="L66" s="101" t="s">
        <v>530</v>
      </c>
      <c r="M66" s="101" t="s">
        <v>531</v>
      </c>
      <c r="N66" s="101" t="s">
        <v>562</v>
      </c>
      <c r="O66" s="101" t="s">
        <v>554</v>
      </c>
      <c r="P66" s="101" t="s">
        <v>543</v>
      </c>
      <c r="Q66" s="101" t="s">
        <v>544</v>
      </c>
      <c r="R66" s="101" t="s">
        <v>567</v>
      </c>
      <c r="S66" s="101" t="s">
        <v>536</v>
      </c>
      <c r="T66" s="101" t="s">
        <v>537</v>
      </c>
      <c r="U66" s="101" t="s">
        <v>548</v>
      </c>
      <c r="V66" s="101" t="s">
        <v>81</v>
      </c>
      <c r="W66" s="101" t="s">
        <v>549</v>
      </c>
      <c r="X66" s="104">
        <v>2</v>
      </c>
      <c r="Y66" s="104">
        <v>6</v>
      </c>
      <c r="Z66" s="104">
        <v>3</v>
      </c>
      <c r="AA66" s="104">
        <v>2</v>
      </c>
      <c r="AB66" s="104">
        <v>1</v>
      </c>
      <c r="AC66" s="104">
        <v>3</v>
      </c>
      <c r="AD66" s="104">
        <v>8</v>
      </c>
      <c r="AE66" s="104">
        <v>0</v>
      </c>
      <c r="AF66" s="104">
        <v>7</v>
      </c>
      <c r="AG66" s="104">
        <v>7</v>
      </c>
      <c r="AH66" s="104">
        <v>3</v>
      </c>
      <c r="AI66" s="104">
        <v>3</v>
      </c>
      <c r="AJ66" s="104">
        <v>6</v>
      </c>
      <c r="AK66" s="104">
        <v>6</v>
      </c>
      <c r="AL66" s="104">
        <v>7</v>
      </c>
      <c r="AM66" s="104">
        <v>7</v>
      </c>
      <c r="AN66" s="104">
        <v>4</v>
      </c>
      <c r="AO66" s="104">
        <v>3</v>
      </c>
      <c r="AP66" s="104">
        <v>5</v>
      </c>
      <c r="AQ66" s="104">
        <v>7</v>
      </c>
    </row>
    <row r="67" spans="1:43" x14ac:dyDescent="0.35">
      <c r="A67" s="52">
        <v>64</v>
      </c>
      <c r="B67" s="52" t="s">
        <v>1107</v>
      </c>
      <c r="C67" s="93"/>
      <c r="D67" s="93" t="s">
        <v>578</v>
      </c>
      <c r="E67" s="93" t="s">
        <v>540</v>
      </c>
      <c r="F67" s="93" t="s">
        <v>148</v>
      </c>
      <c r="G67" s="93" t="s">
        <v>556</v>
      </c>
      <c r="H67" s="93" t="s">
        <v>561</v>
      </c>
      <c r="I67" s="93" t="s">
        <v>527</v>
      </c>
      <c r="J67" s="93" t="s">
        <v>558</v>
      </c>
      <c r="K67" s="93" t="s">
        <v>529</v>
      </c>
      <c r="L67" s="93" t="s">
        <v>542</v>
      </c>
      <c r="M67" s="93" t="s">
        <v>553</v>
      </c>
      <c r="N67" s="93" t="s">
        <v>532</v>
      </c>
      <c r="O67" s="93" t="s">
        <v>554</v>
      </c>
      <c r="P67" s="93" t="s">
        <v>543</v>
      </c>
      <c r="Q67" s="93" t="s">
        <v>544</v>
      </c>
      <c r="R67" s="93" t="s">
        <v>567</v>
      </c>
      <c r="S67" s="93" t="s">
        <v>546</v>
      </c>
      <c r="T67" s="93" t="s">
        <v>557</v>
      </c>
      <c r="U67" s="93" t="s">
        <v>548</v>
      </c>
      <c r="V67" s="93" t="s">
        <v>81</v>
      </c>
      <c r="W67" s="93" t="s">
        <v>549</v>
      </c>
      <c r="X67" s="104">
        <v>9</v>
      </c>
      <c r="Y67" s="104">
        <v>3</v>
      </c>
      <c r="Z67" s="104">
        <v>4</v>
      </c>
      <c r="AA67" s="104">
        <v>2</v>
      </c>
      <c r="AB67" s="104">
        <v>4</v>
      </c>
      <c r="AC67" s="104">
        <v>2</v>
      </c>
      <c r="AD67" s="104">
        <v>5</v>
      </c>
      <c r="AE67" s="104">
        <v>3</v>
      </c>
      <c r="AF67" s="104">
        <v>3</v>
      </c>
      <c r="AG67" s="104">
        <v>4</v>
      </c>
      <c r="AH67" s="104">
        <v>6</v>
      </c>
      <c r="AI67" s="104">
        <v>2</v>
      </c>
      <c r="AJ67" s="104">
        <v>5</v>
      </c>
      <c r="AK67" s="104">
        <v>5</v>
      </c>
      <c r="AL67" s="104">
        <v>6</v>
      </c>
      <c r="AM67" s="104">
        <v>4</v>
      </c>
      <c r="AN67" s="104">
        <v>8</v>
      </c>
      <c r="AO67" s="104">
        <v>3</v>
      </c>
      <c r="AP67" s="104">
        <v>5</v>
      </c>
      <c r="AQ67" s="104">
        <v>7</v>
      </c>
    </row>
    <row r="68" spans="1:43" x14ac:dyDescent="0.35">
      <c r="A68" s="52">
        <v>65</v>
      </c>
      <c r="B68" s="52" t="s">
        <v>1050</v>
      </c>
      <c r="C68" s="93"/>
      <c r="D68" s="93" t="s">
        <v>539</v>
      </c>
      <c r="E68" s="93" t="s">
        <v>523</v>
      </c>
      <c r="F68" s="93" t="s">
        <v>524</v>
      </c>
      <c r="G68" s="93" t="s">
        <v>138</v>
      </c>
      <c r="H68" s="93" t="s">
        <v>561</v>
      </c>
      <c r="I68" s="93" t="s">
        <v>552</v>
      </c>
      <c r="J68" s="93" t="s">
        <v>558</v>
      </c>
      <c r="K68" s="93" t="s">
        <v>529</v>
      </c>
      <c r="L68" s="93" t="s">
        <v>152</v>
      </c>
      <c r="M68" s="93" t="s">
        <v>553</v>
      </c>
      <c r="N68" s="93" t="s">
        <v>562</v>
      </c>
      <c r="O68" s="93" t="s">
        <v>571</v>
      </c>
      <c r="P68" s="93" t="s">
        <v>563</v>
      </c>
      <c r="Q68" s="93" t="s">
        <v>535</v>
      </c>
      <c r="R68" s="93" t="s">
        <v>567</v>
      </c>
      <c r="S68" s="93" t="s">
        <v>536</v>
      </c>
      <c r="T68" s="93" t="s">
        <v>547</v>
      </c>
      <c r="U68" s="93" t="s">
        <v>576</v>
      </c>
      <c r="V68" s="93" t="s">
        <v>155</v>
      </c>
      <c r="W68" s="93" t="s">
        <v>555</v>
      </c>
      <c r="X68" s="104">
        <v>6</v>
      </c>
      <c r="Y68" s="104">
        <v>7</v>
      </c>
      <c r="Z68" s="104">
        <v>6</v>
      </c>
      <c r="AA68" s="104">
        <v>1</v>
      </c>
      <c r="AB68" s="104">
        <v>4</v>
      </c>
      <c r="AC68" s="104">
        <v>5</v>
      </c>
      <c r="AD68" s="104">
        <v>6</v>
      </c>
      <c r="AE68" s="104">
        <v>3</v>
      </c>
      <c r="AF68" s="104">
        <v>2</v>
      </c>
      <c r="AG68" s="104">
        <v>4</v>
      </c>
      <c r="AH68" s="104">
        <v>3</v>
      </c>
      <c r="AI68" s="104">
        <v>4</v>
      </c>
      <c r="AJ68" s="104">
        <v>7</v>
      </c>
      <c r="AK68" s="104">
        <v>3</v>
      </c>
      <c r="AL68" s="104">
        <v>7</v>
      </c>
      <c r="AM68" s="104">
        <v>6</v>
      </c>
      <c r="AN68" s="104">
        <v>3</v>
      </c>
      <c r="AO68" s="104">
        <v>6</v>
      </c>
      <c r="AP68" s="104">
        <v>2</v>
      </c>
      <c r="AQ68" s="104">
        <v>5</v>
      </c>
    </row>
    <row r="69" spans="1:43" x14ac:dyDescent="0.35">
      <c r="A69" s="52">
        <v>66</v>
      </c>
      <c r="B69" s="52" t="s">
        <v>1109</v>
      </c>
      <c r="C69" s="93"/>
      <c r="D69" s="93" t="s">
        <v>539</v>
      </c>
      <c r="E69" s="93" t="s">
        <v>569</v>
      </c>
      <c r="F69" s="93" t="s">
        <v>148</v>
      </c>
      <c r="G69" s="93" t="s">
        <v>138</v>
      </c>
      <c r="H69" s="93" t="s">
        <v>526</v>
      </c>
      <c r="I69" s="93" t="s">
        <v>527</v>
      </c>
      <c r="J69" s="93" t="s">
        <v>558</v>
      </c>
      <c r="K69" s="93" t="s">
        <v>575</v>
      </c>
      <c r="L69" s="93" t="s">
        <v>530</v>
      </c>
      <c r="M69" s="93" t="s">
        <v>531</v>
      </c>
      <c r="N69" s="93" t="s">
        <v>532</v>
      </c>
      <c r="O69" s="93" t="s">
        <v>150</v>
      </c>
      <c r="P69" s="93" t="s">
        <v>145</v>
      </c>
      <c r="Q69" s="93" t="s">
        <v>544</v>
      </c>
      <c r="R69" s="93" t="s">
        <v>143</v>
      </c>
      <c r="S69" s="93" t="s">
        <v>568</v>
      </c>
      <c r="T69" s="93" t="s">
        <v>537</v>
      </c>
      <c r="U69" s="93" t="s">
        <v>538</v>
      </c>
      <c r="V69" s="93" t="s">
        <v>81</v>
      </c>
      <c r="W69" s="93" t="s">
        <v>555</v>
      </c>
      <c r="X69" s="104">
        <v>6</v>
      </c>
      <c r="Y69" s="104">
        <v>8</v>
      </c>
      <c r="Z69" s="104">
        <v>3</v>
      </c>
      <c r="AA69" s="104">
        <v>1</v>
      </c>
      <c r="AB69" s="104">
        <v>2</v>
      </c>
      <c r="AC69" s="104">
        <v>3</v>
      </c>
      <c r="AD69" s="104">
        <v>4</v>
      </c>
      <c r="AE69" s="104">
        <v>8</v>
      </c>
      <c r="AF69" s="104">
        <v>6</v>
      </c>
      <c r="AG69" s="104">
        <v>7</v>
      </c>
      <c r="AH69" s="104">
        <v>6</v>
      </c>
      <c r="AI69" s="104">
        <v>0</v>
      </c>
      <c r="AJ69" s="104">
        <v>1</v>
      </c>
      <c r="AK69" s="104">
        <v>6</v>
      </c>
      <c r="AL69" s="104">
        <v>3</v>
      </c>
      <c r="AM69" s="104">
        <v>8</v>
      </c>
      <c r="AN69" s="104">
        <v>5</v>
      </c>
      <c r="AO69" s="104">
        <v>4</v>
      </c>
      <c r="AP69" s="104">
        <v>5</v>
      </c>
      <c r="AQ69" s="104">
        <v>4</v>
      </c>
    </row>
    <row r="70" spans="1:43" x14ac:dyDescent="0.35">
      <c r="A70" s="52">
        <v>67</v>
      </c>
      <c r="B70" s="52" t="s">
        <v>1219</v>
      </c>
      <c r="C70" s="93"/>
      <c r="D70" s="93" t="s">
        <v>539</v>
      </c>
      <c r="E70" s="93" t="s">
        <v>540</v>
      </c>
      <c r="F70" s="93" t="s">
        <v>524</v>
      </c>
      <c r="G70" s="93" t="s">
        <v>570</v>
      </c>
      <c r="H70" s="93" t="s">
        <v>560</v>
      </c>
      <c r="I70" s="93" t="s">
        <v>527</v>
      </c>
      <c r="J70" s="93" t="s">
        <v>558</v>
      </c>
      <c r="K70" s="93" t="s">
        <v>529</v>
      </c>
      <c r="L70" s="93" t="s">
        <v>152</v>
      </c>
      <c r="M70" s="93" t="s">
        <v>151</v>
      </c>
      <c r="N70" s="93" t="s">
        <v>562</v>
      </c>
      <c r="O70" s="93" t="s">
        <v>571</v>
      </c>
      <c r="P70" s="93" t="s">
        <v>543</v>
      </c>
      <c r="Q70" s="93" t="s">
        <v>544</v>
      </c>
      <c r="R70" s="93" t="s">
        <v>545</v>
      </c>
      <c r="S70" s="93" t="s">
        <v>546</v>
      </c>
      <c r="T70" s="93" t="s">
        <v>547</v>
      </c>
      <c r="U70" s="93" t="s">
        <v>548</v>
      </c>
      <c r="V70" s="93" t="s">
        <v>155</v>
      </c>
      <c r="W70" s="93" t="s">
        <v>555</v>
      </c>
      <c r="X70" s="104">
        <v>7</v>
      </c>
      <c r="Y70" s="104">
        <v>4</v>
      </c>
      <c r="Z70" s="104">
        <v>7</v>
      </c>
      <c r="AA70" s="104">
        <v>5</v>
      </c>
      <c r="AB70" s="104">
        <v>8</v>
      </c>
      <c r="AC70" s="104">
        <v>3</v>
      </c>
      <c r="AD70" s="104">
        <v>4</v>
      </c>
      <c r="AE70" s="104">
        <v>6</v>
      </c>
      <c r="AF70" s="104">
        <v>2</v>
      </c>
      <c r="AG70" s="104">
        <v>2</v>
      </c>
      <c r="AH70" s="104">
        <v>4</v>
      </c>
      <c r="AI70" s="104">
        <v>4</v>
      </c>
      <c r="AJ70" s="104">
        <v>5</v>
      </c>
      <c r="AK70" s="104">
        <v>6</v>
      </c>
      <c r="AL70" s="104">
        <v>5</v>
      </c>
      <c r="AM70" s="104">
        <v>5</v>
      </c>
      <c r="AN70" s="104">
        <v>3</v>
      </c>
      <c r="AO70" s="104">
        <v>3</v>
      </c>
      <c r="AP70" s="104">
        <v>2</v>
      </c>
      <c r="AQ70" s="104">
        <v>5</v>
      </c>
    </row>
    <row r="71" spans="1:43" x14ac:dyDescent="0.35">
      <c r="A71" s="52">
        <v>68</v>
      </c>
      <c r="B71" s="52" t="s">
        <v>1209</v>
      </c>
      <c r="C71" s="93"/>
      <c r="D71" s="93" t="s">
        <v>522</v>
      </c>
      <c r="E71" s="93" t="s">
        <v>540</v>
      </c>
      <c r="F71" s="93" t="s">
        <v>524</v>
      </c>
      <c r="G71" s="93" t="s">
        <v>556</v>
      </c>
      <c r="H71" s="93" t="s">
        <v>566</v>
      </c>
      <c r="I71" s="93" t="s">
        <v>572</v>
      </c>
      <c r="J71" s="93" t="s">
        <v>558</v>
      </c>
      <c r="K71" s="93" t="s">
        <v>141</v>
      </c>
      <c r="L71" s="93" t="s">
        <v>542</v>
      </c>
      <c r="M71" s="93" t="s">
        <v>553</v>
      </c>
      <c r="N71" s="93" t="s">
        <v>562</v>
      </c>
      <c r="O71" s="93" t="s">
        <v>554</v>
      </c>
      <c r="P71" s="93" t="s">
        <v>543</v>
      </c>
      <c r="Q71" s="93" t="s">
        <v>564</v>
      </c>
      <c r="R71" s="93" t="s">
        <v>567</v>
      </c>
      <c r="S71" s="93" t="s">
        <v>565</v>
      </c>
      <c r="T71" s="93" t="s">
        <v>547</v>
      </c>
      <c r="U71" s="93" t="s">
        <v>538</v>
      </c>
      <c r="V71" s="93" t="s">
        <v>155</v>
      </c>
      <c r="W71" s="93" t="s">
        <v>549</v>
      </c>
      <c r="X71" s="104">
        <v>5</v>
      </c>
      <c r="Y71" s="104">
        <v>4</v>
      </c>
      <c r="Z71" s="104">
        <v>6</v>
      </c>
      <c r="AA71" s="104">
        <v>3</v>
      </c>
      <c r="AB71" s="104">
        <v>5</v>
      </c>
      <c r="AC71" s="104">
        <v>8</v>
      </c>
      <c r="AD71" s="104">
        <v>4</v>
      </c>
      <c r="AE71" s="104">
        <v>2</v>
      </c>
      <c r="AF71" s="104">
        <v>4</v>
      </c>
      <c r="AG71" s="104">
        <v>5</v>
      </c>
      <c r="AH71" s="104">
        <v>4</v>
      </c>
      <c r="AI71" s="104">
        <v>3</v>
      </c>
      <c r="AJ71" s="104">
        <v>5</v>
      </c>
      <c r="AK71" s="104">
        <v>7</v>
      </c>
      <c r="AL71" s="104">
        <v>6</v>
      </c>
      <c r="AM71" s="104">
        <v>3</v>
      </c>
      <c r="AN71" s="104">
        <v>2</v>
      </c>
      <c r="AO71" s="104">
        <v>5</v>
      </c>
      <c r="AP71" s="104">
        <v>2</v>
      </c>
      <c r="AQ71" s="104">
        <v>7</v>
      </c>
    </row>
    <row r="72" spans="1:43" x14ac:dyDescent="0.35">
      <c r="A72" s="52">
        <v>69</v>
      </c>
      <c r="B72" s="52" t="s">
        <v>1221</v>
      </c>
      <c r="C72" s="93"/>
      <c r="D72" s="93" t="s">
        <v>539</v>
      </c>
      <c r="E72" s="93" t="s">
        <v>540</v>
      </c>
      <c r="F72" s="93" t="s">
        <v>524</v>
      </c>
      <c r="G72" s="93" t="s">
        <v>525</v>
      </c>
      <c r="H72" s="93" t="s">
        <v>526</v>
      </c>
      <c r="I72" s="93" t="s">
        <v>552</v>
      </c>
      <c r="J72" s="93" t="s">
        <v>558</v>
      </c>
      <c r="K72" s="93" t="s">
        <v>529</v>
      </c>
      <c r="L72" s="93" t="s">
        <v>152</v>
      </c>
      <c r="M72" s="93" t="s">
        <v>553</v>
      </c>
      <c r="N72" s="93" t="s">
        <v>562</v>
      </c>
      <c r="O72" s="93" t="s">
        <v>554</v>
      </c>
      <c r="P72" s="93" t="s">
        <v>534</v>
      </c>
      <c r="Q72" s="93" t="s">
        <v>544</v>
      </c>
      <c r="R72" s="93" t="s">
        <v>545</v>
      </c>
      <c r="S72" s="93" t="s">
        <v>546</v>
      </c>
      <c r="T72" s="93" t="s">
        <v>547</v>
      </c>
      <c r="U72" s="93" t="s">
        <v>538</v>
      </c>
      <c r="V72" s="93" t="s">
        <v>81</v>
      </c>
      <c r="W72" s="93" t="s">
        <v>549</v>
      </c>
      <c r="X72" s="104">
        <v>6</v>
      </c>
      <c r="Y72" s="104">
        <v>4</v>
      </c>
      <c r="Z72" s="104">
        <v>6</v>
      </c>
      <c r="AA72" s="104">
        <v>6</v>
      </c>
      <c r="AB72" s="104">
        <v>3</v>
      </c>
      <c r="AC72" s="104">
        <v>5</v>
      </c>
      <c r="AD72" s="104">
        <v>4</v>
      </c>
      <c r="AE72" s="104">
        <v>4</v>
      </c>
      <c r="AF72" s="104">
        <v>2</v>
      </c>
      <c r="AG72" s="104">
        <v>5</v>
      </c>
      <c r="AH72" s="104">
        <v>4</v>
      </c>
      <c r="AI72" s="104">
        <v>2</v>
      </c>
      <c r="AJ72" s="104">
        <v>4</v>
      </c>
      <c r="AK72" s="104">
        <v>6</v>
      </c>
      <c r="AL72" s="104">
        <v>5</v>
      </c>
      <c r="AM72" s="104">
        <v>4</v>
      </c>
      <c r="AN72" s="104">
        <v>3</v>
      </c>
      <c r="AO72" s="104">
        <v>5</v>
      </c>
      <c r="AP72" s="104">
        <v>5</v>
      </c>
      <c r="AQ72" s="104">
        <v>7</v>
      </c>
    </row>
    <row r="73" spans="1:43" x14ac:dyDescent="0.35">
      <c r="A73" s="52">
        <v>70</v>
      </c>
      <c r="B73" s="52" t="s">
        <v>1026</v>
      </c>
      <c r="C73" s="93"/>
      <c r="D73" s="93" t="s">
        <v>522</v>
      </c>
      <c r="E73" s="93" t="s">
        <v>569</v>
      </c>
      <c r="F73" s="93" t="s">
        <v>148</v>
      </c>
      <c r="G73" s="93" t="s">
        <v>525</v>
      </c>
      <c r="H73" s="93" t="s">
        <v>551</v>
      </c>
      <c r="I73" s="93" t="s">
        <v>541</v>
      </c>
      <c r="J73" s="93" t="s">
        <v>528</v>
      </c>
      <c r="K73" s="93" t="s">
        <v>529</v>
      </c>
      <c r="L73" s="93" t="s">
        <v>542</v>
      </c>
      <c r="M73" s="93" t="s">
        <v>553</v>
      </c>
      <c r="N73" s="93" t="s">
        <v>532</v>
      </c>
      <c r="O73" s="93" t="s">
        <v>554</v>
      </c>
      <c r="P73" s="93" t="s">
        <v>145</v>
      </c>
      <c r="Q73" s="93" t="s">
        <v>544</v>
      </c>
      <c r="R73" s="93" t="s">
        <v>545</v>
      </c>
      <c r="S73" s="93" t="s">
        <v>536</v>
      </c>
      <c r="T73" s="93" t="s">
        <v>547</v>
      </c>
      <c r="U73" s="93" t="s">
        <v>538</v>
      </c>
      <c r="V73" s="93" t="s">
        <v>155</v>
      </c>
      <c r="W73" s="93" t="s">
        <v>549</v>
      </c>
      <c r="X73" s="104">
        <v>5</v>
      </c>
      <c r="Y73" s="104">
        <v>8</v>
      </c>
      <c r="Z73" s="104">
        <v>4</v>
      </c>
      <c r="AA73" s="104">
        <v>6</v>
      </c>
      <c r="AB73" s="104">
        <v>6</v>
      </c>
      <c r="AC73" s="104">
        <v>6</v>
      </c>
      <c r="AD73" s="104">
        <v>7</v>
      </c>
      <c r="AE73" s="104">
        <v>3</v>
      </c>
      <c r="AF73" s="104">
        <v>3</v>
      </c>
      <c r="AG73" s="104">
        <v>5</v>
      </c>
      <c r="AH73" s="104">
        <v>5</v>
      </c>
      <c r="AI73" s="104">
        <v>3</v>
      </c>
      <c r="AJ73" s="104">
        <v>0</v>
      </c>
      <c r="AK73" s="104">
        <v>4</v>
      </c>
      <c r="AL73" s="104">
        <v>4</v>
      </c>
      <c r="AM73" s="104">
        <v>6</v>
      </c>
      <c r="AN73" s="104">
        <v>2</v>
      </c>
      <c r="AO73" s="104">
        <v>4</v>
      </c>
      <c r="AP73" s="104">
        <v>3</v>
      </c>
      <c r="AQ73" s="104">
        <v>6</v>
      </c>
    </row>
    <row r="74" spans="1:43" x14ac:dyDescent="0.35">
      <c r="A74" s="52">
        <v>71</v>
      </c>
      <c r="B74" s="52" t="s">
        <v>711</v>
      </c>
      <c r="C74" s="93"/>
      <c r="D74" s="101" t="s">
        <v>578</v>
      </c>
      <c r="E74" s="101" t="s">
        <v>523</v>
      </c>
      <c r="F74" s="101" t="s">
        <v>148</v>
      </c>
      <c r="G74" s="101" t="s">
        <v>556</v>
      </c>
      <c r="H74" s="101" t="s">
        <v>526</v>
      </c>
      <c r="I74" s="101" t="s">
        <v>552</v>
      </c>
      <c r="J74" s="101" t="s">
        <v>140</v>
      </c>
      <c r="K74" s="101" t="s">
        <v>529</v>
      </c>
      <c r="L74" s="101" t="s">
        <v>542</v>
      </c>
      <c r="M74" s="101" t="s">
        <v>151</v>
      </c>
      <c r="N74" s="101" t="s">
        <v>562</v>
      </c>
      <c r="O74" s="101" t="s">
        <v>150</v>
      </c>
      <c r="P74" s="101" t="s">
        <v>563</v>
      </c>
      <c r="Q74" s="101" t="s">
        <v>535</v>
      </c>
      <c r="R74" s="101" t="s">
        <v>567</v>
      </c>
      <c r="S74" s="101" t="s">
        <v>536</v>
      </c>
      <c r="T74" s="101" t="s">
        <v>537</v>
      </c>
      <c r="U74" s="101" t="s">
        <v>576</v>
      </c>
      <c r="V74" s="101" t="s">
        <v>155</v>
      </c>
      <c r="W74" s="101" t="s">
        <v>574</v>
      </c>
      <c r="X74" s="104">
        <v>8</v>
      </c>
      <c r="Y74" s="104">
        <v>6</v>
      </c>
      <c r="Z74" s="104">
        <v>3</v>
      </c>
      <c r="AA74" s="104">
        <v>2</v>
      </c>
      <c r="AB74" s="104">
        <v>3</v>
      </c>
      <c r="AC74" s="104">
        <v>4</v>
      </c>
      <c r="AD74" s="104">
        <v>2</v>
      </c>
      <c r="AE74" s="104">
        <v>6</v>
      </c>
      <c r="AF74" s="104">
        <v>5</v>
      </c>
      <c r="AG74" s="104">
        <v>2</v>
      </c>
      <c r="AH74" s="104">
        <v>3</v>
      </c>
      <c r="AI74" s="104">
        <v>0</v>
      </c>
      <c r="AJ74" s="104">
        <v>8</v>
      </c>
      <c r="AK74" s="104">
        <v>3</v>
      </c>
      <c r="AL74" s="104">
        <v>6</v>
      </c>
      <c r="AM74" s="104">
        <v>7</v>
      </c>
      <c r="AN74" s="104">
        <v>5</v>
      </c>
      <c r="AO74" s="104">
        <v>6</v>
      </c>
      <c r="AP74" s="104">
        <v>3</v>
      </c>
      <c r="AQ74" s="104">
        <v>8</v>
      </c>
    </row>
    <row r="75" spans="1:43" x14ac:dyDescent="0.35">
      <c r="A75" s="52">
        <v>72</v>
      </c>
      <c r="B75" s="52" t="s">
        <v>295</v>
      </c>
      <c r="C75" s="93"/>
      <c r="D75" s="101" t="s">
        <v>522</v>
      </c>
      <c r="E75" s="101" t="s">
        <v>523</v>
      </c>
      <c r="F75" s="101" t="s">
        <v>524</v>
      </c>
      <c r="G75" s="101" t="s">
        <v>556</v>
      </c>
      <c r="H75" s="101" t="s">
        <v>526</v>
      </c>
      <c r="I75" s="101" t="s">
        <v>527</v>
      </c>
      <c r="J75" s="101" t="s">
        <v>558</v>
      </c>
      <c r="K75" s="101" t="s">
        <v>529</v>
      </c>
      <c r="L75" s="101" t="s">
        <v>530</v>
      </c>
      <c r="M75" s="101" t="s">
        <v>553</v>
      </c>
      <c r="N75" s="101" t="s">
        <v>532</v>
      </c>
      <c r="O75" s="101" t="s">
        <v>554</v>
      </c>
      <c r="P75" s="101" t="s">
        <v>534</v>
      </c>
      <c r="Q75" s="101" t="s">
        <v>544</v>
      </c>
      <c r="R75" s="101" t="s">
        <v>545</v>
      </c>
      <c r="S75" s="101" t="s">
        <v>536</v>
      </c>
      <c r="T75" s="101" t="s">
        <v>537</v>
      </c>
      <c r="U75" s="101" t="s">
        <v>576</v>
      </c>
      <c r="V75" s="101" t="s">
        <v>155</v>
      </c>
      <c r="W75" s="101" t="s">
        <v>549</v>
      </c>
      <c r="X75" s="104">
        <v>4</v>
      </c>
      <c r="Y75" s="104">
        <v>5</v>
      </c>
      <c r="Z75" s="104">
        <v>5</v>
      </c>
      <c r="AA75" s="104">
        <v>3</v>
      </c>
      <c r="AB75" s="104">
        <v>2</v>
      </c>
      <c r="AC75" s="104">
        <v>3</v>
      </c>
      <c r="AD75" s="104">
        <v>4</v>
      </c>
      <c r="AE75" s="104">
        <v>4</v>
      </c>
      <c r="AF75" s="104">
        <v>6</v>
      </c>
      <c r="AG75" s="104">
        <v>4</v>
      </c>
      <c r="AH75" s="104">
        <v>8</v>
      </c>
      <c r="AI75" s="104">
        <v>2</v>
      </c>
      <c r="AJ75" s="104">
        <v>3</v>
      </c>
      <c r="AK75" s="104">
        <v>5</v>
      </c>
      <c r="AL75" s="104">
        <v>5</v>
      </c>
      <c r="AM75" s="104">
        <v>7</v>
      </c>
      <c r="AN75" s="104">
        <v>5</v>
      </c>
      <c r="AO75" s="104">
        <v>6</v>
      </c>
      <c r="AP75" s="104">
        <v>2</v>
      </c>
      <c r="AQ75" s="104">
        <v>7</v>
      </c>
    </row>
    <row r="76" spans="1:43" x14ac:dyDescent="0.35">
      <c r="A76" s="52">
        <v>73</v>
      </c>
      <c r="B76" s="52" t="s">
        <v>1111</v>
      </c>
      <c r="C76" s="93"/>
      <c r="D76" s="93" t="s">
        <v>539</v>
      </c>
      <c r="E76" s="93" t="s">
        <v>523</v>
      </c>
      <c r="F76" s="93" t="s">
        <v>148</v>
      </c>
      <c r="G76" s="93" t="s">
        <v>138</v>
      </c>
      <c r="H76" s="93" t="s">
        <v>551</v>
      </c>
      <c r="I76" s="93" t="s">
        <v>552</v>
      </c>
      <c r="J76" s="93" t="s">
        <v>558</v>
      </c>
      <c r="K76" s="93" t="s">
        <v>529</v>
      </c>
      <c r="L76" s="93" t="s">
        <v>542</v>
      </c>
      <c r="M76" s="93" t="s">
        <v>531</v>
      </c>
      <c r="N76" s="93" t="s">
        <v>562</v>
      </c>
      <c r="O76" s="93" t="s">
        <v>571</v>
      </c>
      <c r="P76" s="93" t="s">
        <v>534</v>
      </c>
      <c r="Q76" s="93" t="s">
        <v>564</v>
      </c>
      <c r="R76" s="93" t="s">
        <v>567</v>
      </c>
      <c r="S76" s="93" t="s">
        <v>546</v>
      </c>
      <c r="T76" s="93" t="s">
        <v>547</v>
      </c>
      <c r="U76" s="93" t="s">
        <v>548</v>
      </c>
      <c r="V76" s="93" t="s">
        <v>155</v>
      </c>
      <c r="W76" s="93" t="s">
        <v>549</v>
      </c>
      <c r="X76" s="104">
        <v>6</v>
      </c>
      <c r="Y76" s="104">
        <v>6</v>
      </c>
      <c r="Z76" s="104">
        <v>3</v>
      </c>
      <c r="AA76" s="104">
        <v>1</v>
      </c>
      <c r="AB76" s="104">
        <v>6</v>
      </c>
      <c r="AC76" s="104">
        <v>4</v>
      </c>
      <c r="AD76" s="104">
        <v>5</v>
      </c>
      <c r="AE76" s="104">
        <v>6</v>
      </c>
      <c r="AF76" s="104">
        <v>3</v>
      </c>
      <c r="AG76" s="104">
        <v>6</v>
      </c>
      <c r="AH76" s="104">
        <v>4</v>
      </c>
      <c r="AI76" s="104">
        <v>4</v>
      </c>
      <c r="AJ76" s="104">
        <v>4</v>
      </c>
      <c r="AK76" s="104">
        <v>7</v>
      </c>
      <c r="AL76" s="104">
        <v>6</v>
      </c>
      <c r="AM76" s="104">
        <v>5</v>
      </c>
      <c r="AN76" s="104">
        <v>2</v>
      </c>
      <c r="AO76" s="104">
        <v>3</v>
      </c>
      <c r="AP76" s="104">
        <v>3</v>
      </c>
      <c r="AQ76" s="104">
        <v>6</v>
      </c>
    </row>
    <row r="77" spans="1:43" x14ac:dyDescent="0.35">
      <c r="A77" s="52">
        <v>74</v>
      </c>
      <c r="B77" s="52" t="s">
        <v>352</v>
      </c>
      <c r="C77" s="93"/>
      <c r="D77" s="101" t="s">
        <v>522</v>
      </c>
      <c r="E77" s="101" t="s">
        <v>523</v>
      </c>
      <c r="F77" s="101" t="s">
        <v>524</v>
      </c>
      <c r="G77" s="101" t="s">
        <v>556</v>
      </c>
      <c r="H77" s="101" t="s">
        <v>561</v>
      </c>
      <c r="I77" s="101" t="s">
        <v>552</v>
      </c>
      <c r="J77" s="101" t="s">
        <v>558</v>
      </c>
      <c r="K77" s="101" t="s">
        <v>529</v>
      </c>
      <c r="L77" s="101" t="s">
        <v>542</v>
      </c>
      <c r="M77" s="101" t="s">
        <v>553</v>
      </c>
      <c r="N77" s="101" t="s">
        <v>562</v>
      </c>
      <c r="O77" s="101" t="s">
        <v>571</v>
      </c>
      <c r="P77" s="101" t="s">
        <v>534</v>
      </c>
      <c r="Q77" s="101" t="s">
        <v>544</v>
      </c>
      <c r="R77" s="101" t="s">
        <v>545</v>
      </c>
      <c r="S77" s="101" t="s">
        <v>536</v>
      </c>
      <c r="T77" s="101" t="s">
        <v>537</v>
      </c>
      <c r="U77" s="101" t="s">
        <v>538</v>
      </c>
      <c r="V77" s="101" t="s">
        <v>155</v>
      </c>
      <c r="W77" s="101" t="s">
        <v>574</v>
      </c>
      <c r="X77" s="104">
        <v>4</v>
      </c>
      <c r="Y77" s="104">
        <v>5</v>
      </c>
      <c r="Z77" s="104">
        <v>5</v>
      </c>
      <c r="AA77" s="104">
        <v>3</v>
      </c>
      <c r="AB77" s="104">
        <v>4</v>
      </c>
      <c r="AC77" s="104">
        <v>5</v>
      </c>
      <c r="AD77" s="104">
        <v>5</v>
      </c>
      <c r="AE77" s="104">
        <v>4</v>
      </c>
      <c r="AF77" s="104">
        <v>4</v>
      </c>
      <c r="AG77" s="104">
        <v>3</v>
      </c>
      <c r="AH77" s="104">
        <v>4</v>
      </c>
      <c r="AI77" s="104">
        <v>4</v>
      </c>
      <c r="AJ77" s="104">
        <v>4</v>
      </c>
      <c r="AK77" s="104">
        <v>6</v>
      </c>
      <c r="AL77" s="104">
        <v>5</v>
      </c>
      <c r="AM77" s="104">
        <v>7</v>
      </c>
      <c r="AN77" s="104">
        <v>4</v>
      </c>
      <c r="AO77" s="104">
        <v>4</v>
      </c>
      <c r="AP77" s="104">
        <v>2</v>
      </c>
      <c r="AQ77" s="104">
        <v>8</v>
      </c>
    </row>
    <row r="78" spans="1:43" x14ac:dyDescent="0.35">
      <c r="A78" s="52">
        <v>75</v>
      </c>
      <c r="B78" s="52" t="s">
        <v>1029</v>
      </c>
      <c r="C78" s="93"/>
      <c r="D78" s="93" t="s">
        <v>522</v>
      </c>
      <c r="E78" s="93" t="s">
        <v>523</v>
      </c>
      <c r="F78" s="93" t="s">
        <v>148</v>
      </c>
      <c r="G78" s="93" t="s">
        <v>556</v>
      </c>
      <c r="H78" s="93" t="s">
        <v>561</v>
      </c>
      <c r="I78" s="93" t="s">
        <v>552</v>
      </c>
      <c r="J78" s="93" t="s">
        <v>140</v>
      </c>
      <c r="K78" s="93" t="s">
        <v>529</v>
      </c>
      <c r="L78" s="93" t="s">
        <v>542</v>
      </c>
      <c r="M78" s="93" t="s">
        <v>531</v>
      </c>
      <c r="N78" s="93" t="s">
        <v>532</v>
      </c>
      <c r="O78" s="93" t="s">
        <v>554</v>
      </c>
      <c r="P78" s="93" t="s">
        <v>543</v>
      </c>
      <c r="Q78" s="93" t="s">
        <v>544</v>
      </c>
      <c r="R78" s="93" t="s">
        <v>545</v>
      </c>
      <c r="S78" s="93" t="s">
        <v>536</v>
      </c>
      <c r="T78" s="93" t="s">
        <v>537</v>
      </c>
      <c r="U78" s="93" t="s">
        <v>548</v>
      </c>
      <c r="V78" s="93" t="s">
        <v>155</v>
      </c>
      <c r="W78" s="93" t="s">
        <v>549</v>
      </c>
      <c r="X78" s="104">
        <v>5</v>
      </c>
      <c r="Y78" s="104">
        <v>6</v>
      </c>
      <c r="Z78" s="104">
        <v>4</v>
      </c>
      <c r="AA78" s="104">
        <v>2</v>
      </c>
      <c r="AB78" s="104">
        <v>4</v>
      </c>
      <c r="AC78" s="104">
        <v>4</v>
      </c>
      <c r="AD78" s="104">
        <v>3</v>
      </c>
      <c r="AE78" s="104">
        <v>3</v>
      </c>
      <c r="AF78" s="104">
        <v>5</v>
      </c>
      <c r="AG78" s="104">
        <v>6</v>
      </c>
      <c r="AH78" s="104">
        <v>8</v>
      </c>
      <c r="AI78" s="104">
        <v>3</v>
      </c>
      <c r="AJ78" s="104">
        <v>6</v>
      </c>
      <c r="AK78" s="104">
        <v>4</v>
      </c>
      <c r="AL78" s="104">
        <v>4</v>
      </c>
      <c r="AM78" s="104">
        <v>6</v>
      </c>
      <c r="AN78" s="104">
        <v>5</v>
      </c>
      <c r="AO78" s="104">
        <v>3</v>
      </c>
      <c r="AP78" s="104">
        <v>2</v>
      </c>
      <c r="AQ78" s="104">
        <v>7</v>
      </c>
    </row>
    <row r="79" spans="1:43" x14ac:dyDescent="0.35">
      <c r="A79" s="52">
        <v>76</v>
      </c>
      <c r="B79" s="52" t="s">
        <v>360</v>
      </c>
      <c r="C79" s="93"/>
      <c r="D79" s="101" t="s">
        <v>539</v>
      </c>
      <c r="E79" s="101" t="s">
        <v>540</v>
      </c>
      <c r="F79" s="101" t="s">
        <v>148</v>
      </c>
      <c r="G79" s="101" t="s">
        <v>550</v>
      </c>
      <c r="H79" s="101" t="s">
        <v>566</v>
      </c>
      <c r="I79" s="101" t="s">
        <v>552</v>
      </c>
      <c r="J79" s="101" t="s">
        <v>558</v>
      </c>
      <c r="K79" s="101" t="s">
        <v>529</v>
      </c>
      <c r="L79" s="101" t="s">
        <v>542</v>
      </c>
      <c r="M79" s="101" t="s">
        <v>531</v>
      </c>
      <c r="N79" s="101" t="s">
        <v>532</v>
      </c>
      <c r="O79" s="101" t="s">
        <v>554</v>
      </c>
      <c r="P79" s="101" t="s">
        <v>543</v>
      </c>
      <c r="Q79" s="101" t="s">
        <v>544</v>
      </c>
      <c r="R79" s="101" t="s">
        <v>143</v>
      </c>
      <c r="S79" s="101" t="s">
        <v>536</v>
      </c>
      <c r="T79" s="101" t="s">
        <v>537</v>
      </c>
      <c r="U79" s="101" t="s">
        <v>548</v>
      </c>
      <c r="V79" s="101" t="s">
        <v>155</v>
      </c>
      <c r="W79" s="101" t="s">
        <v>555</v>
      </c>
      <c r="X79" s="104">
        <v>7</v>
      </c>
      <c r="Y79" s="104">
        <v>4</v>
      </c>
      <c r="Z79" s="104">
        <v>3</v>
      </c>
      <c r="AA79" s="104">
        <v>4</v>
      </c>
      <c r="AB79" s="104">
        <v>5</v>
      </c>
      <c r="AC79" s="104">
        <v>4</v>
      </c>
      <c r="AD79" s="104">
        <v>4</v>
      </c>
      <c r="AE79" s="104">
        <v>5</v>
      </c>
      <c r="AF79" s="104">
        <v>4</v>
      </c>
      <c r="AG79" s="104">
        <v>7</v>
      </c>
      <c r="AH79" s="104">
        <v>7</v>
      </c>
      <c r="AI79" s="104">
        <v>3</v>
      </c>
      <c r="AJ79" s="104">
        <v>5</v>
      </c>
      <c r="AK79" s="104">
        <v>5</v>
      </c>
      <c r="AL79" s="104">
        <v>3</v>
      </c>
      <c r="AM79" s="104">
        <v>6</v>
      </c>
      <c r="AN79" s="104">
        <v>4</v>
      </c>
      <c r="AO79" s="104">
        <v>2</v>
      </c>
      <c r="AP79" s="104">
        <v>3</v>
      </c>
      <c r="AQ79" s="104">
        <v>5</v>
      </c>
    </row>
    <row r="80" spans="1:43" x14ac:dyDescent="0.35">
      <c r="A80" s="52">
        <v>77</v>
      </c>
      <c r="B80" s="52" t="s">
        <v>1114</v>
      </c>
      <c r="C80" s="93"/>
      <c r="D80" s="93" t="s">
        <v>539</v>
      </c>
      <c r="E80" s="93" t="s">
        <v>523</v>
      </c>
      <c r="F80" s="93" t="s">
        <v>524</v>
      </c>
      <c r="G80" s="93" t="s">
        <v>556</v>
      </c>
      <c r="H80" s="93" t="s">
        <v>526</v>
      </c>
      <c r="I80" s="93" t="s">
        <v>527</v>
      </c>
      <c r="J80" s="93" t="s">
        <v>140</v>
      </c>
      <c r="K80" s="93" t="s">
        <v>529</v>
      </c>
      <c r="L80" s="93" t="s">
        <v>542</v>
      </c>
      <c r="M80" s="93" t="s">
        <v>553</v>
      </c>
      <c r="N80" s="93" t="s">
        <v>142</v>
      </c>
      <c r="O80" s="93" t="s">
        <v>571</v>
      </c>
      <c r="P80" s="93" t="s">
        <v>563</v>
      </c>
      <c r="Q80" s="93" t="s">
        <v>544</v>
      </c>
      <c r="R80" s="93" t="s">
        <v>567</v>
      </c>
      <c r="S80" s="93" t="s">
        <v>536</v>
      </c>
      <c r="T80" s="93" t="s">
        <v>547</v>
      </c>
      <c r="U80" s="93" t="s">
        <v>548</v>
      </c>
      <c r="V80" s="93" t="s">
        <v>155</v>
      </c>
      <c r="W80" s="93" t="s">
        <v>549</v>
      </c>
      <c r="X80" s="104">
        <v>7</v>
      </c>
      <c r="Y80" s="104">
        <v>7</v>
      </c>
      <c r="Z80" s="104">
        <v>6</v>
      </c>
      <c r="AA80" s="104">
        <v>2</v>
      </c>
      <c r="AB80" s="104">
        <v>3</v>
      </c>
      <c r="AC80" s="104">
        <v>3</v>
      </c>
      <c r="AD80" s="104">
        <v>3</v>
      </c>
      <c r="AE80" s="104">
        <v>5</v>
      </c>
      <c r="AF80" s="104">
        <v>4</v>
      </c>
      <c r="AG80" s="104">
        <v>4</v>
      </c>
      <c r="AH80" s="104">
        <v>1</v>
      </c>
      <c r="AI80" s="104">
        <v>4</v>
      </c>
      <c r="AJ80" s="104">
        <v>8</v>
      </c>
      <c r="AK80" s="104">
        <v>6</v>
      </c>
      <c r="AL80" s="104">
        <v>7</v>
      </c>
      <c r="AM80" s="104">
        <v>6</v>
      </c>
      <c r="AN80" s="104">
        <v>3</v>
      </c>
      <c r="AO80" s="104">
        <v>2</v>
      </c>
      <c r="AP80" s="104">
        <v>2</v>
      </c>
      <c r="AQ80" s="104">
        <v>7</v>
      </c>
    </row>
    <row r="81" spans="1:43" x14ac:dyDescent="0.35">
      <c r="A81" s="52">
        <v>78</v>
      </c>
      <c r="B81" s="52" t="s">
        <v>692</v>
      </c>
      <c r="C81" s="93"/>
      <c r="D81" s="101" t="s">
        <v>539</v>
      </c>
      <c r="E81" s="101" t="s">
        <v>523</v>
      </c>
      <c r="F81" s="101" t="s">
        <v>148</v>
      </c>
      <c r="G81" s="101" t="s">
        <v>570</v>
      </c>
      <c r="H81" s="101" t="s">
        <v>561</v>
      </c>
      <c r="I81" s="101" t="s">
        <v>552</v>
      </c>
      <c r="J81" s="101" t="s">
        <v>140</v>
      </c>
      <c r="K81" s="101" t="s">
        <v>529</v>
      </c>
      <c r="L81" s="101" t="s">
        <v>542</v>
      </c>
      <c r="M81" s="101" t="s">
        <v>553</v>
      </c>
      <c r="N81" s="101" t="s">
        <v>562</v>
      </c>
      <c r="O81" s="101" t="s">
        <v>554</v>
      </c>
      <c r="P81" s="101" t="s">
        <v>543</v>
      </c>
      <c r="Q81" s="101" t="s">
        <v>544</v>
      </c>
      <c r="R81" s="101" t="s">
        <v>545</v>
      </c>
      <c r="S81" s="101" t="s">
        <v>546</v>
      </c>
      <c r="T81" s="101" t="s">
        <v>537</v>
      </c>
      <c r="U81" s="101" t="s">
        <v>548</v>
      </c>
      <c r="V81" s="101" t="s">
        <v>155</v>
      </c>
      <c r="W81" s="101" t="s">
        <v>549</v>
      </c>
      <c r="X81" s="104">
        <v>7</v>
      </c>
      <c r="Y81" s="104">
        <v>7</v>
      </c>
      <c r="Z81" s="104">
        <v>4</v>
      </c>
      <c r="AA81" s="104">
        <v>5</v>
      </c>
      <c r="AB81" s="104">
        <v>4</v>
      </c>
      <c r="AC81" s="104">
        <v>4</v>
      </c>
      <c r="AD81" s="104">
        <v>2</v>
      </c>
      <c r="AE81" s="104">
        <v>3</v>
      </c>
      <c r="AF81" s="104">
        <v>4</v>
      </c>
      <c r="AG81" s="104">
        <v>5</v>
      </c>
      <c r="AH81" s="104">
        <v>3</v>
      </c>
      <c r="AI81" s="104">
        <v>3</v>
      </c>
      <c r="AJ81" s="104">
        <v>5</v>
      </c>
      <c r="AK81" s="104">
        <v>6</v>
      </c>
      <c r="AL81" s="104">
        <v>5</v>
      </c>
      <c r="AM81" s="104">
        <v>5</v>
      </c>
      <c r="AN81" s="104">
        <v>5</v>
      </c>
      <c r="AO81" s="104">
        <v>3</v>
      </c>
      <c r="AP81" s="104">
        <v>3</v>
      </c>
      <c r="AQ81" s="104">
        <v>7</v>
      </c>
    </row>
    <row r="82" spans="1:43" x14ac:dyDescent="0.35">
      <c r="A82" s="52">
        <v>79</v>
      </c>
      <c r="B82" s="52" t="s">
        <v>291</v>
      </c>
      <c r="C82" s="93"/>
      <c r="D82" s="101" t="s">
        <v>539</v>
      </c>
      <c r="E82" s="101" t="s">
        <v>540</v>
      </c>
      <c r="F82" s="101" t="s">
        <v>524</v>
      </c>
      <c r="G82" s="101" t="s">
        <v>559</v>
      </c>
      <c r="H82" s="101" t="s">
        <v>561</v>
      </c>
      <c r="I82" s="101" t="s">
        <v>541</v>
      </c>
      <c r="J82" s="101" t="s">
        <v>558</v>
      </c>
      <c r="K82" s="101" t="s">
        <v>529</v>
      </c>
      <c r="L82" s="101" t="s">
        <v>152</v>
      </c>
      <c r="M82" s="101" t="s">
        <v>553</v>
      </c>
      <c r="N82" s="101" t="s">
        <v>562</v>
      </c>
      <c r="O82" s="101" t="s">
        <v>533</v>
      </c>
      <c r="P82" s="101" t="s">
        <v>534</v>
      </c>
      <c r="Q82" s="101" t="s">
        <v>535</v>
      </c>
      <c r="R82" s="101" t="s">
        <v>567</v>
      </c>
      <c r="S82" s="101" t="s">
        <v>546</v>
      </c>
      <c r="T82" s="101" t="s">
        <v>547</v>
      </c>
      <c r="U82" s="101" t="s">
        <v>538</v>
      </c>
      <c r="V82" s="101" t="s">
        <v>81</v>
      </c>
      <c r="W82" s="101" t="s">
        <v>555</v>
      </c>
      <c r="X82" s="104">
        <v>7</v>
      </c>
      <c r="Y82" s="104">
        <v>3</v>
      </c>
      <c r="Z82" s="104">
        <v>5</v>
      </c>
      <c r="AA82" s="104">
        <v>8</v>
      </c>
      <c r="AB82" s="104">
        <v>4</v>
      </c>
      <c r="AC82" s="104">
        <v>6</v>
      </c>
      <c r="AD82" s="104">
        <v>6</v>
      </c>
      <c r="AE82" s="104">
        <v>4</v>
      </c>
      <c r="AF82" s="104">
        <v>2</v>
      </c>
      <c r="AG82" s="104">
        <v>3</v>
      </c>
      <c r="AH82" s="104">
        <v>4</v>
      </c>
      <c r="AI82" s="104">
        <v>5</v>
      </c>
      <c r="AJ82" s="104">
        <v>3</v>
      </c>
      <c r="AK82" s="104">
        <v>2</v>
      </c>
      <c r="AL82" s="104">
        <v>6</v>
      </c>
      <c r="AM82" s="104">
        <v>5</v>
      </c>
      <c r="AN82" s="104">
        <v>3</v>
      </c>
      <c r="AO82" s="104">
        <v>5</v>
      </c>
      <c r="AP82" s="104">
        <v>4</v>
      </c>
      <c r="AQ82" s="104">
        <v>5</v>
      </c>
    </row>
    <row r="83" spans="1:43" x14ac:dyDescent="0.35">
      <c r="A83" s="52">
        <v>80</v>
      </c>
      <c r="B83" s="52" t="s">
        <v>371</v>
      </c>
      <c r="C83" s="93"/>
      <c r="D83" s="101" t="s">
        <v>522</v>
      </c>
      <c r="E83" s="101" t="s">
        <v>523</v>
      </c>
      <c r="F83" s="101" t="s">
        <v>148</v>
      </c>
      <c r="G83" s="101" t="s">
        <v>570</v>
      </c>
      <c r="H83" s="101" t="s">
        <v>526</v>
      </c>
      <c r="I83" s="101" t="s">
        <v>541</v>
      </c>
      <c r="J83" s="101" t="s">
        <v>140</v>
      </c>
      <c r="K83" s="101" t="s">
        <v>529</v>
      </c>
      <c r="L83" s="101" t="s">
        <v>530</v>
      </c>
      <c r="M83" s="101" t="s">
        <v>553</v>
      </c>
      <c r="N83" s="101" t="s">
        <v>562</v>
      </c>
      <c r="O83" s="101" t="s">
        <v>554</v>
      </c>
      <c r="P83" s="101" t="s">
        <v>534</v>
      </c>
      <c r="Q83" s="101" t="s">
        <v>544</v>
      </c>
      <c r="R83" s="101" t="s">
        <v>567</v>
      </c>
      <c r="S83" s="101" t="s">
        <v>546</v>
      </c>
      <c r="T83" s="101" t="s">
        <v>537</v>
      </c>
      <c r="U83" s="101" t="s">
        <v>538</v>
      </c>
      <c r="V83" s="101" t="s">
        <v>81</v>
      </c>
      <c r="W83" s="101" t="s">
        <v>549</v>
      </c>
      <c r="X83" s="104">
        <v>4</v>
      </c>
      <c r="Y83" s="104">
        <v>7</v>
      </c>
      <c r="Z83" s="104">
        <v>4</v>
      </c>
      <c r="AA83" s="104">
        <v>5</v>
      </c>
      <c r="AB83" s="104">
        <v>3</v>
      </c>
      <c r="AC83" s="104">
        <v>6</v>
      </c>
      <c r="AD83" s="104">
        <v>3</v>
      </c>
      <c r="AE83" s="104">
        <v>3</v>
      </c>
      <c r="AF83" s="104">
        <v>6</v>
      </c>
      <c r="AG83" s="104">
        <v>5</v>
      </c>
      <c r="AH83" s="104">
        <v>4</v>
      </c>
      <c r="AI83" s="104">
        <v>2</v>
      </c>
      <c r="AJ83" s="104">
        <v>3</v>
      </c>
      <c r="AK83" s="104">
        <v>4</v>
      </c>
      <c r="AL83" s="104">
        <v>6</v>
      </c>
      <c r="AM83" s="104">
        <v>5</v>
      </c>
      <c r="AN83" s="104">
        <v>4</v>
      </c>
      <c r="AO83" s="104">
        <v>4</v>
      </c>
      <c r="AP83" s="104">
        <v>5</v>
      </c>
      <c r="AQ83" s="104">
        <v>7</v>
      </c>
    </row>
    <row r="84" spans="1:43" x14ac:dyDescent="0.35">
      <c r="A84" s="52">
        <v>81</v>
      </c>
      <c r="B84" s="52" t="s">
        <v>280</v>
      </c>
      <c r="C84" s="93"/>
      <c r="D84" s="101" t="s">
        <v>522</v>
      </c>
      <c r="E84" s="101" t="s">
        <v>523</v>
      </c>
      <c r="F84" s="101" t="s">
        <v>148</v>
      </c>
      <c r="G84" s="101" t="s">
        <v>138</v>
      </c>
      <c r="H84" s="101" t="s">
        <v>526</v>
      </c>
      <c r="I84" s="101" t="s">
        <v>541</v>
      </c>
      <c r="J84" s="101" t="s">
        <v>558</v>
      </c>
      <c r="K84" s="101" t="s">
        <v>529</v>
      </c>
      <c r="L84" s="101" t="s">
        <v>530</v>
      </c>
      <c r="M84" s="101" t="s">
        <v>553</v>
      </c>
      <c r="N84" s="101" t="s">
        <v>532</v>
      </c>
      <c r="O84" s="101" t="s">
        <v>571</v>
      </c>
      <c r="P84" s="101" t="s">
        <v>534</v>
      </c>
      <c r="Q84" s="101" t="s">
        <v>544</v>
      </c>
      <c r="R84" s="101" t="s">
        <v>545</v>
      </c>
      <c r="S84" s="101" t="s">
        <v>536</v>
      </c>
      <c r="T84" s="101" t="s">
        <v>547</v>
      </c>
      <c r="U84" s="101" t="s">
        <v>538</v>
      </c>
      <c r="V84" s="101" t="s">
        <v>155</v>
      </c>
      <c r="W84" s="101" t="s">
        <v>555</v>
      </c>
      <c r="X84" s="104">
        <v>4</v>
      </c>
      <c r="Y84" s="104">
        <v>6</v>
      </c>
      <c r="Z84" s="104">
        <v>4</v>
      </c>
      <c r="AA84" s="104">
        <v>1</v>
      </c>
      <c r="AB84" s="104">
        <v>2</v>
      </c>
      <c r="AC84" s="104">
        <v>6</v>
      </c>
      <c r="AD84" s="104">
        <v>4</v>
      </c>
      <c r="AE84" s="104">
        <v>3</v>
      </c>
      <c r="AF84" s="104">
        <v>8</v>
      </c>
      <c r="AG84" s="104">
        <v>5</v>
      </c>
      <c r="AH84" s="104">
        <v>9</v>
      </c>
      <c r="AI84" s="104">
        <v>4</v>
      </c>
      <c r="AJ84" s="104">
        <v>4</v>
      </c>
      <c r="AK84" s="104">
        <v>6</v>
      </c>
      <c r="AL84" s="104">
        <v>4</v>
      </c>
      <c r="AM84" s="104">
        <v>6</v>
      </c>
      <c r="AN84" s="104">
        <v>2</v>
      </c>
      <c r="AO84" s="104">
        <v>4</v>
      </c>
      <c r="AP84" s="104">
        <v>3</v>
      </c>
      <c r="AQ84" s="104">
        <v>5</v>
      </c>
    </row>
    <row r="85" spans="1:43" x14ac:dyDescent="0.35">
      <c r="A85" s="52">
        <v>82</v>
      </c>
      <c r="B85" s="52" t="s">
        <v>668</v>
      </c>
      <c r="C85" s="93"/>
      <c r="D85" s="101" t="s">
        <v>522</v>
      </c>
      <c r="E85" s="101" t="s">
        <v>569</v>
      </c>
      <c r="F85" s="101" t="s">
        <v>524</v>
      </c>
      <c r="G85" s="101" t="s">
        <v>556</v>
      </c>
      <c r="H85" s="101" t="s">
        <v>526</v>
      </c>
      <c r="I85" s="101" t="s">
        <v>552</v>
      </c>
      <c r="J85" s="101" t="s">
        <v>140</v>
      </c>
      <c r="K85" s="101" t="s">
        <v>529</v>
      </c>
      <c r="L85" s="101" t="s">
        <v>530</v>
      </c>
      <c r="M85" s="101" t="s">
        <v>531</v>
      </c>
      <c r="N85" s="101" t="s">
        <v>532</v>
      </c>
      <c r="O85" s="101" t="s">
        <v>150</v>
      </c>
      <c r="P85" s="101" t="s">
        <v>534</v>
      </c>
      <c r="Q85" s="101" t="s">
        <v>535</v>
      </c>
      <c r="R85" s="101" t="s">
        <v>545</v>
      </c>
      <c r="S85" s="101" t="s">
        <v>546</v>
      </c>
      <c r="T85" s="101" t="s">
        <v>537</v>
      </c>
      <c r="U85" s="101" t="s">
        <v>548</v>
      </c>
      <c r="V85" s="101" t="s">
        <v>81</v>
      </c>
      <c r="W85" s="101" t="s">
        <v>549</v>
      </c>
      <c r="X85" s="104">
        <v>4</v>
      </c>
      <c r="Y85" s="104">
        <v>8</v>
      </c>
      <c r="Z85" s="104">
        <v>6</v>
      </c>
      <c r="AA85" s="104">
        <v>2</v>
      </c>
      <c r="AB85" s="104">
        <v>3</v>
      </c>
      <c r="AC85" s="104">
        <v>5</v>
      </c>
      <c r="AD85" s="104">
        <v>2</v>
      </c>
      <c r="AE85" s="104">
        <v>5</v>
      </c>
      <c r="AF85" s="104">
        <v>6</v>
      </c>
      <c r="AG85" s="104">
        <v>7</v>
      </c>
      <c r="AH85" s="104">
        <v>7</v>
      </c>
      <c r="AI85" s="104">
        <v>1</v>
      </c>
      <c r="AJ85" s="104">
        <v>3</v>
      </c>
      <c r="AK85" s="104">
        <v>3</v>
      </c>
      <c r="AL85" s="104">
        <v>4</v>
      </c>
      <c r="AM85" s="104">
        <v>5</v>
      </c>
      <c r="AN85" s="104">
        <v>6</v>
      </c>
      <c r="AO85" s="104">
        <v>3</v>
      </c>
      <c r="AP85" s="104">
        <v>4</v>
      </c>
      <c r="AQ85" s="104">
        <v>6</v>
      </c>
    </row>
    <row r="86" spans="1:43" x14ac:dyDescent="0.35">
      <c r="A86" s="52">
        <v>83</v>
      </c>
      <c r="B86" s="52" t="s">
        <v>1116</v>
      </c>
      <c r="C86" s="93"/>
      <c r="D86" s="93" t="s">
        <v>522</v>
      </c>
      <c r="E86" s="93" t="s">
        <v>569</v>
      </c>
      <c r="F86" s="93" t="s">
        <v>524</v>
      </c>
      <c r="G86" s="93" t="s">
        <v>525</v>
      </c>
      <c r="H86" s="93" t="s">
        <v>561</v>
      </c>
      <c r="I86" s="93" t="s">
        <v>541</v>
      </c>
      <c r="J86" s="93" t="s">
        <v>558</v>
      </c>
      <c r="K86" s="93" t="s">
        <v>529</v>
      </c>
      <c r="L86" s="93" t="s">
        <v>152</v>
      </c>
      <c r="M86" s="93" t="s">
        <v>553</v>
      </c>
      <c r="N86" s="93" t="s">
        <v>532</v>
      </c>
      <c r="O86" s="93" t="s">
        <v>554</v>
      </c>
      <c r="P86" s="93" t="s">
        <v>145</v>
      </c>
      <c r="Q86" s="93" t="s">
        <v>144</v>
      </c>
      <c r="R86" s="93" t="s">
        <v>143</v>
      </c>
      <c r="S86" s="93" t="s">
        <v>568</v>
      </c>
      <c r="T86" s="93" t="s">
        <v>537</v>
      </c>
      <c r="U86" s="93" t="s">
        <v>538</v>
      </c>
      <c r="V86" s="93" t="s">
        <v>81</v>
      </c>
      <c r="W86" s="93" t="s">
        <v>555</v>
      </c>
      <c r="X86" s="104">
        <v>5</v>
      </c>
      <c r="Y86" s="104">
        <v>8</v>
      </c>
      <c r="Z86" s="104">
        <v>7</v>
      </c>
      <c r="AA86" s="104">
        <v>7</v>
      </c>
      <c r="AB86" s="104">
        <v>4</v>
      </c>
      <c r="AC86" s="104">
        <v>7</v>
      </c>
      <c r="AD86" s="104">
        <v>5</v>
      </c>
      <c r="AE86" s="104">
        <v>3</v>
      </c>
      <c r="AF86" s="104">
        <v>1</v>
      </c>
      <c r="AG86" s="104">
        <v>4</v>
      </c>
      <c r="AH86" s="104">
        <v>6</v>
      </c>
      <c r="AI86" s="104">
        <v>3</v>
      </c>
      <c r="AJ86" s="104">
        <v>1</v>
      </c>
      <c r="AK86" s="104">
        <v>1</v>
      </c>
      <c r="AL86" s="104">
        <v>3</v>
      </c>
      <c r="AM86" s="104">
        <v>8</v>
      </c>
      <c r="AN86" s="104">
        <v>4</v>
      </c>
      <c r="AO86" s="104">
        <v>4</v>
      </c>
      <c r="AP86" s="104">
        <v>4</v>
      </c>
      <c r="AQ86" s="104">
        <v>5</v>
      </c>
    </row>
    <row r="87" spans="1:43" x14ac:dyDescent="0.35">
      <c r="A87" s="52">
        <v>84</v>
      </c>
      <c r="B87" s="52" t="s">
        <v>687</v>
      </c>
      <c r="C87" s="93"/>
      <c r="D87" s="101" t="s">
        <v>539</v>
      </c>
      <c r="E87" s="101" t="s">
        <v>569</v>
      </c>
      <c r="F87" s="101" t="s">
        <v>524</v>
      </c>
      <c r="G87" s="101" t="s">
        <v>550</v>
      </c>
      <c r="H87" s="101" t="s">
        <v>561</v>
      </c>
      <c r="I87" s="101" t="s">
        <v>552</v>
      </c>
      <c r="J87" s="101" t="s">
        <v>140</v>
      </c>
      <c r="K87" s="101" t="s">
        <v>529</v>
      </c>
      <c r="L87" s="101" t="s">
        <v>530</v>
      </c>
      <c r="M87" s="101" t="s">
        <v>531</v>
      </c>
      <c r="N87" s="101" t="s">
        <v>532</v>
      </c>
      <c r="O87" s="101" t="s">
        <v>554</v>
      </c>
      <c r="P87" s="101" t="s">
        <v>534</v>
      </c>
      <c r="Q87" s="101" t="s">
        <v>535</v>
      </c>
      <c r="R87" s="101" t="s">
        <v>545</v>
      </c>
      <c r="S87" s="101" t="s">
        <v>565</v>
      </c>
      <c r="T87" s="101" t="s">
        <v>537</v>
      </c>
      <c r="U87" s="101" t="s">
        <v>154</v>
      </c>
      <c r="V87" s="101" t="s">
        <v>155</v>
      </c>
      <c r="W87" s="101" t="s">
        <v>555</v>
      </c>
      <c r="X87" s="104">
        <v>7</v>
      </c>
      <c r="Y87" s="104">
        <v>8</v>
      </c>
      <c r="Z87" s="104">
        <v>7</v>
      </c>
      <c r="AA87" s="104">
        <v>4</v>
      </c>
      <c r="AB87" s="104">
        <v>4</v>
      </c>
      <c r="AC87" s="104">
        <v>5</v>
      </c>
      <c r="AD87" s="104">
        <v>1</v>
      </c>
      <c r="AE87" s="104">
        <v>3</v>
      </c>
      <c r="AF87" s="104">
        <v>6</v>
      </c>
      <c r="AG87" s="104">
        <v>7</v>
      </c>
      <c r="AH87" s="104">
        <v>8</v>
      </c>
      <c r="AI87" s="104">
        <v>3</v>
      </c>
      <c r="AJ87" s="104">
        <v>3</v>
      </c>
      <c r="AK87" s="104">
        <v>3</v>
      </c>
      <c r="AL87" s="104">
        <v>4</v>
      </c>
      <c r="AM87" s="104">
        <v>3</v>
      </c>
      <c r="AN87" s="104">
        <v>6</v>
      </c>
      <c r="AO87" s="104">
        <v>1</v>
      </c>
      <c r="AP87" s="104">
        <v>3</v>
      </c>
      <c r="AQ87" s="104">
        <v>4</v>
      </c>
    </row>
    <row r="88" spans="1:43" x14ac:dyDescent="0.35">
      <c r="A88" s="52">
        <v>85</v>
      </c>
      <c r="B88" s="52" t="s">
        <v>722</v>
      </c>
      <c r="C88" s="93"/>
      <c r="D88" s="101" t="s">
        <v>522</v>
      </c>
      <c r="E88" s="101" t="s">
        <v>523</v>
      </c>
      <c r="F88" s="101" t="s">
        <v>524</v>
      </c>
      <c r="G88" s="101" t="s">
        <v>556</v>
      </c>
      <c r="H88" s="101" t="s">
        <v>526</v>
      </c>
      <c r="I88" s="101" t="s">
        <v>552</v>
      </c>
      <c r="J88" s="101" t="s">
        <v>140</v>
      </c>
      <c r="K88" s="101" t="s">
        <v>529</v>
      </c>
      <c r="L88" s="101" t="s">
        <v>542</v>
      </c>
      <c r="M88" s="101" t="s">
        <v>553</v>
      </c>
      <c r="N88" s="101" t="s">
        <v>532</v>
      </c>
      <c r="O88" s="101" t="s">
        <v>571</v>
      </c>
      <c r="P88" s="101" t="s">
        <v>543</v>
      </c>
      <c r="Q88" s="101" t="s">
        <v>544</v>
      </c>
      <c r="R88" s="101" t="s">
        <v>143</v>
      </c>
      <c r="S88" s="101" t="s">
        <v>536</v>
      </c>
      <c r="T88" s="101" t="s">
        <v>537</v>
      </c>
      <c r="U88" s="101" t="s">
        <v>548</v>
      </c>
      <c r="V88" s="101" t="s">
        <v>81</v>
      </c>
      <c r="W88" s="101" t="s">
        <v>549</v>
      </c>
      <c r="X88" s="104">
        <v>5</v>
      </c>
      <c r="Y88" s="104">
        <v>7</v>
      </c>
      <c r="Z88" s="104">
        <v>7</v>
      </c>
      <c r="AA88" s="104">
        <v>3</v>
      </c>
      <c r="AB88" s="104">
        <v>2</v>
      </c>
      <c r="AC88" s="104">
        <v>4</v>
      </c>
      <c r="AD88" s="104">
        <v>2</v>
      </c>
      <c r="AE88" s="104">
        <v>5</v>
      </c>
      <c r="AF88" s="104">
        <v>4</v>
      </c>
      <c r="AG88" s="104">
        <v>3</v>
      </c>
      <c r="AH88" s="104">
        <v>8</v>
      </c>
      <c r="AI88" s="104">
        <v>4</v>
      </c>
      <c r="AJ88" s="104">
        <v>5</v>
      </c>
      <c r="AK88" s="104">
        <v>4</v>
      </c>
      <c r="AL88" s="104">
        <v>3</v>
      </c>
      <c r="AM88" s="104">
        <v>6</v>
      </c>
      <c r="AN88" s="104">
        <v>4</v>
      </c>
      <c r="AO88" s="104">
        <v>3</v>
      </c>
      <c r="AP88" s="104">
        <v>4</v>
      </c>
      <c r="AQ88" s="104">
        <v>7</v>
      </c>
    </row>
    <row r="89" spans="1:43" x14ac:dyDescent="0.35">
      <c r="A89" s="52">
        <v>86</v>
      </c>
      <c r="B89" s="52" t="s">
        <v>302</v>
      </c>
      <c r="C89" s="93"/>
      <c r="D89" s="101" t="s">
        <v>539</v>
      </c>
      <c r="E89" s="101" t="s">
        <v>540</v>
      </c>
      <c r="F89" s="101" t="s">
        <v>148</v>
      </c>
      <c r="G89" s="101" t="s">
        <v>556</v>
      </c>
      <c r="H89" s="101" t="s">
        <v>561</v>
      </c>
      <c r="I89" s="101" t="s">
        <v>552</v>
      </c>
      <c r="J89" s="101" t="s">
        <v>558</v>
      </c>
      <c r="K89" s="101" t="s">
        <v>529</v>
      </c>
      <c r="L89" s="101" t="s">
        <v>152</v>
      </c>
      <c r="M89" s="101" t="s">
        <v>553</v>
      </c>
      <c r="N89" s="101" t="s">
        <v>532</v>
      </c>
      <c r="O89" s="101" t="s">
        <v>554</v>
      </c>
      <c r="P89" s="101" t="s">
        <v>543</v>
      </c>
      <c r="Q89" s="101" t="s">
        <v>544</v>
      </c>
      <c r="R89" s="101" t="s">
        <v>545</v>
      </c>
      <c r="S89" s="101" t="s">
        <v>568</v>
      </c>
      <c r="T89" s="101" t="s">
        <v>537</v>
      </c>
      <c r="U89" s="101" t="s">
        <v>538</v>
      </c>
      <c r="V89" s="101" t="s">
        <v>81</v>
      </c>
      <c r="W89" s="101" t="s">
        <v>555</v>
      </c>
      <c r="X89" s="104">
        <v>6</v>
      </c>
      <c r="Y89" s="104">
        <v>4</v>
      </c>
      <c r="Z89" s="104">
        <v>3</v>
      </c>
      <c r="AA89" s="104">
        <v>3</v>
      </c>
      <c r="AB89" s="104">
        <v>4</v>
      </c>
      <c r="AC89" s="104">
        <v>4</v>
      </c>
      <c r="AD89" s="104">
        <v>4</v>
      </c>
      <c r="AE89" s="104">
        <v>5</v>
      </c>
      <c r="AF89" s="104">
        <v>2</v>
      </c>
      <c r="AG89" s="104">
        <v>5</v>
      </c>
      <c r="AH89" s="104">
        <v>7</v>
      </c>
      <c r="AI89" s="104">
        <v>3</v>
      </c>
      <c r="AJ89" s="104">
        <v>5</v>
      </c>
      <c r="AK89" s="104">
        <v>4</v>
      </c>
      <c r="AL89" s="104">
        <v>4</v>
      </c>
      <c r="AM89" s="104">
        <v>8</v>
      </c>
      <c r="AN89" s="104">
        <v>5</v>
      </c>
      <c r="AO89" s="104">
        <v>4</v>
      </c>
      <c r="AP89" s="104">
        <v>5</v>
      </c>
      <c r="AQ89" s="104">
        <v>5</v>
      </c>
    </row>
    <row r="90" spans="1:43" x14ac:dyDescent="0.35">
      <c r="A90" s="52">
        <v>87</v>
      </c>
      <c r="B90" s="52" t="s">
        <v>656</v>
      </c>
      <c r="C90" s="93"/>
      <c r="D90" s="101" t="s">
        <v>539</v>
      </c>
      <c r="E90" s="101" t="s">
        <v>523</v>
      </c>
      <c r="F90" s="101" t="s">
        <v>148</v>
      </c>
      <c r="G90" s="101" t="s">
        <v>556</v>
      </c>
      <c r="H90" s="101" t="s">
        <v>551</v>
      </c>
      <c r="I90" s="101" t="s">
        <v>552</v>
      </c>
      <c r="J90" s="101" t="s">
        <v>140</v>
      </c>
      <c r="K90" s="101" t="s">
        <v>529</v>
      </c>
      <c r="L90" s="101" t="s">
        <v>542</v>
      </c>
      <c r="M90" s="101" t="s">
        <v>553</v>
      </c>
      <c r="N90" s="101" t="s">
        <v>532</v>
      </c>
      <c r="O90" s="101" t="s">
        <v>554</v>
      </c>
      <c r="P90" s="101" t="s">
        <v>145</v>
      </c>
      <c r="Q90" s="101" t="s">
        <v>544</v>
      </c>
      <c r="R90" s="101" t="s">
        <v>545</v>
      </c>
      <c r="S90" s="101" t="s">
        <v>546</v>
      </c>
      <c r="T90" s="101" t="s">
        <v>557</v>
      </c>
      <c r="U90" s="101" t="s">
        <v>154</v>
      </c>
      <c r="V90" s="101" t="s">
        <v>81</v>
      </c>
      <c r="W90" s="101" t="s">
        <v>549</v>
      </c>
      <c r="X90" s="105">
        <v>6</v>
      </c>
      <c r="Y90" s="105">
        <v>7</v>
      </c>
      <c r="Z90" s="105">
        <v>4</v>
      </c>
      <c r="AA90" s="105">
        <v>2</v>
      </c>
      <c r="AB90" s="105">
        <v>6</v>
      </c>
      <c r="AC90" s="105">
        <v>5</v>
      </c>
      <c r="AD90" s="105">
        <v>3</v>
      </c>
      <c r="AE90" s="105">
        <v>3</v>
      </c>
      <c r="AF90" s="105">
        <v>5</v>
      </c>
      <c r="AG90" s="105">
        <v>5</v>
      </c>
      <c r="AH90" s="105">
        <v>7</v>
      </c>
      <c r="AI90" s="105">
        <v>3</v>
      </c>
      <c r="AJ90" s="105">
        <v>2</v>
      </c>
      <c r="AK90" s="105">
        <v>4</v>
      </c>
      <c r="AL90" s="105">
        <v>5</v>
      </c>
      <c r="AM90" s="105">
        <v>5</v>
      </c>
      <c r="AN90" s="105">
        <v>7</v>
      </c>
      <c r="AO90" s="105">
        <v>1</v>
      </c>
      <c r="AP90" s="105">
        <v>4</v>
      </c>
      <c r="AQ90" s="105">
        <v>6</v>
      </c>
    </row>
    <row r="91" spans="1:43" x14ac:dyDescent="0.35">
      <c r="A91" s="52">
        <v>88</v>
      </c>
      <c r="B91" s="52" t="s">
        <v>926</v>
      </c>
      <c r="C91" s="93"/>
      <c r="D91" s="93" t="s">
        <v>539</v>
      </c>
      <c r="E91" s="93" t="s">
        <v>523</v>
      </c>
      <c r="F91" s="93" t="s">
        <v>524</v>
      </c>
      <c r="G91" s="93" t="s">
        <v>570</v>
      </c>
      <c r="H91" s="93" t="s">
        <v>551</v>
      </c>
      <c r="I91" s="93" t="s">
        <v>527</v>
      </c>
      <c r="J91" s="93" t="s">
        <v>140</v>
      </c>
      <c r="K91" s="93" t="s">
        <v>529</v>
      </c>
      <c r="L91" s="93" t="s">
        <v>542</v>
      </c>
      <c r="M91" s="93" t="s">
        <v>553</v>
      </c>
      <c r="N91" s="93" t="s">
        <v>532</v>
      </c>
      <c r="O91" s="93" t="s">
        <v>554</v>
      </c>
      <c r="P91" s="93" t="s">
        <v>145</v>
      </c>
      <c r="Q91" s="93" t="s">
        <v>544</v>
      </c>
      <c r="R91" s="93" t="s">
        <v>545</v>
      </c>
      <c r="S91" s="93" t="s">
        <v>565</v>
      </c>
      <c r="T91" s="93" t="s">
        <v>537</v>
      </c>
      <c r="U91" s="93" t="s">
        <v>548</v>
      </c>
      <c r="V91" s="93" t="s">
        <v>155</v>
      </c>
      <c r="W91" s="93" t="s">
        <v>549</v>
      </c>
      <c r="X91" s="104">
        <v>7</v>
      </c>
      <c r="Y91" s="104">
        <v>6</v>
      </c>
      <c r="Z91" s="104">
        <v>7</v>
      </c>
      <c r="AA91" s="104">
        <v>5</v>
      </c>
      <c r="AB91" s="104">
        <v>6</v>
      </c>
      <c r="AC91" s="104">
        <v>3</v>
      </c>
      <c r="AD91" s="104">
        <v>3</v>
      </c>
      <c r="AE91" s="104">
        <v>6</v>
      </c>
      <c r="AF91" s="104">
        <v>3</v>
      </c>
      <c r="AG91" s="104">
        <v>5</v>
      </c>
      <c r="AH91" s="104">
        <v>6</v>
      </c>
      <c r="AI91" s="104">
        <v>2</v>
      </c>
      <c r="AJ91" s="104">
        <v>2</v>
      </c>
      <c r="AK91" s="104">
        <v>5</v>
      </c>
      <c r="AL91" s="104">
        <v>5</v>
      </c>
      <c r="AM91" s="104">
        <v>2</v>
      </c>
      <c r="AN91" s="104">
        <v>4</v>
      </c>
      <c r="AO91" s="104">
        <v>3</v>
      </c>
      <c r="AP91" s="104">
        <v>3</v>
      </c>
      <c r="AQ91" s="104">
        <v>7</v>
      </c>
    </row>
    <row r="92" spans="1:43" x14ac:dyDescent="0.35">
      <c r="A92" s="52">
        <v>89</v>
      </c>
      <c r="B92" s="52" t="s">
        <v>374</v>
      </c>
      <c r="C92" s="93"/>
      <c r="D92" s="101" t="s">
        <v>539</v>
      </c>
      <c r="E92" s="101" t="s">
        <v>569</v>
      </c>
      <c r="F92" s="101" t="s">
        <v>148</v>
      </c>
      <c r="G92" s="101" t="s">
        <v>556</v>
      </c>
      <c r="H92" s="101" t="s">
        <v>526</v>
      </c>
      <c r="I92" s="101" t="s">
        <v>552</v>
      </c>
      <c r="J92" s="101" t="s">
        <v>140</v>
      </c>
      <c r="K92" s="101" t="s">
        <v>529</v>
      </c>
      <c r="L92" s="101" t="s">
        <v>542</v>
      </c>
      <c r="M92" s="101" t="s">
        <v>531</v>
      </c>
      <c r="N92" s="101" t="s">
        <v>532</v>
      </c>
      <c r="O92" s="101" t="s">
        <v>554</v>
      </c>
      <c r="P92" s="101" t="s">
        <v>145</v>
      </c>
      <c r="Q92" s="101" t="s">
        <v>544</v>
      </c>
      <c r="R92" s="101" t="s">
        <v>567</v>
      </c>
      <c r="S92" s="101" t="s">
        <v>546</v>
      </c>
      <c r="T92" s="101" t="s">
        <v>537</v>
      </c>
      <c r="U92" s="101" t="s">
        <v>548</v>
      </c>
      <c r="V92" s="101" t="s">
        <v>155</v>
      </c>
      <c r="W92" s="101" t="s">
        <v>555</v>
      </c>
      <c r="X92" s="104">
        <v>7</v>
      </c>
      <c r="Y92" s="104">
        <v>9</v>
      </c>
      <c r="Z92" s="104">
        <v>4</v>
      </c>
      <c r="AA92" s="104">
        <v>2</v>
      </c>
      <c r="AB92" s="104">
        <v>3</v>
      </c>
      <c r="AC92" s="104">
        <v>5</v>
      </c>
      <c r="AD92" s="104">
        <v>1</v>
      </c>
      <c r="AE92" s="104">
        <v>3</v>
      </c>
      <c r="AF92" s="104">
        <v>5</v>
      </c>
      <c r="AG92" s="104">
        <v>7</v>
      </c>
      <c r="AH92" s="104">
        <v>7</v>
      </c>
      <c r="AI92" s="104">
        <v>3</v>
      </c>
      <c r="AJ92" s="104">
        <v>2</v>
      </c>
      <c r="AK92" s="104">
        <v>4</v>
      </c>
      <c r="AL92" s="104">
        <v>6</v>
      </c>
      <c r="AM92" s="104">
        <v>5</v>
      </c>
      <c r="AN92" s="104">
        <v>6</v>
      </c>
      <c r="AO92" s="104">
        <v>3</v>
      </c>
      <c r="AP92" s="104">
        <v>3</v>
      </c>
      <c r="AQ92" s="104">
        <v>5</v>
      </c>
    </row>
    <row r="93" spans="1:43" x14ac:dyDescent="0.35">
      <c r="A93" s="52">
        <v>90</v>
      </c>
      <c r="B93" s="52" t="s">
        <v>306</v>
      </c>
      <c r="C93" s="93"/>
      <c r="D93" s="101" t="s">
        <v>578</v>
      </c>
      <c r="E93" s="101" t="s">
        <v>540</v>
      </c>
      <c r="F93" s="101" t="s">
        <v>524</v>
      </c>
      <c r="G93" s="101" t="s">
        <v>138</v>
      </c>
      <c r="H93" s="101" t="s">
        <v>526</v>
      </c>
      <c r="I93" s="101" t="s">
        <v>527</v>
      </c>
      <c r="J93" s="101" t="s">
        <v>558</v>
      </c>
      <c r="K93" s="101" t="s">
        <v>529</v>
      </c>
      <c r="L93" s="101" t="s">
        <v>542</v>
      </c>
      <c r="M93" s="101" t="s">
        <v>553</v>
      </c>
      <c r="N93" s="101" t="s">
        <v>532</v>
      </c>
      <c r="O93" s="101" t="s">
        <v>554</v>
      </c>
      <c r="P93" s="101" t="s">
        <v>543</v>
      </c>
      <c r="Q93" s="101" t="s">
        <v>544</v>
      </c>
      <c r="R93" s="101" t="s">
        <v>567</v>
      </c>
      <c r="S93" s="101" t="s">
        <v>546</v>
      </c>
      <c r="T93" s="101" t="s">
        <v>557</v>
      </c>
      <c r="U93" s="101" t="s">
        <v>548</v>
      </c>
      <c r="V93" s="101" t="s">
        <v>81</v>
      </c>
      <c r="W93" s="101" t="s">
        <v>549</v>
      </c>
      <c r="X93" s="104">
        <v>8</v>
      </c>
      <c r="Y93" s="104">
        <v>4</v>
      </c>
      <c r="Z93" s="104">
        <v>5</v>
      </c>
      <c r="AA93" s="104">
        <v>1</v>
      </c>
      <c r="AB93" s="104">
        <v>3</v>
      </c>
      <c r="AC93" s="104">
        <v>3</v>
      </c>
      <c r="AD93" s="104">
        <v>4</v>
      </c>
      <c r="AE93" s="104">
        <v>3</v>
      </c>
      <c r="AF93" s="104">
        <v>5</v>
      </c>
      <c r="AG93" s="104">
        <v>3</v>
      </c>
      <c r="AH93" s="104">
        <v>6</v>
      </c>
      <c r="AI93" s="104">
        <v>3</v>
      </c>
      <c r="AJ93" s="104">
        <v>5</v>
      </c>
      <c r="AK93" s="104">
        <v>4</v>
      </c>
      <c r="AL93" s="104">
        <v>7</v>
      </c>
      <c r="AM93" s="104">
        <v>5</v>
      </c>
      <c r="AN93" s="104">
        <v>8</v>
      </c>
      <c r="AO93" s="104">
        <v>2</v>
      </c>
      <c r="AP93" s="104">
        <v>4</v>
      </c>
      <c r="AQ93" s="104">
        <v>7</v>
      </c>
    </row>
    <row r="94" spans="1:43" x14ac:dyDescent="0.35">
      <c r="A94" s="52">
        <v>91</v>
      </c>
      <c r="B94" s="52" t="s">
        <v>1000</v>
      </c>
      <c r="C94" s="93"/>
      <c r="D94" s="93" t="s">
        <v>522</v>
      </c>
      <c r="E94" s="93" t="s">
        <v>523</v>
      </c>
      <c r="F94" s="93" t="s">
        <v>524</v>
      </c>
      <c r="G94" s="93" t="s">
        <v>556</v>
      </c>
      <c r="H94" s="93" t="s">
        <v>551</v>
      </c>
      <c r="I94" s="93" t="s">
        <v>527</v>
      </c>
      <c r="J94" s="93" t="s">
        <v>558</v>
      </c>
      <c r="K94" s="93" t="s">
        <v>529</v>
      </c>
      <c r="L94" s="93" t="s">
        <v>530</v>
      </c>
      <c r="M94" s="93" t="s">
        <v>553</v>
      </c>
      <c r="N94" s="93" t="s">
        <v>532</v>
      </c>
      <c r="O94" s="93" t="s">
        <v>554</v>
      </c>
      <c r="P94" s="93" t="s">
        <v>534</v>
      </c>
      <c r="Q94" s="93" t="s">
        <v>535</v>
      </c>
      <c r="R94" s="93" t="s">
        <v>567</v>
      </c>
      <c r="S94" s="93" t="s">
        <v>568</v>
      </c>
      <c r="T94" s="93" t="s">
        <v>547</v>
      </c>
      <c r="U94" s="93" t="s">
        <v>538</v>
      </c>
      <c r="V94" s="93" t="s">
        <v>155</v>
      </c>
      <c r="W94" s="93" t="s">
        <v>156</v>
      </c>
      <c r="X94" s="104">
        <v>4</v>
      </c>
      <c r="Y94" s="104">
        <v>7</v>
      </c>
      <c r="Z94" s="104">
        <v>5</v>
      </c>
      <c r="AA94" s="104">
        <v>3</v>
      </c>
      <c r="AB94" s="104">
        <v>7</v>
      </c>
      <c r="AC94" s="104">
        <v>3</v>
      </c>
      <c r="AD94" s="104">
        <v>4</v>
      </c>
      <c r="AE94" s="104">
        <v>4</v>
      </c>
      <c r="AF94" s="104">
        <v>6</v>
      </c>
      <c r="AG94" s="104">
        <v>3</v>
      </c>
      <c r="AH94" s="104">
        <v>8</v>
      </c>
      <c r="AI94" s="104">
        <v>3</v>
      </c>
      <c r="AJ94" s="104">
        <v>4</v>
      </c>
      <c r="AK94" s="104">
        <v>3</v>
      </c>
      <c r="AL94" s="104">
        <v>7</v>
      </c>
      <c r="AM94" s="104">
        <v>8</v>
      </c>
      <c r="AN94" s="104">
        <v>2</v>
      </c>
      <c r="AO94" s="104">
        <v>4</v>
      </c>
      <c r="AP94" s="104">
        <v>2</v>
      </c>
      <c r="AQ94" s="104">
        <v>3</v>
      </c>
    </row>
    <row r="95" spans="1:43" x14ac:dyDescent="0.35">
      <c r="A95" s="52">
        <v>92</v>
      </c>
      <c r="B95" s="52" t="s">
        <v>379</v>
      </c>
      <c r="C95" s="93"/>
      <c r="D95" s="101" t="s">
        <v>539</v>
      </c>
      <c r="E95" s="101" t="s">
        <v>523</v>
      </c>
      <c r="F95" s="101" t="s">
        <v>524</v>
      </c>
      <c r="G95" s="101" t="s">
        <v>556</v>
      </c>
      <c r="H95" s="101" t="s">
        <v>561</v>
      </c>
      <c r="I95" s="101" t="s">
        <v>552</v>
      </c>
      <c r="J95" s="101" t="s">
        <v>140</v>
      </c>
      <c r="K95" s="101" t="s">
        <v>529</v>
      </c>
      <c r="L95" s="101" t="s">
        <v>152</v>
      </c>
      <c r="M95" s="101" t="s">
        <v>553</v>
      </c>
      <c r="N95" s="101" t="s">
        <v>532</v>
      </c>
      <c r="O95" s="101" t="s">
        <v>554</v>
      </c>
      <c r="P95" s="101" t="s">
        <v>543</v>
      </c>
      <c r="Q95" s="101" t="s">
        <v>544</v>
      </c>
      <c r="R95" s="101" t="s">
        <v>567</v>
      </c>
      <c r="S95" s="101" t="s">
        <v>546</v>
      </c>
      <c r="T95" s="101" t="s">
        <v>537</v>
      </c>
      <c r="U95" s="101" t="s">
        <v>538</v>
      </c>
      <c r="V95" s="101" t="s">
        <v>155</v>
      </c>
      <c r="W95" s="101" t="s">
        <v>549</v>
      </c>
      <c r="X95" s="104">
        <v>6</v>
      </c>
      <c r="Y95" s="104">
        <v>5</v>
      </c>
      <c r="Z95" s="104">
        <v>7</v>
      </c>
      <c r="AA95" s="104">
        <v>2</v>
      </c>
      <c r="AB95" s="104">
        <v>4</v>
      </c>
      <c r="AC95" s="104">
        <v>4</v>
      </c>
      <c r="AD95" s="104">
        <v>3</v>
      </c>
      <c r="AE95" s="104">
        <v>4</v>
      </c>
      <c r="AF95" s="104">
        <v>2</v>
      </c>
      <c r="AG95" s="104">
        <v>4</v>
      </c>
      <c r="AH95" s="104">
        <v>6</v>
      </c>
      <c r="AI95" s="104">
        <v>2</v>
      </c>
      <c r="AJ95" s="104">
        <v>5</v>
      </c>
      <c r="AK95" s="104">
        <v>6</v>
      </c>
      <c r="AL95" s="104">
        <v>6</v>
      </c>
      <c r="AM95" s="104">
        <v>5</v>
      </c>
      <c r="AN95" s="104">
        <v>4</v>
      </c>
      <c r="AO95" s="104">
        <v>5</v>
      </c>
      <c r="AP95" s="104">
        <v>3</v>
      </c>
      <c r="AQ95" s="104">
        <v>7</v>
      </c>
    </row>
    <row r="96" spans="1:43" x14ac:dyDescent="0.35">
      <c r="A96" s="52">
        <v>93</v>
      </c>
      <c r="B96" s="52" t="s">
        <v>700</v>
      </c>
      <c r="C96" s="93"/>
      <c r="D96" s="101" t="s">
        <v>539</v>
      </c>
      <c r="E96" s="101" t="s">
        <v>523</v>
      </c>
      <c r="F96" s="101" t="s">
        <v>524</v>
      </c>
      <c r="G96" s="101" t="s">
        <v>556</v>
      </c>
      <c r="H96" s="101" t="s">
        <v>566</v>
      </c>
      <c r="I96" s="101" t="s">
        <v>552</v>
      </c>
      <c r="J96" s="101" t="s">
        <v>140</v>
      </c>
      <c r="K96" s="101" t="s">
        <v>529</v>
      </c>
      <c r="L96" s="101" t="s">
        <v>542</v>
      </c>
      <c r="M96" s="101" t="s">
        <v>531</v>
      </c>
      <c r="N96" s="101" t="s">
        <v>532</v>
      </c>
      <c r="O96" s="101" t="s">
        <v>571</v>
      </c>
      <c r="P96" s="101" t="s">
        <v>543</v>
      </c>
      <c r="Q96" s="101" t="s">
        <v>544</v>
      </c>
      <c r="R96" s="101" t="s">
        <v>545</v>
      </c>
      <c r="S96" s="101" t="s">
        <v>565</v>
      </c>
      <c r="T96" s="101" t="s">
        <v>537</v>
      </c>
      <c r="U96" s="101" t="s">
        <v>548</v>
      </c>
      <c r="V96" s="101" t="s">
        <v>155</v>
      </c>
      <c r="W96" s="101" t="s">
        <v>555</v>
      </c>
      <c r="X96" s="104">
        <v>7</v>
      </c>
      <c r="Y96" s="104">
        <v>5</v>
      </c>
      <c r="Z96" s="104">
        <v>6</v>
      </c>
      <c r="AA96" s="104">
        <v>2</v>
      </c>
      <c r="AB96" s="104">
        <v>5</v>
      </c>
      <c r="AC96" s="104">
        <v>4</v>
      </c>
      <c r="AD96" s="104">
        <v>1</v>
      </c>
      <c r="AE96" s="104">
        <v>5</v>
      </c>
      <c r="AF96" s="104">
        <v>4</v>
      </c>
      <c r="AG96" s="104">
        <v>7</v>
      </c>
      <c r="AH96" s="104">
        <v>9</v>
      </c>
      <c r="AI96" s="104">
        <v>4</v>
      </c>
      <c r="AJ96" s="104">
        <v>5</v>
      </c>
      <c r="AK96" s="104">
        <v>6</v>
      </c>
      <c r="AL96" s="104">
        <v>4</v>
      </c>
      <c r="AM96" s="104">
        <v>3</v>
      </c>
      <c r="AN96" s="104">
        <v>4</v>
      </c>
      <c r="AO96" s="104">
        <v>3</v>
      </c>
      <c r="AP96" s="104">
        <v>1</v>
      </c>
      <c r="AQ96" s="104">
        <v>5</v>
      </c>
    </row>
    <row r="97" spans="1:43" x14ac:dyDescent="0.35">
      <c r="A97" s="52">
        <v>94</v>
      </c>
      <c r="B97" s="52" t="s">
        <v>1008</v>
      </c>
      <c r="C97" s="93"/>
      <c r="D97" s="93" t="s">
        <v>578</v>
      </c>
      <c r="E97" s="93" t="s">
        <v>569</v>
      </c>
      <c r="F97" s="93" t="s">
        <v>148</v>
      </c>
      <c r="G97" s="93" t="s">
        <v>556</v>
      </c>
      <c r="H97" s="93" t="s">
        <v>566</v>
      </c>
      <c r="I97" s="93" t="s">
        <v>552</v>
      </c>
      <c r="J97" s="93" t="s">
        <v>140</v>
      </c>
      <c r="K97" s="93" t="s">
        <v>529</v>
      </c>
      <c r="L97" s="93" t="s">
        <v>530</v>
      </c>
      <c r="M97" s="93" t="s">
        <v>151</v>
      </c>
      <c r="N97" s="93" t="s">
        <v>142</v>
      </c>
      <c r="O97" s="93" t="s">
        <v>533</v>
      </c>
      <c r="P97" s="93" t="s">
        <v>543</v>
      </c>
      <c r="Q97" s="93" t="s">
        <v>544</v>
      </c>
      <c r="R97" s="93" t="s">
        <v>567</v>
      </c>
      <c r="S97" s="93" t="s">
        <v>546</v>
      </c>
      <c r="T97" s="93" t="s">
        <v>537</v>
      </c>
      <c r="U97" s="93" t="s">
        <v>548</v>
      </c>
      <c r="V97" s="93" t="s">
        <v>155</v>
      </c>
      <c r="W97" s="93" t="s">
        <v>555</v>
      </c>
      <c r="X97" s="104">
        <v>8</v>
      </c>
      <c r="Y97" s="104">
        <v>9</v>
      </c>
      <c r="Z97" s="104">
        <v>4</v>
      </c>
      <c r="AA97" s="104">
        <v>2</v>
      </c>
      <c r="AB97" s="104">
        <v>5</v>
      </c>
      <c r="AC97" s="104">
        <v>5</v>
      </c>
      <c r="AD97" s="104">
        <v>1</v>
      </c>
      <c r="AE97" s="104">
        <v>4</v>
      </c>
      <c r="AF97" s="104">
        <v>6</v>
      </c>
      <c r="AG97" s="104">
        <v>2</v>
      </c>
      <c r="AH97" s="104">
        <v>2</v>
      </c>
      <c r="AI97" s="104">
        <v>5</v>
      </c>
      <c r="AJ97" s="104">
        <v>5</v>
      </c>
      <c r="AK97" s="104">
        <v>5</v>
      </c>
      <c r="AL97" s="104">
        <v>6</v>
      </c>
      <c r="AM97" s="104">
        <v>5</v>
      </c>
      <c r="AN97" s="104">
        <v>6</v>
      </c>
      <c r="AO97" s="104">
        <v>2</v>
      </c>
      <c r="AP97" s="104">
        <v>3</v>
      </c>
      <c r="AQ97" s="104">
        <v>5</v>
      </c>
    </row>
    <row r="98" spans="1:43" x14ac:dyDescent="0.35">
      <c r="A98" s="52">
        <v>95</v>
      </c>
      <c r="B98" s="52" t="s">
        <v>346</v>
      </c>
      <c r="C98" s="93"/>
      <c r="D98" s="101" t="s">
        <v>522</v>
      </c>
      <c r="E98" s="101" t="s">
        <v>523</v>
      </c>
      <c r="F98" s="101" t="s">
        <v>148</v>
      </c>
      <c r="G98" s="101" t="s">
        <v>138</v>
      </c>
      <c r="H98" s="101" t="s">
        <v>526</v>
      </c>
      <c r="I98" s="101" t="s">
        <v>552</v>
      </c>
      <c r="J98" s="101" t="s">
        <v>558</v>
      </c>
      <c r="K98" s="101" t="s">
        <v>529</v>
      </c>
      <c r="L98" s="101" t="s">
        <v>542</v>
      </c>
      <c r="M98" s="101" t="s">
        <v>553</v>
      </c>
      <c r="N98" s="101" t="s">
        <v>532</v>
      </c>
      <c r="O98" s="101" t="s">
        <v>554</v>
      </c>
      <c r="P98" s="101" t="s">
        <v>534</v>
      </c>
      <c r="Q98" s="101" t="s">
        <v>544</v>
      </c>
      <c r="R98" s="101" t="s">
        <v>545</v>
      </c>
      <c r="S98" s="101" t="s">
        <v>536</v>
      </c>
      <c r="T98" s="101" t="s">
        <v>557</v>
      </c>
      <c r="U98" s="101" t="s">
        <v>576</v>
      </c>
      <c r="V98" s="101" t="s">
        <v>155</v>
      </c>
      <c r="W98" s="101" t="s">
        <v>574</v>
      </c>
      <c r="X98" s="104">
        <v>4</v>
      </c>
      <c r="Y98" s="104">
        <v>5</v>
      </c>
      <c r="Z98" s="104">
        <v>2</v>
      </c>
      <c r="AA98" s="104">
        <v>1</v>
      </c>
      <c r="AB98" s="104">
        <v>3</v>
      </c>
      <c r="AC98" s="104">
        <v>4</v>
      </c>
      <c r="AD98" s="104">
        <v>4</v>
      </c>
      <c r="AE98" s="104">
        <v>3</v>
      </c>
      <c r="AF98" s="104">
        <v>5</v>
      </c>
      <c r="AG98" s="104">
        <v>5</v>
      </c>
      <c r="AH98" s="104">
        <v>7</v>
      </c>
      <c r="AI98" s="104">
        <v>3</v>
      </c>
      <c r="AJ98" s="104">
        <v>3</v>
      </c>
      <c r="AK98" s="104">
        <v>6</v>
      </c>
      <c r="AL98" s="104">
        <v>5</v>
      </c>
      <c r="AM98" s="104">
        <v>6</v>
      </c>
      <c r="AN98" s="104">
        <v>7</v>
      </c>
      <c r="AO98" s="104">
        <v>6</v>
      </c>
      <c r="AP98" s="104">
        <v>3</v>
      </c>
      <c r="AQ98" s="104">
        <v>8</v>
      </c>
    </row>
    <row r="99" spans="1:43" x14ac:dyDescent="0.35">
      <c r="A99" s="52">
        <v>96</v>
      </c>
      <c r="B99" s="52" t="s">
        <v>1085</v>
      </c>
      <c r="C99" s="93"/>
      <c r="D99" s="93" t="s">
        <v>539</v>
      </c>
      <c r="E99" s="93" t="s">
        <v>569</v>
      </c>
      <c r="F99" s="93" t="s">
        <v>524</v>
      </c>
      <c r="G99" s="93" t="s">
        <v>556</v>
      </c>
      <c r="H99" s="93" t="s">
        <v>149</v>
      </c>
      <c r="I99" s="93" t="s">
        <v>527</v>
      </c>
      <c r="J99" s="93" t="s">
        <v>558</v>
      </c>
      <c r="K99" s="93" t="s">
        <v>529</v>
      </c>
      <c r="L99" s="93" t="s">
        <v>542</v>
      </c>
      <c r="M99" s="93" t="s">
        <v>553</v>
      </c>
      <c r="N99" s="93" t="s">
        <v>532</v>
      </c>
      <c r="O99" s="93" t="s">
        <v>554</v>
      </c>
      <c r="P99" s="93" t="s">
        <v>534</v>
      </c>
      <c r="Q99" s="93" t="s">
        <v>544</v>
      </c>
      <c r="R99" s="93" t="s">
        <v>545</v>
      </c>
      <c r="S99" s="93" t="s">
        <v>536</v>
      </c>
      <c r="T99" s="93" t="s">
        <v>547</v>
      </c>
      <c r="U99" s="93" t="s">
        <v>538</v>
      </c>
      <c r="V99" s="93" t="s">
        <v>155</v>
      </c>
      <c r="W99" s="93" t="s">
        <v>555</v>
      </c>
      <c r="X99" s="104">
        <v>6</v>
      </c>
      <c r="Y99" s="104">
        <v>8</v>
      </c>
      <c r="Z99" s="104">
        <v>7</v>
      </c>
      <c r="AA99" s="104">
        <v>2</v>
      </c>
      <c r="AB99" s="104">
        <v>1</v>
      </c>
      <c r="AC99" s="104">
        <v>3</v>
      </c>
      <c r="AD99" s="104">
        <v>4</v>
      </c>
      <c r="AE99" s="104">
        <v>5</v>
      </c>
      <c r="AF99" s="104">
        <v>4</v>
      </c>
      <c r="AG99" s="104">
        <v>5</v>
      </c>
      <c r="AH99" s="104">
        <v>8</v>
      </c>
      <c r="AI99" s="104">
        <v>3</v>
      </c>
      <c r="AJ99" s="104">
        <v>4</v>
      </c>
      <c r="AK99" s="104">
        <v>5</v>
      </c>
      <c r="AL99" s="104">
        <v>4</v>
      </c>
      <c r="AM99" s="104">
        <v>7</v>
      </c>
      <c r="AN99" s="104">
        <v>2</v>
      </c>
      <c r="AO99" s="104">
        <v>5</v>
      </c>
      <c r="AP99" s="104">
        <v>3</v>
      </c>
      <c r="AQ99" s="104">
        <v>4</v>
      </c>
    </row>
    <row r="100" spans="1:43" x14ac:dyDescent="0.35">
      <c r="A100" s="52">
        <v>97</v>
      </c>
      <c r="B100" s="52" t="s">
        <v>1016</v>
      </c>
      <c r="C100" s="93"/>
      <c r="D100" s="93" t="s">
        <v>539</v>
      </c>
      <c r="E100" s="93" t="s">
        <v>523</v>
      </c>
      <c r="F100" s="93" t="s">
        <v>524</v>
      </c>
      <c r="G100" s="93" t="s">
        <v>138</v>
      </c>
      <c r="H100" s="93" t="s">
        <v>566</v>
      </c>
      <c r="I100" s="93" t="s">
        <v>527</v>
      </c>
      <c r="J100" s="93" t="s">
        <v>140</v>
      </c>
      <c r="K100" s="93" t="s">
        <v>529</v>
      </c>
      <c r="L100" s="93" t="s">
        <v>152</v>
      </c>
      <c r="M100" s="93" t="s">
        <v>553</v>
      </c>
      <c r="N100" s="93" t="s">
        <v>562</v>
      </c>
      <c r="O100" s="93" t="s">
        <v>554</v>
      </c>
      <c r="P100" s="93" t="s">
        <v>563</v>
      </c>
      <c r="Q100" s="93" t="s">
        <v>564</v>
      </c>
      <c r="R100" s="93" t="s">
        <v>545</v>
      </c>
      <c r="S100" s="93" t="s">
        <v>536</v>
      </c>
      <c r="T100" s="93" t="s">
        <v>537</v>
      </c>
      <c r="U100" s="93" t="s">
        <v>576</v>
      </c>
      <c r="V100" s="93" t="s">
        <v>155</v>
      </c>
      <c r="W100" s="93" t="s">
        <v>555</v>
      </c>
      <c r="X100" s="104">
        <v>6</v>
      </c>
      <c r="Y100" s="104">
        <v>7</v>
      </c>
      <c r="Z100" s="104">
        <v>5</v>
      </c>
      <c r="AA100" s="104">
        <v>1</v>
      </c>
      <c r="AB100" s="104">
        <v>5</v>
      </c>
      <c r="AC100" s="104">
        <v>3</v>
      </c>
      <c r="AD100" s="104">
        <v>3</v>
      </c>
      <c r="AE100" s="104">
        <v>5</v>
      </c>
      <c r="AF100" s="104">
        <v>2</v>
      </c>
      <c r="AG100" s="104">
        <v>4</v>
      </c>
      <c r="AH100" s="104">
        <v>4</v>
      </c>
      <c r="AI100" s="104">
        <v>3</v>
      </c>
      <c r="AJ100" s="104">
        <v>7</v>
      </c>
      <c r="AK100" s="104">
        <v>7</v>
      </c>
      <c r="AL100" s="104">
        <v>4</v>
      </c>
      <c r="AM100" s="104">
        <v>7</v>
      </c>
      <c r="AN100" s="104">
        <v>4</v>
      </c>
      <c r="AO100" s="104">
        <v>6</v>
      </c>
      <c r="AP100" s="104">
        <v>2</v>
      </c>
      <c r="AQ100" s="104">
        <v>5</v>
      </c>
    </row>
    <row r="101" spans="1:43" x14ac:dyDescent="0.35">
      <c r="A101" s="52">
        <v>98</v>
      </c>
      <c r="B101" s="52" t="s">
        <v>258</v>
      </c>
      <c r="C101" s="93"/>
      <c r="D101" s="101" t="s">
        <v>539</v>
      </c>
      <c r="E101" s="101" t="s">
        <v>523</v>
      </c>
      <c r="F101" s="101" t="s">
        <v>524</v>
      </c>
      <c r="G101" s="101" t="s">
        <v>525</v>
      </c>
      <c r="H101" s="101" t="s">
        <v>551</v>
      </c>
      <c r="I101" s="101" t="s">
        <v>527</v>
      </c>
      <c r="J101" s="101" t="s">
        <v>140</v>
      </c>
      <c r="K101" s="101" t="s">
        <v>529</v>
      </c>
      <c r="L101" s="101" t="s">
        <v>542</v>
      </c>
      <c r="M101" s="101" t="s">
        <v>553</v>
      </c>
      <c r="N101" s="101" t="s">
        <v>532</v>
      </c>
      <c r="O101" s="101" t="s">
        <v>554</v>
      </c>
      <c r="P101" s="101" t="s">
        <v>543</v>
      </c>
      <c r="Q101" s="101" t="s">
        <v>544</v>
      </c>
      <c r="R101" s="101" t="s">
        <v>545</v>
      </c>
      <c r="S101" s="101" t="s">
        <v>568</v>
      </c>
      <c r="T101" s="101" t="s">
        <v>146</v>
      </c>
      <c r="U101" s="101" t="s">
        <v>548</v>
      </c>
      <c r="V101" s="101" t="s">
        <v>155</v>
      </c>
      <c r="W101" s="101" t="s">
        <v>555</v>
      </c>
      <c r="X101" s="104">
        <v>6</v>
      </c>
      <c r="Y101" s="104">
        <v>6</v>
      </c>
      <c r="Z101" s="104">
        <v>5</v>
      </c>
      <c r="AA101" s="104">
        <v>7</v>
      </c>
      <c r="AB101" s="104">
        <v>6</v>
      </c>
      <c r="AC101" s="104">
        <v>3</v>
      </c>
      <c r="AD101" s="104">
        <v>3</v>
      </c>
      <c r="AE101" s="104">
        <v>4</v>
      </c>
      <c r="AF101" s="104">
        <v>3</v>
      </c>
      <c r="AG101" s="104">
        <v>5</v>
      </c>
      <c r="AH101" s="104">
        <v>5</v>
      </c>
      <c r="AI101" s="104">
        <v>3</v>
      </c>
      <c r="AJ101" s="104">
        <v>5</v>
      </c>
      <c r="AK101" s="104">
        <v>6</v>
      </c>
      <c r="AL101" s="104">
        <v>5</v>
      </c>
      <c r="AM101" s="104">
        <v>8</v>
      </c>
      <c r="AN101" s="104">
        <v>1</v>
      </c>
      <c r="AO101" s="104">
        <v>3</v>
      </c>
      <c r="AP101" s="104">
        <v>2</v>
      </c>
      <c r="AQ101" s="104">
        <v>4</v>
      </c>
    </row>
    <row r="102" spans="1:43" x14ac:dyDescent="0.35">
      <c r="A102" s="52">
        <v>99</v>
      </c>
      <c r="B102" s="52" t="s">
        <v>1066</v>
      </c>
      <c r="C102" s="93"/>
      <c r="D102" s="93" t="s">
        <v>522</v>
      </c>
      <c r="E102" s="93" t="s">
        <v>523</v>
      </c>
      <c r="F102" s="93" t="s">
        <v>148</v>
      </c>
      <c r="G102" s="93" t="s">
        <v>556</v>
      </c>
      <c r="H102" s="93" t="s">
        <v>551</v>
      </c>
      <c r="I102" s="93" t="s">
        <v>552</v>
      </c>
      <c r="J102" s="93" t="s">
        <v>140</v>
      </c>
      <c r="K102" s="93" t="s">
        <v>141</v>
      </c>
      <c r="L102" s="93" t="s">
        <v>542</v>
      </c>
      <c r="M102" s="93" t="s">
        <v>553</v>
      </c>
      <c r="N102" s="93" t="s">
        <v>532</v>
      </c>
      <c r="O102" s="93" t="s">
        <v>554</v>
      </c>
      <c r="P102" s="93" t="s">
        <v>563</v>
      </c>
      <c r="Q102" s="93" t="s">
        <v>544</v>
      </c>
      <c r="R102" s="93" t="s">
        <v>545</v>
      </c>
      <c r="S102" s="93" t="s">
        <v>546</v>
      </c>
      <c r="T102" s="93" t="s">
        <v>537</v>
      </c>
      <c r="U102" s="93" t="s">
        <v>538</v>
      </c>
      <c r="V102" s="93" t="s">
        <v>155</v>
      </c>
      <c r="W102" s="93" t="s">
        <v>549</v>
      </c>
      <c r="X102" s="104">
        <v>5</v>
      </c>
      <c r="Y102" s="104">
        <v>5</v>
      </c>
      <c r="Z102" s="104">
        <v>4</v>
      </c>
      <c r="AA102" s="104">
        <v>2</v>
      </c>
      <c r="AB102" s="104">
        <v>6</v>
      </c>
      <c r="AC102" s="104">
        <v>5</v>
      </c>
      <c r="AD102" s="104">
        <v>2</v>
      </c>
      <c r="AE102" s="104">
        <v>2</v>
      </c>
      <c r="AF102" s="104">
        <v>3</v>
      </c>
      <c r="AG102" s="104">
        <v>5</v>
      </c>
      <c r="AH102" s="104">
        <v>7</v>
      </c>
      <c r="AI102" s="104">
        <v>3</v>
      </c>
      <c r="AJ102" s="104">
        <v>7</v>
      </c>
      <c r="AK102" s="104">
        <v>5</v>
      </c>
      <c r="AL102" s="104">
        <v>5</v>
      </c>
      <c r="AM102" s="104">
        <v>5</v>
      </c>
      <c r="AN102" s="104">
        <v>5</v>
      </c>
      <c r="AO102" s="104">
        <v>4</v>
      </c>
      <c r="AP102" s="104">
        <v>3</v>
      </c>
      <c r="AQ102" s="104">
        <v>7</v>
      </c>
    </row>
    <row r="103" spans="1:43" x14ac:dyDescent="0.35">
      <c r="A103" s="52">
        <v>100</v>
      </c>
      <c r="B103" s="52" t="s">
        <v>1251</v>
      </c>
      <c r="C103" s="93"/>
      <c r="D103" s="93" t="s">
        <v>522</v>
      </c>
      <c r="E103" s="93" t="s">
        <v>523</v>
      </c>
      <c r="F103" s="93" t="s">
        <v>148</v>
      </c>
      <c r="G103" s="93" t="s">
        <v>525</v>
      </c>
      <c r="H103" s="93" t="s">
        <v>566</v>
      </c>
      <c r="I103" s="93" t="s">
        <v>541</v>
      </c>
      <c r="J103" s="93" t="s">
        <v>558</v>
      </c>
      <c r="K103" s="93" t="s">
        <v>529</v>
      </c>
      <c r="L103" s="93" t="s">
        <v>542</v>
      </c>
      <c r="M103" s="93" t="s">
        <v>151</v>
      </c>
      <c r="N103" s="93" t="s">
        <v>562</v>
      </c>
      <c r="O103" s="93" t="s">
        <v>571</v>
      </c>
      <c r="P103" s="93" t="s">
        <v>534</v>
      </c>
      <c r="Q103" s="93" t="s">
        <v>544</v>
      </c>
      <c r="R103" s="93" t="s">
        <v>545</v>
      </c>
      <c r="S103" s="93" t="s">
        <v>546</v>
      </c>
      <c r="T103" s="93" t="s">
        <v>547</v>
      </c>
      <c r="U103" s="93" t="s">
        <v>538</v>
      </c>
      <c r="V103" s="93" t="s">
        <v>81</v>
      </c>
      <c r="W103" s="93" t="s">
        <v>549</v>
      </c>
      <c r="X103" s="104">
        <v>4</v>
      </c>
      <c r="Y103" s="104">
        <v>5</v>
      </c>
      <c r="Z103" s="104">
        <v>4</v>
      </c>
      <c r="AA103" s="104">
        <v>6</v>
      </c>
      <c r="AB103" s="104">
        <v>5</v>
      </c>
      <c r="AC103" s="104">
        <v>7</v>
      </c>
      <c r="AD103" s="104">
        <v>4</v>
      </c>
      <c r="AE103" s="104">
        <v>5</v>
      </c>
      <c r="AF103" s="104">
        <v>4</v>
      </c>
      <c r="AG103" s="104">
        <v>2</v>
      </c>
      <c r="AH103" s="104">
        <v>4</v>
      </c>
      <c r="AI103" s="104">
        <v>4</v>
      </c>
      <c r="AJ103" s="104">
        <v>3</v>
      </c>
      <c r="AK103" s="104">
        <v>5</v>
      </c>
      <c r="AL103" s="104">
        <v>4</v>
      </c>
      <c r="AM103" s="104">
        <v>5</v>
      </c>
      <c r="AN103" s="104">
        <v>2</v>
      </c>
      <c r="AO103" s="104">
        <v>4</v>
      </c>
      <c r="AP103" s="104">
        <v>6</v>
      </c>
      <c r="AQ103" s="104">
        <v>7</v>
      </c>
    </row>
    <row r="104" spans="1:43" x14ac:dyDescent="0.35">
      <c r="A104" s="52">
        <v>101</v>
      </c>
      <c r="B104" s="52" t="s">
        <v>1119</v>
      </c>
      <c r="C104" s="93"/>
      <c r="D104" s="93" t="s">
        <v>539</v>
      </c>
      <c r="E104" s="93" t="s">
        <v>523</v>
      </c>
      <c r="F104" s="93" t="s">
        <v>524</v>
      </c>
      <c r="G104" s="93" t="s">
        <v>570</v>
      </c>
      <c r="H104" s="93" t="s">
        <v>561</v>
      </c>
      <c r="I104" s="93" t="s">
        <v>541</v>
      </c>
      <c r="J104" s="93" t="s">
        <v>140</v>
      </c>
      <c r="K104" s="93" t="s">
        <v>529</v>
      </c>
      <c r="L104" s="93" t="s">
        <v>542</v>
      </c>
      <c r="M104" s="93" t="s">
        <v>531</v>
      </c>
      <c r="N104" s="93" t="s">
        <v>142</v>
      </c>
      <c r="O104" s="93" t="s">
        <v>571</v>
      </c>
      <c r="P104" s="93" t="s">
        <v>543</v>
      </c>
      <c r="Q104" s="93" t="s">
        <v>544</v>
      </c>
      <c r="R104" s="93" t="s">
        <v>567</v>
      </c>
      <c r="S104" s="93" t="s">
        <v>565</v>
      </c>
      <c r="T104" s="93" t="s">
        <v>537</v>
      </c>
      <c r="U104" s="93" t="s">
        <v>538</v>
      </c>
      <c r="V104" s="93" t="s">
        <v>155</v>
      </c>
      <c r="W104" s="93" t="s">
        <v>156</v>
      </c>
      <c r="X104" s="104">
        <v>7</v>
      </c>
      <c r="Y104" s="104">
        <v>6</v>
      </c>
      <c r="Z104" s="104">
        <v>7</v>
      </c>
      <c r="AA104" s="104">
        <v>5</v>
      </c>
      <c r="AB104" s="104">
        <v>4</v>
      </c>
      <c r="AC104" s="104">
        <v>6</v>
      </c>
      <c r="AD104" s="104">
        <v>1</v>
      </c>
      <c r="AE104" s="104">
        <v>5</v>
      </c>
      <c r="AF104" s="104">
        <v>4</v>
      </c>
      <c r="AG104" s="104">
        <v>7</v>
      </c>
      <c r="AH104" s="104">
        <v>2</v>
      </c>
      <c r="AI104" s="104">
        <v>4</v>
      </c>
      <c r="AJ104" s="104">
        <v>5</v>
      </c>
      <c r="AK104" s="104">
        <v>5</v>
      </c>
      <c r="AL104" s="104">
        <v>6</v>
      </c>
      <c r="AM104" s="104">
        <v>3</v>
      </c>
      <c r="AN104" s="104">
        <v>4</v>
      </c>
      <c r="AO104" s="104">
        <v>4</v>
      </c>
      <c r="AP104" s="104">
        <v>2</v>
      </c>
      <c r="AQ104" s="104">
        <v>3</v>
      </c>
    </row>
    <row r="105" spans="1:43" x14ac:dyDescent="0.35">
      <c r="A105" s="52">
        <v>102</v>
      </c>
      <c r="B105" s="52" t="s">
        <v>1146</v>
      </c>
      <c r="C105" s="93"/>
      <c r="D105" s="93" t="s">
        <v>522</v>
      </c>
      <c r="E105" s="93" t="s">
        <v>569</v>
      </c>
      <c r="F105" s="93" t="s">
        <v>524</v>
      </c>
      <c r="G105" s="93" t="s">
        <v>550</v>
      </c>
      <c r="H105" s="93" t="s">
        <v>566</v>
      </c>
      <c r="I105" s="93" t="s">
        <v>552</v>
      </c>
      <c r="J105" s="93" t="s">
        <v>528</v>
      </c>
      <c r="K105" s="93" t="s">
        <v>529</v>
      </c>
      <c r="L105" s="93" t="s">
        <v>542</v>
      </c>
      <c r="M105" s="93" t="s">
        <v>553</v>
      </c>
      <c r="N105" s="93" t="s">
        <v>532</v>
      </c>
      <c r="O105" s="93" t="s">
        <v>571</v>
      </c>
      <c r="P105" s="93" t="s">
        <v>145</v>
      </c>
      <c r="Q105" s="93" t="s">
        <v>535</v>
      </c>
      <c r="R105" s="93" t="s">
        <v>545</v>
      </c>
      <c r="S105" s="93" t="s">
        <v>546</v>
      </c>
      <c r="T105" s="93" t="s">
        <v>547</v>
      </c>
      <c r="U105" s="93" t="s">
        <v>576</v>
      </c>
      <c r="V105" s="93" t="s">
        <v>81</v>
      </c>
      <c r="W105" s="93" t="s">
        <v>156</v>
      </c>
      <c r="X105" s="104">
        <v>5</v>
      </c>
      <c r="Y105" s="104">
        <v>9</v>
      </c>
      <c r="Z105" s="104">
        <v>6</v>
      </c>
      <c r="AA105" s="104">
        <v>4</v>
      </c>
      <c r="AB105" s="104">
        <v>5</v>
      </c>
      <c r="AC105" s="104">
        <v>4</v>
      </c>
      <c r="AD105" s="104">
        <v>8</v>
      </c>
      <c r="AE105" s="104">
        <v>3</v>
      </c>
      <c r="AF105" s="104">
        <v>3</v>
      </c>
      <c r="AG105" s="104">
        <v>4</v>
      </c>
      <c r="AH105" s="104">
        <v>6</v>
      </c>
      <c r="AI105" s="104">
        <v>4</v>
      </c>
      <c r="AJ105" s="104">
        <v>2</v>
      </c>
      <c r="AK105" s="104">
        <v>3</v>
      </c>
      <c r="AL105" s="104">
        <v>4</v>
      </c>
      <c r="AM105" s="104">
        <v>4</v>
      </c>
      <c r="AN105" s="104">
        <v>2</v>
      </c>
      <c r="AO105" s="104">
        <v>7</v>
      </c>
      <c r="AP105" s="104">
        <v>4</v>
      </c>
      <c r="AQ105" s="104">
        <v>3</v>
      </c>
    </row>
    <row r="106" spans="1:43" x14ac:dyDescent="0.35">
      <c r="A106" s="52">
        <v>103</v>
      </c>
      <c r="B106" s="52" t="s">
        <v>690</v>
      </c>
      <c r="C106" s="93"/>
      <c r="D106" s="101" t="s">
        <v>522</v>
      </c>
      <c r="E106" s="101" t="s">
        <v>569</v>
      </c>
      <c r="F106" s="101" t="s">
        <v>524</v>
      </c>
      <c r="G106" s="101" t="s">
        <v>525</v>
      </c>
      <c r="H106" s="101" t="s">
        <v>566</v>
      </c>
      <c r="I106" s="101" t="s">
        <v>527</v>
      </c>
      <c r="J106" s="101" t="s">
        <v>140</v>
      </c>
      <c r="K106" s="101" t="s">
        <v>529</v>
      </c>
      <c r="L106" s="101" t="s">
        <v>530</v>
      </c>
      <c r="M106" s="101" t="s">
        <v>553</v>
      </c>
      <c r="N106" s="101" t="s">
        <v>532</v>
      </c>
      <c r="O106" s="101" t="s">
        <v>571</v>
      </c>
      <c r="P106" s="101" t="s">
        <v>534</v>
      </c>
      <c r="Q106" s="101" t="s">
        <v>544</v>
      </c>
      <c r="R106" s="101" t="s">
        <v>545</v>
      </c>
      <c r="S106" s="101" t="s">
        <v>546</v>
      </c>
      <c r="T106" s="101" t="s">
        <v>537</v>
      </c>
      <c r="U106" s="101" t="s">
        <v>538</v>
      </c>
      <c r="V106" s="101" t="s">
        <v>155</v>
      </c>
      <c r="W106" s="101" t="s">
        <v>549</v>
      </c>
      <c r="X106" s="104">
        <v>4</v>
      </c>
      <c r="Y106" s="104">
        <v>8</v>
      </c>
      <c r="Z106" s="104">
        <v>5</v>
      </c>
      <c r="AA106" s="104">
        <v>7</v>
      </c>
      <c r="AB106" s="104">
        <v>5</v>
      </c>
      <c r="AC106" s="104">
        <v>3</v>
      </c>
      <c r="AD106" s="104">
        <v>2</v>
      </c>
      <c r="AE106" s="104">
        <v>3</v>
      </c>
      <c r="AF106" s="104">
        <v>7</v>
      </c>
      <c r="AG106" s="104">
        <v>3</v>
      </c>
      <c r="AH106" s="104">
        <v>5</v>
      </c>
      <c r="AI106" s="104">
        <v>4</v>
      </c>
      <c r="AJ106" s="104">
        <v>4</v>
      </c>
      <c r="AK106" s="104">
        <v>4</v>
      </c>
      <c r="AL106" s="104">
        <v>5</v>
      </c>
      <c r="AM106" s="104">
        <v>5</v>
      </c>
      <c r="AN106" s="104">
        <v>4</v>
      </c>
      <c r="AO106" s="104">
        <v>4</v>
      </c>
      <c r="AP106" s="104">
        <v>2</v>
      </c>
      <c r="AQ106" s="104">
        <v>6</v>
      </c>
    </row>
    <row r="107" spans="1:43" x14ac:dyDescent="0.35">
      <c r="A107" s="52">
        <v>104</v>
      </c>
      <c r="B107" s="52" t="s">
        <v>324</v>
      </c>
      <c r="C107" s="93"/>
      <c r="D107" s="101" t="s">
        <v>522</v>
      </c>
      <c r="E107" s="101" t="s">
        <v>569</v>
      </c>
      <c r="F107" s="101" t="s">
        <v>524</v>
      </c>
      <c r="G107" s="101" t="s">
        <v>556</v>
      </c>
      <c r="H107" s="101" t="s">
        <v>561</v>
      </c>
      <c r="I107" s="101" t="s">
        <v>541</v>
      </c>
      <c r="J107" s="101" t="s">
        <v>140</v>
      </c>
      <c r="K107" s="101" t="s">
        <v>529</v>
      </c>
      <c r="L107" s="101" t="s">
        <v>152</v>
      </c>
      <c r="M107" s="101" t="s">
        <v>531</v>
      </c>
      <c r="N107" s="101" t="s">
        <v>532</v>
      </c>
      <c r="O107" s="101" t="s">
        <v>554</v>
      </c>
      <c r="P107" s="101" t="s">
        <v>145</v>
      </c>
      <c r="Q107" s="101" t="s">
        <v>544</v>
      </c>
      <c r="R107" s="101" t="s">
        <v>545</v>
      </c>
      <c r="S107" s="101" t="s">
        <v>536</v>
      </c>
      <c r="T107" s="101" t="s">
        <v>537</v>
      </c>
      <c r="U107" s="101" t="s">
        <v>576</v>
      </c>
      <c r="V107" s="101" t="s">
        <v>155</v>
      </c>
      <c r="W107" s="101" t="s">
        <v>549</v>
      </c>
      <c r="X107" s="104">
        <v>5</v>
      </c>
      <c r="Y107" s="104">
        <v>9</v>
      </c>
      <c r="Z107" s="104">
        <v>5</v>
      </c>
      <c r="AA107" s="104">
        <v>3</v>
      </c>
      <c r="AB107" s="104">
        <v>4</v>
      </c>
      <c r="AC107" s="104">
        <v>6</v>
      </c>
      <c r="AD107" s="104">
        <v>2</v>
      </c>
      <c r="AE107" s="104">
        <v>3</v>
      </c>
      <c r="AF107" s="104">
        <v>2</v>
      </c>
      <c r="AG107" s="104">
        <v>6</v>
      </c>
      <c r="AH107" s="104">
        <v>6</v>
      </c>
      <c r="AI107" s="104">
        <v>2</v>
      </c>
      <c r="AJ107" s="104">
        <v>2</v>
      </c>
      <c r="AK107" s="104">
        <v>4</v>
      </c>
      <c r="AL107" s="104">
        <v>5</v>
      </c>
      <c r="AM107" s="104">
        <v>6</v>
      </c>
      <c r="AN107" s="104">
        <v>5</v>
      </c>
      <c r="AO107" s="104">
        <v>6</v>
      </c>
      <c r="AP107" s="104">
        <v>2</v>
      </c>
      <c r="AQ107" s="104">
        <v>7</v>
      </c>
    </row>
    <row r="108" spans="1:43" x14ac:dyDescent="0.35">
      <c r="A108" s="52">
        <v>105</v>
      </c>
      <c r="B108" s="52" t="s">
        <v>267</v>
      </c>
      <c r="C108" s="93"/>
      <c r="D108" s="101" t="s">
        <v>539</v>
      </c>
      <c r="E108" s="101" t="s">
        <v>569</v>
      </c>
      <c r="F108" s="101" t="s">
        <v>524</v>
      </c>
      <c r="G108" s="101" t="s">
        <v>556</v>
      </c>
      <c r="H108" s="101" t="s">
        <v>526</v>
      </c>
      <c r="I108" s="101" t="s">
        <v>541</v>
      </c>
      <c r="J108" s="101" t="s">
        <v>558</v>
      </c>
      <c r="K108" s="101" t="s">
        <v>529</v>
      </c>
      <c r="L108" s="101" t="s">
        <v>542</v>
      </c>
      <c r="M108" s="101" t="s">
        <v>531</v>
      </c>
      <c r="N108" s="101" t="s">
        <v>532</v>
      </c>
      <c r="O108" s="101" t="s">
        <v>554</v>
      </c>
      <c r="P108" s="101" t="s">
        <v>534</v>
      </c>
      <c r="Q108" s="101" t="s">
        <v>535</v>
      </c>
      <c r="R108" s="101" t="s">
        <v>545</v>
      </c>
      <c r="S108" s="101" t="s">
        <v>536</v>
      </c>
      <c r="T108" s="101" t="s">
        <v>537</v>
      </c>
      <c r="U108" s="101" t="s">
        <v>548</v>
      </c>
      <c r="V108" s="101" t="s">
        <v>81</v>
      </c>
      <c r="W108" s="101" t="s">
        <v>549</v>
      </c>
      <c r="X108" s="104">
        <v>6</v>
      </c>
      <c r="Y108" s="104">
        <v>8</v>
      </c>
      <c r="Z108" s="104">
        <v>5</v>
      </c>
      <c r="AA108" s="104">
        <v>3</v>
      </c>
      <c r="AB108" s="104">
        <v>3</v>
      </c>
      <c r="AC108" s="104">
        <v>6</v>
      </c>
      <c r="AD108" s="104">
        <v>4</v>
      </c>
      <c r="AE108" s="104">
        <v>3</v>
      </c>
      <c r="AF108" s="104">
        <v>3</v>
      </c>
      <c r="AG108" s="104">
        <v>6</v>
      </c>
      <c r="AH108" s="104">
        <v>5</v>
      </c>
      <c r="AI108" s="104">
        <v>3</v>
      </c>
      <c r="AJ108" s="104">
        <v>4</v>
      </c>
      <c r="AK108" s="104">
        <v>2</v>
      </c>
      <c r="AL108" s="104">
        <v>4</v>
      </c>
      <c r="AM108" s="104">
        <v>7</v>
      </c>
      <c r="AN108" s="104">
        <v>6</v>
      </c>
      <c r="AO108" s="104">
        <v>2</v>
      </c>
      <c r="AP108" s="104">
        <v>4</v>
      </c>
      <c r="AQ108" s="104">
        <v>6</v>
      </c>
    </row>
    <row r="109" spans="1:43" x14ac:dyDescent="0.35">
      <c r="A109" s="52">
        <v>106</v>
      </c>
      <c r="B109" s="52" t="s">
        <v>1237</v>
      </c>
      <c r="C109" s="93"/>
      <c r="D109" s="93" t="s">
        <v>522</v>
      </c>
      <c r="E109" s="93" t="s">
        <v>540</v>
      </c>
      <c r="F109" s="93" t="s">
        <v>524</v>
      </c>
      <c r="G109" s="93" t="s">
        <v>556</v>
      </c>
      <c r="H109" s="93" t="s">
        <v>551</v>
      </c>
      <c r="I109" s="93" t="s">
        <v>552</v>
      </c>
      <c r="J109" s="93" t="s">
        <v>558</v>
      </c>
      <c r="K109" s="93" t="s">
        <v>529</v>
      </c>
      <c r="L109" s="93" t="s">
        <v>542</v>
      </c>
      <c r="M109" s="93" t="s">
        <v>553</v>
      </c>
      <c r="N109" s="93" t="s">
        <v>532</v>
      </c>
      <c r="O109" s="93" t="s">
        <v>554</v>
      </c>
      <c r="P109" s="93" t="s">
        <v>534</v>
      </c>
      <c r="Q109" s="93" t="s">
        <v>544</v>
      </c>
      <c r="R109" s="93" t="s">
        <v>567</v>
      </c>
      <c r="S109" s="93" t="s">
        <v>546</v>
      </c>
      <c r="T109" s="93" t="s">
        <v>537</v>
      </c>
      <c r="U109" s="93" t="s">
        <v>548</v>
      </c>
      <c r="V109" s="93" t="s">
        <v>155</v>
      </c>
      <c r="W109" s="93" t="s">
        <v>549</v>
      </c>
      <c r="X109" s="104">
        <v>5</v>
      </c>
      <c r="Y109" s="104">
        <v>4</v>
      </c>
      <c r="Z109" s="104">
        <v>7</v>
      </c>
      <c r="AA109" s="104">
        <v>3</v>
      </c>
      <c r="AB109" s="104">
        <v>6</v>
      </c>
      <c r="AC109" s="104">
        <v>4</v>
      </c>
      <c r="AD109" s="104">
        <v>4</v>
      </c>
      <c r="AE109" s="104">
        <v>4</v>
      </c>
      <c r="AF109" s="104">
        <v>4</v>
      </c>
      <c r="AG109" s="104">
        <v>5</v>
      </c>
      <c r="AH109" s="104">
        <v>6</v>
      </c>
      <c r="AI109" s="104">
        <v>2</v>
      </c>
      <c r="AJ109" s="104">
        <v>3</v>
      </c>
      <c r="AK109" s="104">
        <v>6</v>
      </c>
      <c r="AL109" s="104">
        <v>6</v>
      </c>
      <c r="AM109" s="104">
        <v>4</v>
      </c>
      <c r="AN109" s="104">
        <v>5</v>
      </c>
      <c r="AO109" s="104">
        <v>3</v>
      </c>
      <c r="AP109" s="104">
        <v>2</v>
      </c>
      <c r="AQ109" s="104">
        <v>7</v>
      </c>
    </row>
    <row r="110" spans="1:43" x14ac:dyDescent="0.35">
      <c r="A110" s="52">
        <v>107</v>
      </c>
      <c r="B110" s="52" t="s">
        <v>674</v>
      </c>
      <c r="C110" s="93"/>
      <c r="D110" s="101" t="s">
        <v>539</v>
      </c>
      <c r="E110" s="101" t="s">
        <v>523</v>
      </c>
      <c r="F110" s="101" t="s">
        <v>524</v>
      </c>
      <c r="G110" s="101" t="s">
        <v>570</v>
      </c>
      <c r="H110" s="101" t="s">
        <v>526</v>
      </c>
      <c r="I110" s="101" t="s">
        <v>552</v>
      </c>
      <c r="J110" s="101" t="s">
        <v>140</v>
      </c>
      <c r="K110" s="101" t="s">
        <v>529</v>
      </c>
      <c r="L110" s="101" t="s">
        <v>542</v>
      </c>
      <c r="M110" s="101" t="s">
        <v>553</v>
      </c>
      <c r="N110" s="101" t="s">
        <v>532</v>
      </c>
      <c r="O110" s="101" t="s">
        <v>150</v>
      </c>
      <c r="P110" s="101" t="s">
        <v>145</v>
      </c>
      <c r="Q110" s="101" t="s">
        <v>544</v>
      </c>
      <c r="R110" s="101" t="s">
        <v>545</v>
      </c>
      <c r="S110" s="101" t="s">
        <v>536</v>
      </c>
      <c r="T110" s="101" t="s">
        <v>537</v>
      </c>
      <c r="U110" s="101" t="s">
        <v>538</v>
      </c>
      <c r="V110" s="101" t="s">
        <v>155</v>
      </c>
      <c r="W110" s="101" t="s">
        <v>549</v>
      </c>
      <c r="X110" s="104">
        <v>7</v>
      </c>
      <c r="Y110" s="104">
        <v>7</v>
      </c>
      <c r="Z110" s="104">
        <v>7</v>
      </c>
      <c r="AA110" s="104">
        <v>5</v>
      </c>
      <c r="AB110" s="104">
        <v>3</v>
      </c>
      <c r="AC110" s="104">
        <v>5</v>
      </c>
      <c r="AD110" s="104">
        <v>2</v>
      </c>
      <c r="AE110" s="104">
        <v>4</v>
      </c>
      <c r="AF110" s="104">
        <v>3</v>
      </c>
      <c r="AG110" s="104">
        <v>5</v>
      </c>
      <c r="AH110" s="104">
        <v>5</v>
      </c>
      <c r="AI110" s="104">
        <v>0</v>
      </c>
      <c r="AJ110" s="104">
        <v>2</v>
      </c>
      <c r="AK110" s="104">
        <v>6</v>
      </c>
      <c r="AL110" s="104">
        <v>4</v>
      </c>
      <c r="AM110" s="104">
        <v>6</v>
      </c>
      <c r="AN110" s="104">
        <v>5</v>
      </c>
      <c r="AO110" s="104">
        <v>4</v>
      </c>
      <c r="AP110" s="104">
        <v>3</v>
      </c>
      <c r="AQ110" s="104">
        <v>7</v>
      </c>
    </row>
    <row r="111" spans="1:43" x14ac:dyDescent="0.35">
      <c r="A111" s="52">
        <v>108</v>
      </c>
      <c r="B111" s="52" t="s">
        <v>1245</v>
      </c>
      <c r="C111" s="93"/>
      <c r="D111" s="93" t="s">
        <v>539</v>
      </c>
      <c r="E111" s="93" t="s">
        <v>523</v>
      </c>
      <c r="F111" s="93" t="s">
        <v>573</v>
      </c>
      <c r="G111" s="93" t="s">
        <v>525</v>
      </c>
      <c r="H111" s="93" t="s">
        <v>551</v>
      </c>
      <c r="I111" s="93" t="s">
        <v>552</v>
      </c>
      <c r="J111" s="93" t="s">
        <v>558</v>
      </c>
      <c r="K111" s="93" t="s">
        <v>529</v>
      </c>
      <c r="L111" s="93" t="s">
        <v>542</v>
      </c>
      <c r="M111" s="93" t="s">
        <v>531</v>
      </c>
      <c r="N111" s="93" t="s">
        <v>142</v>
      </c>
      <c r="O111" s="93" t="s">
        <v>554</v>
      </c>
      <c r="P111" s="93" t="s">
        <v>145</v>
      </c>
      <c r="Q111" s="93" t="s">
        <v>535</v>
      </c>
      <c r="R111" s="93" t="s">
        <v>545</v>
      </c>
      <c r="S111" s="93" t="s">
        <v>546</v>
      </c>
      <c r="T111" s="93" t="s">
        <v>537</v>
      </c>
      <c r="U111" s="93" t="s">
        <v>548</v>
      </c>
      <c r="V111" s="93" t="s">
        <v>155</v>
      </c>
      <c r="W111" s="93" t="s">
        <v>555</v>
      </c>
      <c r="X111" s="104">
        <v>7</v>
      </c>
      <c r="Y111" s="104">
        <v>7</v>
      </c>
      <c r="Z111" s="104">
        <v>8</v>
      </c>
      <c r="AA111" s="104">
        <v>7</v>
      </c>
      <c r="AB111" s="104">
        <v>6</v>
      </c>
      <c r="AC111" s="104">
        <v>5</v>
      </c>
      <c r="AD111" s="104">
        <v>4</v>
      </c>
      <c r="AE111" s="104">
        <v>6</v>
      </c>
      <c r="AF111" s="104">
        <v>3</v>
      </c>
      <c r="AG111" s="104">
        <v>7</v>
      </c>
      <c r="AH111" s="104">
        <v>2</v>
      </c>
      <c r="AI111" s="104">
        <v>2</v>
      </c>
      <c r="AJ111" s="104">
        <v>2</v>
      </c>
      <c r="AK111" s="104">
        <v>3</v>
      </c>
      <c r="AL111" s="104">
        <v>5</v>
      </c>
      <c r="AM111" s="104">
        <v>4</v>
      </c>
      <c r="AN111" s="104">
        <v>4</v>
      </c>
      <c r="AO111" s="104">
        <v>2</v>
      </c>
      <c r="AP111" s="104">
        <v>2</v>
      </c>
      <c r="AQ111" s="104">
        <v>4</v>
      </c>
    </row>
    <row r="112" spans="1:43" x14ac:dyDescent="0.35">
      <c r="A112" s="52">
        <v>109</v>
      </c>
      <c r="B112" s="52" t="s">
        <v>245</v>
      </c>
      <c r="C112" s="93"/>
      <c r="D112" s="101" t="s">
        <v>539</v>
      </c>
      <c r="E112" s="101" t="s">
        <v>523</v>
      </c>
      <c r="F112" s="101" t="s">
        <v>524</v>
      </c>
      <c r="G112" s="101" t="s">
        <v>559</v>
      </c>
      <c r="H112" s="101" t="s">
        <v>561</v>
      </c>
      <c r="I112" s="101" t="s">
        <v>552</v>
      </c>
      <c r="J112" s="101" t="s">
        <v>140</v>
      </c>
      <c r="K112" s="101" t="s">
        <v>529</v>
      </c>
      <c r="L112" s="101" t="s">
        <v>542</v>
      </c>
      <c r="M112" s="101" t="s">
        <v>553</v>
      </c>
      <c r="N112" s="101" t="s">
        <v>532</v>
      </c>
      <c r="O112" s="101" t="s">
        <v>533</v>
      </c>
      <c r="P112" s="101" t="s">
        <v>543</v>
      </c>
      <c r="Q112" s="101" t="s">
        <v>535</v>
      </c>
      <c r="R112" s="101" t="s">
        <v>545</v>
      </c>
      <c r="S112" s="101" t="s">
        <v>546</v>
      </c>
      <c r="T112" s="101" t="s">
        <v>146</v>
      </c>
      <c r="U112" s="101" t="s">
        <v>548</v>
      </c>
      <c r="V112" s="101" t="s">
        <v>81</v>
      </c>
      <c r="W112" s="101" t="s">
        <v>555</v>
      </c>
      <c r="X112" s="104">
        <v>6</v>
      </c>
      <c r="Y112" s="104">
        <v>5</v>
      </c>
      <c r="Z112" s="104">
        <v>7</v>
      </c>
      <c r="AA112" s="104">
        <v>8</v>
      </c>
      <c r="AB112" s="104">
        <v>4</v>
      </c>
      <c r="AC112" s="104">
        <v>5</v>
      </c>
      <c r="AD112" s="104">
        <v>2</v>
      </c>
      <c r="AE112" s="104">
        <v>4</v>
      </c>
      <c r="AF112" s="104">
        <v>3</v>
      </c>
      <c r="AG112" s="104">
        <v>4</v>
      </c>
      <c r="AH112" s="104">
        <v>6</v>
      </c>
      <c r="AI112" s="104">
        <v>5</v>
      </c>
      <c r="AJ112" s="104">
        <v>6</v>
      </c>
      <c r="AK112" s="104">
        <v>3</v>
      </c>
      <c r="AL112" s="104">
        <v>5</v>
      </c>
      <c r="AM112" s="104">
        <v>5</v>
      </c>
      <c r="AN112" s="104">
        <v>1</v>
      </c>
      <c r="AO112" s="104">
        <v>3</v>
      </c>
      <c r="AP112" s="104">
        <v>4</v>
      </c>
      <c r="AQ112" s="104">
        <v>4</v>
      </c>
    </row>
    <row r="113" spans="1:43" x14ac:dyDescent="0.35">
      <c r="A113" s="52">
        <v>110</v>
      </c>
      <c r="B113" s="52" t="s">
        <v>1444</v>
      </c>
      <c r="C113" s="93"/>
      <c r="D113" s="93" t="s">
        <v>578</v>
      </c>
      <c r="E113" s="93" t="s">
        <v>540</v>
      </c>
      <c r="F113" s="93" t="s">
        <v>148</v>
      </c>
      <c r="G113" s="93" t="s">
        <v>556</v>
      </c>
      <c r="H113" s="93" t="s">
        <v>526</v>
      </c>
      <c r="I113" s="93" t="s">
        <v>552</v>
      </c>
      <c r="J113" s="93" t="s">
        <v>140</v>
      </c>
      <c r="K113" s="93" t="s">
        <v>529</v>
      </c>
      <c r="L113" s="93" t="s">
        <v>530</v>
      </c>
      <c r="M113" s="93" t="s">
        <v>553</v>
      </c>
      <c r="N113" s="93" t="s">
        <v>532</v>
      </c>
      <c r="O113" s="93" t="s">
        <v>571</v>
      </c>
      <c r="P113" s="93" t="s">
        <v>543</v>
      </c>
      <c r="Q113" s="93" t="s">
        <v>544</v>
      </c>
      <c r="R113" s="93" t="s">
        <v>143</v>
      </c>
      <c r="S113" s="93" t="s">
        <v>536</v>
      </c>
      <c r="T113" s="93" t="s">
        <v>557</v>
      </c>
      <c r="U113" s="93" t="s">
        <v>538</v>
      </c>
      <c r="V113" s="93" t="s">
        <v>155</v>
      </c>
      <c r="W113" s="93" t="s">
        <v>555</v>
      </c>
      <c r="X113" s="104">
        <v>8</v>
      </c>
      <c r="Y113" s="104">
        <v>4</v>
      </c>
      <c r="Z113" s="104">
        <v>4</v>
      </c>
      <c r="AA113" s="104">
        <v>2</v>
      </c>
      <c r="AB113" s="104">
        <v>3</v>
      </c>
      <c r="AC113" s="104">
        <v>4</v>
      </c>
      <c r="AD113" s="104">
        <v>2</v>
      </c>
      <c r="AE113" s="104">
        <v>4</v>
      </c>
      <c r="AF113" s="104">
        <v>6</v>
      </c>
      <c r="AG113" s="104">
        <v>3</v>
      </c>
      <c r="AH113" s="104">
        <v>6</v>
      </c>
      <c r="AI113" s="104">
        <v>4</v>
      </c>
      <c r="AJ113" s="104">
        <v>6</v>
      </c>
      <c r="AK113" s="104">
        <v>6</v>
      </c>
      <c r="AL113" s="104">
        <v>3</v>
      </c>
      <c r="AM113" s="104">
        <v>6</v>
      </c>
      <c r="AN113" s="104">
        <v>8</v>
      </c>
      <c r="AO113" s="104">
        <v>4</v>
      </c>
      <c r="AP113" s="104">
        <v>2</v>
      </c>
      <c r="AQ113" s="104">
        <v>5</v>
      </c>
    </row>
    <row r="114" spans="1:43" x14ac:dyDescent="0.35">
      <c r="A114" s="52">
        <v>111</v>
      </c>
      <c r="B114" s="52" t="s">
        <v>936</v>
      </c>
      <c r="C114" s="93"/>
      <c r="D114" s="93" t="s">
        <v>539</v>
      </c>
      <c r="E114" s="93" t="s">
        <v>523</v>
      </c>
      <c r="F114" s="93" t="s">
        <v>524</v>
      </c>
      <c r="G114" s="93" t="s">
        <v>556</v>
      </c>
      <c r="H114" s="93" t="s">
        <v>561</v>
      </c>
      <c r="I114" s="93" t="s">
        <v>552</v>
      </c>
      <c r="J114" s="93" t="s">
        <v>140</v>
      </c>
      <c r="K114" s="93" t="s">
        <v>529</v>
      </c>
      <c r="L114" s="93" t="s">
        <v>152</v>
      </c>
      <c r="M114" s="93" t="s">
        <v>553</v>
      </c>
      <c r="N114" s="93" t="s">
        <v>532</v>
      </c>
      <c r="O114" s="93" t="s">
        <v>554</v>
      </c>
      <c r="P114" s="93" t="s">
        <v>543</v>
      </c>
      <c r="Q114" s="93" t="s">
        <v>544</v>
      </c>
      <c r="R114" s="93" t="s">
        <v>545</v>
      </c>
      <c r="S114" s="93" t="s">
        <v>536</v>
      </c>
      <c r="T114" s="93" t="s">
        <v>537</v>
      </c>
      <c r="U114" s="93" t="s">
        <v>538</v>
      </c>
      <c r="V114" s="93" t="s">
        <v>155</v>
      </c>
      <c r="W114" s="93" t="s">
        <v>549</v>
      </c>
      <c r="X114" s="104">
        <v>7</v>
      </c>
      <c r="Y114" s="104">
        <v>6</v>
      </c>
      <c r="Z114" s="104">
        <v>5</v>
      </c>
      <c r="AA114" s="104">
        <v>3</v>
      </c>
      <c r="AB114" s="104">
        <v>4</v>
      </c>
      <c r="AC114" s="104">
        <v>5</v>
      </c>
      <c r="AD114" s="104">
        <v>1</v>
      </c>
      <c r="AE114" s="104">
        <v>5</v>
      </c>
      <c r="AF114" s="104">
        <v>2</v>
      </c>
      <c r="AG114" s="104">
        <v>5</v>
      </c>
      <c r="AH114" s="104">
        <v>5</v>
      </c>
      <c r="AI114" s="104">
        <v>3</v>
      </c>
      <c r="AJ114" s="104">
        <v>6</v>
      </c>
      <c r="AK114" s="104">
        <v>4</v>
      </c>
      <c r="AL114" s="104">
        <v>5</v>
      </c>
      <c r="AM114" s="104">
        <v>6</v>
      </c>
      <c r="AN114" s="104">
        <v>5</v>
      </c>
      <c r="AO114" s="104">
        <v>5</v>
      </c>
      <c r="AP114" s="104">
        <v>2</v>
      </c>
      <c r="AQ114" s="104">
        <v>6</v>
      </c>
    </row>
    <row r="115" spans="1:43" x14ac:dyDescent="0.35">
      <c r="A115" s="52">
        <v>112</v>
      </c>
      <c r="B115" s="52" t="s">
        <v>691</v>
      </c>
      <c r="C115" s="93"/>
      <c r="D115" s="101" t="s">
        <v>539</v>
      </c>
      <c r="E115" s="101" t="s">
        <v>523</v>
      </c>
      <c r="F115" s="101" t="s">
        <v>573</v>
      </c>
      <c r="G115" s="101" t="s">
        <v>570</v>
      </c>
      <c r="H115" s="101" t="s">
        <v>566</v>
      </c>
      <c r="I115" s="101" t="s">
        <v>552</v>
      </c>
      <c r="J115" s="101" t="s">
        <v>140</v>
      </c>
      <c r="K115" s="101" t="s">
        <v>529</v>
      </c>
      <c r="L115" s="101" t="s">
        <v>542</v>
      </c>
      <c r="M115" s="101" t="s">
        <v>151</v>
      </c>
      <c r="N115" s="101" t="s">
        <v>562</v>
      </c>
      <c r="O115" s="101" t="s">
        <v>571</v>
      </c>
      <c r="P115" s="101" t="s">
        <v>534</v>
      </c>
      <c r="Q115" s="101" t="s">
        <v>544</v>
      </c>
      <c r="R115" s="101" t="s">
        <v>545</v>
      </c>
      <c r="S115" s="101" t="s">
        <v>546</v>
      </c>
      <c r="T115" s="101" t="s">
        <v>547</v>
      </c>
      <c r="U115" s="101" t="s">
        <v>548</v>
      </c>
      <c r="V115" s="101" t="s">
        <v>155</v>
      </c>
      <c r="W115" s="101" t="s">
        <v>555</v>
      </c>
      <c r="X115" s="104">
        <v>6</v>
      </c>
      <c r="Y115" s="104">
        <v>6</v>
      </c>
      <c r="Z115" s="104">
        <v>8</v>
      </c>
      <c r="AA115" s="104">
        <v>5</v>
      </c>
      <c r="AB115" s="104">
        <v>5</v>
      </c>
      <c r="AC115" s="104">
        <v>5</v>
      </c>
      <c r="AD115" s="104">
        <v>3</v>
      </c>
      <c r="AE115" s="104">
        <v>6</v>
      </c>
      <c r="AF115" s="104">
        <v>5</v>
      </c>
      <c r="AG115" s="104">
        <v>2</v>
      </c>
      <c r="AH115" s="104">
        <v>3</v>
      </c>
      <c r="AI115" s="104">
        <v>4</v>
      </c>
      <c r="AJ115" s="104">
        <v>4</v>
      </c>
      <c r="AK115" s="104">
        <v>5</v>
      </c>
      <c r="AL115" s="104">
        <v>5</v>
      </c>
      <c r="AM115" s="104">
        <v>5</v>
      </c>
      <c r="AN115" s="104">
        <v>3</v>
      </c>
      <c r="AO115" s="104">
        <v>3</v>
      </c>
      <c r="AP115" s="104">
        <v>3</v>
      </c>
      <c r="AQ115" s="104">
        <v>4</v>
      </c>
    </row>
    <row r="116" spans="1:43" x14ac:dyDescent="0.35">
      <c r="A116" s="52">
        <v>113</v>
      </c>
      <c r="B116" s="52" t="s">
        <v>684</v>
      </c>
      <c r="C116" s="93"/>
      <c r="D116" s="101" t="s">
        <v>539</v>
      </c>
      <c r="E116" s="101" t="s">
        <v>523</v>
      </c>
      <c r="F116" s="101" t="s">
        <v>148</v>
      </c>
      <c r="G116" s="101" t="s">
        <v>556</v>
      </c>
      <c r="H116" s="101" t="s">
        <v>566</v>
      </c>
      <c r="I116" s="101" t="s">
        <v>541</v>
      </c>
      <c r="J116" s="101" t="s">
        <v>558</v>
      </c>
      <c r="K116" s="101" t="s">
        <v>529</v>
      </c>
      <c r="L116" s="101" t="s">
        <v>542</v>
      </c>
      <c r="M116" s="101" t="s">
        <v>151</v>
      </c>
      <c r="N116" s="101" t="s">
        <v>532</v>
      </c>
      <c r="O116" s="101" t="s">
        <v>554</v>
      </c>
      <c r="P116" s="101" t="s">
        <v>534</v>
      </c>
      <c r="Q116" s="101" t="s">
        <v>544</v>
      </c>
      <c r="R116" s="101" t="s">
        <v>545</v>
      </c>
      <c r="S116" s="101" t="s">
        <v>536</v>
      </c>
      <c r="T116" s="101" t="s">
        <v>547</v>
      </c>
      <c r="U116" s="101" t="s">
        <v>576</v>
      </c>
      <c r="V116" s="101" t="s">
        <v>155</v>
      </c>
      <c r="W116" s="101" t="s">
        <v>549</v>
      </c>
      <c r="X116" s="104">
        <v>7</v>
      </c>
      <c r="Y116" s="104">
        <v>6</v>
      </c>
      <c r="Z116" s="104">
        <v>4</v>
      </c>
      <c r="AA116" s="104">
        <v>3</v>
      </c>
      <c r="AB116" s="104">
        <v>5</v>
      </c>
      <c r="AC116" s="104">
        <v>7</v>
      </c>
      <c r="AD116" s="104">
        <v>5</v>
      </c>
      <c r="AE116" s="104">
        <v>4</v>
      </c>
      <c r="AF116" s="104">
        <v>3</v>
      </c>
      <c r="AG116" s="104">
        <v>2</v>
      </c>
      <c r="AH116" s="104">
        <v>5</v>
      </c>
      <c r="AI116" s="104">
        <v>2</v>
      </c>
      <c r="AJ116" s="104">
        <v>4</v>
      </c>
      <c r="AK116" s="104">
        <v>4</v>
      </c>
      <c r="AL116" s="104">
        <v>4</v>
      </c>
      <c r="AM116" s="104">
        <v>7</v>
      </c>
      <c r="AN116" s="104">
        <v>3</v>
      </c>
      <c r="AO116" s="104">
        <v>6</v>
      </c>
      <c r="AP116" s="104">
        <v>3</v>
      </c>
      <c r="AQ116" s="104">
        <v>6</v>
      </c>
    </row>
    <row r="117" spans="1:43" x14ac:dyDescent="0.35">
      <c r="A117" s="52">
        <v>114</v>
      </c>
      <c r="B117" s="52" t="s">
        <v>1186</v>
      </c>
      <c r="C117" s="93"/>
      <c r="D117" s="93" t="s">
        <v>522</v>
      </c>
      <c r="E117" s="93" t="s">
        <v>523</v>
      </c>
      <c r="F117" s="93" t="s">
        <v>148</v>
      </c>
      <c r="G117" s="93" t="s">
        <v>138</v>
      </c>
      <c r="H117" s="93" t="s">
        <v>526</v>
      </c>
      <c r="I117" s="93" t="s">
        <v>527</v>
      </c>
      <c r="J117" s="93" t="s">
        <v>558</v>
      </c>
      <c r="K117" s="93" t="s">
        <v>529</v>
      </c>
      <c r="L117" s="93" t="s">
        <v>530</v>
      </c>
      <c r="M117" s="93" t="s">
        <v>531</v>
      </c>
      <c r="N117" s="93" t="s">
        <v>532</v>
      </c>
      <c r="O117" s="93" t="s">
        <v>571</v>
      </c>
      <c r="P117" s="93" t="s">
        <v>563</v>
      </c>
      <c r="Q117" s="93" t="s">
        <v>544</v>
      </c>
      <c r="R117" s="93" t="s">
        <v>143</v>
      </c>
      <c r="S117" s="93" t="s">
        <v>536</v>
      </c>
      <c r="T117" s="93" t="s">
        <v>537</v>
      </c>
      <c r="U117" s="93" t="s">
        <v>538</v>
      </c>
      <c r="V117" s="93" t="s">
        <v>155</v>
      </c>
      <c r="W117" s="93" t="s">
        <v>555</v>
      </c>
      <c r="X117" s="104">
        <v>5</v>
      </c>
      <c r="Y117" s="104">
        <v>6</v>
      </c>
      <c r="Z117" s="104">
        <v>3</v>
      </c>
      <c r="AA117" s="104">
        <v>1</v>
      </c>
      <c r="AB117" s="104">
        <v>2</v>
      </c>
      <c r="AC117" s="104">
        <v>3</v>
      </c>
      <c r="AD117" s="104">
        <v>4</v>
      </c>
      <c r="AE117" s="104">
        <v>5</v>
      </c>
      <c r="AF117" s="104">
        <v>7</v>
      </c>
      <c r="AG117" s="104">
        <v>6</v>
      </c>
      <c r="AH117" s="104">
        <v>7</v>
      </c>
      <c r="AI117" s="104">
        <v>4</v>
      </c>
      <c r="AJ117" s="104">
        <v>7</v>
      </c>
      <c r="AK117" s="104">
        <v>4</v>
      </c>
      <c r="AL117" s="104">
        <v>3</v>
      </c>
      <c r="AM117" s="104">
        <v>6</v>
      </c>
      <c r="AN117" s="104">
        <v>5</v>
      </c>
      <c r="AO117" s="104">
        <v>4</v>
      </c>
      <c r="AP117" s="104">
        <v>3</v>
      </c>
      <c r="AQ117" s="104">
        <v>5</v>
      </c>
    </row>
    <row r="118" spans="1:43" x14ac:dyDescent="0.35">
      <c r="A118" s="52">
        <v>115</v>
      </c>
      <c r="B118" s="52" t="s">
        <v>1190</v>
      </c>
      <c r="C118" s="93"/>
      <c r="D118" s="93" t="s">
        <v>539</v>
      </c>
      <c r="E118" s="93" t="s">
        <v>523</v>
      </c>
      <c r="F118" s="93" t="s">
        <v>148</v>
      </c>
      <c r="G118" s="93" t="s">
        <v>556</v>
      </c>
      <c r="H118" s="93" t="s">
        <v>551</v>
      </c>
      <c r="I118" s="93" t="s">
        <v>541</v>
      </c>
      <c r="J118" s="93" t="s">
        <v>558</v>
      </c>
      <c r="K118" s="93" t="s">
        <v>529</v>
      </c>
      <c r="L118" s="93" t="s">
        <v>152</v>
      </c>
      <c r="M118" s="93" t="s">
        <v>531</v>
      </c>
      <c r="N118" s="93" t="s">
        <v>532</v>
      </c>
      <c r="O118" s="93" t="s">
        <v>554</v>
      </c>
      <c r="P118" s="93" t="s">
        <v>543</v>
      </c>
      <c r="Q118" s="93" t="s">
        <v>564</v>
      </c>
      <c r="R118" s="93" t="s">
        <v>545</v>
      </c>
      <c r="S118" s="93" t="s">
        <v>536</v>
      </c>
      <c r="T118" s="93" t="s">
        <v>146</v>
      </c>
      <c r="U118" s="93" t="s">
        <v>538</v>
      </c>
      <c r="V118" s="93" t="s">
        <v>155</v>
      </c>
      <c r="W118" s="93" t="s">
        <v>555</v>
      </c>
      <c r="X118" s="104">
        <v>7</v>
      </c>
      <c r="Y118" s="104">
        <v>5</v>
      </c>
      <c r="Z118" s="104">
        <v>4</v>
      </c>
      <c r="AA118" s="104">
        <v>2</v>
      </c>
      <c r="AB118" s="104">
        <v>6</v>
      </c>
      <c r="AC118" s="104">
        <v>6</v>
      </c>
      <c r="AD118" s="104">
        <v>5</v>
      </c>
      <c r="AE118" s="104">
        <v>4</v>
      </c>
      <c r="AF118" s="104">
        <v>2</v>
      </c>
      <c r="AG118" s="104">
        <v>6</v>
      </c>
      <c r="AH118" s="104">
        <v>5</v>
      </c>
      <c r="AI118" s="104">
        <v>3</v>
      </c>
      <c r="AJ118" s="104">
        <v>6</v>
      </c>
      <c r="AK118" s="104">
        <v>7</v>
      </c>
      <c r="AL118" s="104">
        <v>4</v>
      </c>
      <c r="AM118" s="104">
        <v>7</v>
      </c>
      <c r="AN118" s="104">
        <v>1</v>
      </c>
      <c r="AO118" s="104">
        <v>5</v>
      </c>
      <c r="AP118" s="104">
        <v>1</v>
      </c>
      <c r="AQ118" s="104">
        <v>4</v>
      </c>
    </row>
    <row r="119" spans="1:43" x14ac:dyDescent="0.35">
      <c r="A119" s="52">
        <v>116</v>
      </c>
      <c r="B119" s="52" t="s">
        <v>372</v>
      </c>
      <c r="C119" s="93"/>
      <c r="D119" s="101" t="s">
        <v>522</v>
      </c>
      <c r="E119" s="101" t="s">
        <v>523</v>
      </c>
      <c r="F119" s="101" t="s">
        <v>573</v>
      </c>
      <c r="G119" s="101" t="s">
        <v>525</v>
      </c>
      <c r="H119" s="101" t="s">
        <v>551</v>
      </c>
      <c r="I119" s="101" t="s">
        <v>527</v>
      </c>
      <c r="J119" s="101" t="s">
        <v>140</v>
      </c>
      <c r="K119" s="101" t="s">
        <v>529</v>
      </c>
      <c r="L119" s="101" t="s">
        <v>152</v>
      </c>
      <c r="M119" s="101" t="s">
        <v>553</v>
      </c>
      <c r="N119" s="101" t="s">
        <v>532</v>
      </c>
      <c r="O119" s="101" t="s">
        <v>533</v>
      </c>
      <c r="P119" s="101" t="s">
        <v>534</v>
      </c>
      <c r="Q119" s="101" t="s">
        <v>544</v>
      </c>
      <c r="R119" s="101" t="s">
        <v>567</v>
      </c>
      <c r="S119" s="101" t="s">
        <v>546</v>
      </c>
      <c r="T119" s="101" t="s">
        <v>537</v>
      </c>
      <c r="U119" s="101" t="s">
        <v>548</v>
      </c>
      <c r="V119" s="101" t="s">
        <v>155</v>
      </c>
      <c r="W119" s="101" t="s">
        <v>555</v>
      </c>
      <c r="X119" s="104">
        <v>5</v>
      </c>
      <c r="Y119" s="104">
        <v>7</v>
      </c>
      <c r="Z119" s="104">
        <v>8</v>
      </c>
      <c r="AA119" s="104">
        <v>7</v>
      </c>
      <c r="AB119" s="104">
        <v>6</v>
      </c>
      <c r="AC119" s="104">
        <v>2</v>
      </c>
      <c r="AD119" s="104">
        <v>2</v>
      </c>
      <c r="AE119" s="104">
        <v>4</v>
      </c>
      <c r="AF119" s="104">
        <v>2</v>
      </c>
      <c r="AG119" s="104">
        <v>4</v>
      </c>
      <c r="AH119" s="104">
        <v>6</v>
      </c>
      <c r="AI119" s="104">
        <v>5</v>
      </c>
      <c r="AJ119" s="104">
        <v>3</v>
      </c>
      <c r="AK119" s="104">
        <v>4</v>
      </c>
      <c r="AL119" s="104">
        <v>6</v>
      </c>
      <c r="AM119" s="104">
        <v>5</v>
      </c>
      <c r="AN119" s="104">
        <v>4</v>
      </c>
      <c r="AO119" s="104">
        <v>2</v>
      </c>
      <c r="AP119" s="104">
        <v>3</v>
      </c>
      <c r="AQ119" s="104">
        <v>5</v>
      </c>
    </row>
    <row r="120" spans="1:43" x14ac:dyDescent="0.35">
      <c r="A120" s="52">
        <v>117</v>
      </c>
      <c r="B120" s="52" t="s">
        <v>240</v>
      </c>
      <c r="C120" s="93"/>
      <c r="D120" s="101" t="s">
        <v>522</v>
      </c>
      <c r="E120" s="101" t="s">
        <v>523</v>
      </c>
      <c r="F120" s="101" t="s">
        <v>524</v>
      </c>
      <c r="G120" s="101" t="s">
        <v>525</v>
      </c>
      <c r="H120" s="101" t="s">
        <v>526</v>
      </c>
      <c r="I120" s="101" t="s">
        <v>527</v>
      </c>
      <c r="J120" s="101" t="s">
        <v>528</v>
      </c>
      <c r="K120" s="101" t="s">
        <v>529</v>
      </c>
      <c r="L120" s="101" t="s">
        <v>530</v>
      </c>
      <c r="M120" s="101" t="s">
        <v>531</v>
      </c>
      <c r="N120" s="101" t="s">
        <v>532</v>
      </c>
      <c r="O120" s="101" t="s">
        <v>533</v>
      </c>
      <c r="P120" s="101" t="s">
        <v>534</v>
      </c>
      <c r="Q120" s="101" t="s">
        <v>535</v>
      </c>
      <c r="R120" s="101" t="s">
        <v>143</v>
      </c>
      <c r="S120" s="101" t="s">
        <v>536</v>
      </c>
      <c r="T120" s="101" t="s">
        <v>537</v>
      </c>
      <c r="U120" s="101" t="s">
        <v>538</v>
      </c>
      <c r="V120" s="101" t="s">
        <v>155</v>
      </c>
      <c r="W120" s="101" t="s">
        <v>156</v>
      </c>
      <c r="X120" s="105">
        <v>4</v>
      </c>
      <c r="Y120" s="105">
        <v>6</v>
      </c>
      <c r="Z120" s="105">
        <v>6</v>
      </c>
      <c r="AA120" s="105">
        <v>6</v>
      </c>
      <c r="AB120" s="105">
        <v>3</v>
      </c>
      <c r="AC120" s="105">
        <v>3</v>
      </c>
      <c r="AD120" s="105">
        <v>8</v>
      </c>
      <c r="AE120" s="105">
        <v>4</v>
      </c>
      <c r="AF120" s="105">
        <v>6</v>
      </c>
      <c r="AG120" s="105">
        <v>8</v>
      </c>
      <c r="AH120" s="105">
        <v>6</v>
      </c>
      <c r="AI120" s="105">
        <v>5</v>
      </c>
      <c r="AJ120" s="105">
        <v>3</v>
      </c>
      <c r="AK120" s="105">
        <v>2</v>
      </c>
      <c r="AL120" s="105">
        <v>2</v>
      </c>
      <c r="AM120" s="105">
        <v>7</v>
      </c>
      <c r="AN120" s="105">
        <v>5</v>
      </c>
      <c r="AO120" s="105">
        <v>4</v>
      </c>
      <c r="AP120" s="105">
        <v>1</v>
      </c>
      <c r="AQ120" s="105">
        <v>1</v>
      </c>
    </row>
    <row r="121" spans="1:43" x14ac:dyDescent="0.35">
      <c r="A121" s="52">
        <v>118</v>
      </c>
      <c r="B121" s="52" t="s">
        <v>670</v>
      </c>
      <c r="C121" s="93"/>
      <c r="D121" s="101" t="s">
        <v>522</v>
      </c>
      <c r="E121" s="101" t="s">
        <v>569</v>
      </c>
      <c r="F121" s="101" t="s">
        <v>524</v>
      </c>
      <c r="G121" s="101" t="s">
        <v>570</v>
      </c>
      <c r="H121" s="101" t="s">
        <v>560</v>
      </c>
      <c r="I121" s="101" t="s">
        <v>527</v>
      </c>
      <c r="J121" s="101" t="s">
        <v>140</v>
      </c>
      <c r="K121" s="101" t="s">
        <v>529</v>
      </c>
      <c r="L121" s="101" t="s">
        <v>152</v>
      </c>
      <c r="M121" s="101" t="s">
        <v>531</v>
      </c>
      <c r="N121" s="101" t="s">
        <v>532</v>
      </c>
      <c r="O121" s="101" t="s">
        <v>533</v>
      </c>
      <c r="P121" s="101" t="s">
        <v>534</v>
      </c>
      <c r="Q121" s="101" t="s">
        <v>535</v>
      </c>
      <c r="R121" s="101" t="s">
        <v>545</v>
      </c>
      <c r="S121" s="101" t="s">
        <v>565</v>
      </c>
      <c r="T121" s="101" t="s">
        <v>537</v>
      </c>
      <c r="U121" s="101" t="s">
        <v>538</v>
      </c>
      <c r="V121" s="101" t="s">
        <v>155</v>
      </c>
      <c r="W121" s="101" t="s">
        <v>555</v>
      </c>
      <c r="X121" s="104">
        <v>5</v>
      </c>
      <c r="Y121" s="104">
        <v>9</v>
      </c>
      <c r="Z121" s="104">
        <v>5</v>
      </c>
      <c r="AA121" s="104">
        <v>5</v>
      </c>
      <c r="AB121" s="104">
        <v>8</v>
      </c>
      <c r="AC121" s="104">
        <v>2</v>
      </c>
      <c r="AD121" s="104">
        <v>2</v>
      </c>
      <c r="AE121" s="104">
        <v>5</v>
      </c>
      <c r="AF121" s="104">
        <v>2</v>
      </c>
      <c r="AG121" s="104">
        <v>7</v>
      </c>
      <c r="AH121" s="104">
        <v>6</v>
      </c>
      <c r="AI121" s="104">
        <v>5</v>
      </c>
      <c r="AJ121" s="104">
        <v>4</v>
      </c>
      <c r="AK121" s="104">
        <v>2</v>
      </c>
      <c r="AL121" s="104">
        <v>4</v>
      </c>
      <c r="AM121" s="104">
        <v>3</v>
      </c>
      <c r="AN121" s="104">
        <v>6</v>
      </c>
      <c r="AO121" s="104">
        <v>5</v>
      </c>
      <c r="AP121" s="104">
        <v>1</v>
      </c>
      <c r="AQ121" s="104">
        <v>4</v>
      </c>
    </row>
    <row r="122" spans="1:43" x14ac:dyDescent="0.35">
      <c r="A122" s="52">
        <v>119</v>
      </c>
      <c r="B122" s="52" t="s">
        <v>320</v>
      </c>
      <c r="C122" s="93"/>
      <c r="D122" s="101" t="s">
        <v>522</v>
      </c>
      <c r="E122" s="101" t="s">
        <v>569</v>
      </c>
      <c r="F122" s="101" t="s">
        <v>524</v>
      </c>
      <c r="G122" s="101" t="s">
        <v>556</v>
      </c>
      <c r="H122" s="101" t="s">
        <v>526</v>
      </c>
      <c r="I122" s="101" t="s">
        <v>541</v>
      </c>
      <c r="J122" s="101" t="s">
        <v>140</v>
      </c>
      <c r="K122" s="101" t="s">
        <v>529</v>
      </c>
      <c r="L122" s="101" t="s">
        <v>542</v>
      </c>
      <c r="M122" s="101" t="s">
        <v>531</v>
      </c>
      <c r="N122" s="101" t="s">
        <v>532</v>
      </c>
      <c r="O122" s="101" t="s">
        <v>554</v>
      </c>
      <c r="P122" s="101" t="s">
        <v>534</v>
      </c>
      <c r="Q122" s="101" t="s">
        <v>535</v>
      </c>
      <c r="R122" s="101" t="s">
        <v>545</v>
      </c>
      <c r="S122" s="101" t="s">
        <v>536</v>
      </c>
      <c r="T122" s="101" t="s">
        <v>537</v>
      </c>
      <c r="U122" s="101" t="s">
        <v>538</v>
      </c>
      <c r="V122" s="101" t="s">
        <v>155</v>
      </c>
      <c r="W122" s="101" t="s">
        <v>549</v>
      </c>
      <c r="X122" s="104">
        <v>3</v>
      </c>
      <c r="Y122" s="104">
        <v>8</v>
      </c>
      <c r="Z122" s="104">
        <v>6</v>
      </c>
      <c r="AA122" s="104">
        <v>3</v>
      </c>
      <c r="AB122" s="104">
        <v>3</v>
      </c>
      <c r="AC122" s="104">
        <v>7</v>
      </c>
      <c r="AD122" s="104">
        <v>2</v>
      </c>
      <c r="AE122" s="104">
        <v>4</v>
      </c>
      <c r="AF122" s="104">
        <v>5</v>
      </c>
      <c r="AG122" s="104">
        <v>7</v>
      </c>
      <c r="AH122" s="104">
        <v>6</v>
      </c>
      <c r="AI122" s="104">
        <v>2</v>
      </c>
      <c r="AJ122" s="104">
        <v>3</v>
      </c>
      <c r="AK122" s="104">
        <v>3</v>
      </c>
      <c r="AL122" s="104">
        <v>5</v>
      </c>
      <c r="AM122" s="104">
        <v>6</v>
      </c>
      <c r="AN122" s="104">
        <v>4</v>
      </c>
      <c r="AO122" s="104">
        <v>4</v>
      </c>
      <c r="AP122" s="104">
        <v>3</v>
      </c>
      <c r="AQ122" s="104">
        <v>6</v>
      </c>
    </row>
    <row r="123" spans="1:43" x14ac:dyDescent="0.35">
      <c r="A123" s="52">
        <v>120</v>
      </c>
      <c r="B123" s="52" t="s">
        <v>947</v>
      </c>
      <c r="C123" s="93"/>
      <c r="D123" s="93" t="s">
        <v>539</v>
      </c>
      <c r="E123" s="93" t="s">
        <v>523</v>
      </c>
      <c r="F123" s="93" t="s">
        <v>148</v>
      </c>
      <c r="G123" s="93" t="s">
        <v>138</v>
      </c>
      <c r="H123" s="93" t="s">
        <v>526</v>
      </c>
      <c r="I123" s="93" t="s">
        <v>552</v>
      </c>
      <c r="J123" s="93" t="s">
        <v>140</v>
      </c>
      <c r="K123" s="93" t="s">
        <v>529</v>
      </c>
      <c r="L123" s="93" t="s">
        <v>542</v>
      </c>
      <c r="M123" s="93" t="s">
        <v>531</v>
      </c>
      <c r="N123" s="93" t="s">
        <v>562</v>
      </c>
      <c r="O123" s="93" t="s">
        <v>554</v>
      </c>
      <c r="P123" s="93" t="s">
        <v>534</v>
      </c>
      <c r="Q123" s="93" t="s">
        <v>544</v>
      </c>
      <c r="R123" s="93" t="s">
        <v>567</v>
      </c>
      <c r="S123" s="93" t="s">
        <v>546</v>
      </c>
      <c r="T123" s="93" t="s">
        <v>537</v>
      </c>
      <c r="U123" s="93" t="s">
        <v>538</v>
      </c>
      <c r="V123" s="93" t="s">
        <v>155</v>
      </c>
      <c r="W123" s="93" t="s">
        <v>549</v>
      </c>
      <c r="X123" s="104">
        <v>6</v>
      </c>
      <c r="Y123" s="104">
        <v>6</v>
      </c>
      <c r="Z123" s="104">
        <v>3</v>
      </c>
      <c r="AA123" s="104">
        <v>1</v>
      </c>
      <c r="AB123" s="104">
        <v>3</v>
      </c>
      <c r="AC123" s="104">
        <v>5</v>
      </c>
      <c r="AD123" s="104">
        <v>3</v>
      </c>
      <c r="AE123" s="104">
        <v>4</v>
      </c>
      <c r="AF123" s="104">
        <v>5</v>
      </c>
      <c r="AG123" s="104">
        <v>7</v>
      </c>
      <c r="AH123" s="104">
        <v>3</v>
      </c>
      <c r="AI123" s="104">
        <v>2</v>
      </c>
      <c r="AJ123" s="104">
        <v>4</v>
      </c>
      <c r="AK123" s="104">
        <v>6</v>
      </c>
      <c r="AL123" s="104">
        <v>7</v>
      </c>
      <c r="AM123" s="104">
        <v>5</v>
      </c>
      <c r="AN123" s="104">
        <v>6</v>
      </c>
      <c r="AO123" s="104">
        <v>4</v>
      </c>
      <c r="AP123" s="104">
        <v>3</v>
      </c>
      <c r="AQ123" s="104">
        <v>7</v>
      </c>
    </row>
    <row r="124" spans="1:43" x14ac:dyDescent="0.35">
      <c r="A124" s="52">
        <v>121</v>
      </c>
      <c r="B124" s="52" t="s">
        <v>334</v>
      </c>
      <c r="C124" s="93"/>
      <c r="D124" s="101" t="s">
        <v>522</v>
      </c>
      <c r="E124" s="101" t="s">
        <v>523</v>
      </c>
      <c r="F124" s="101" t="s">
        <v>524</v>
      </c>
      <c r="G124" s="101" t="s">
        <v>556</v>
      </c>
      <c r="H124" s="101" t="s">
        <v>526</v>
      </c>
      <c r="I124" s="101" t="s">
        <v>552</v>
      </c>
      <c r="J124" s="101" t="s">
        <v>558</v>
      </c>
      <c r="K124" s="101" t="s">
        <v>529</v>
      </c>
      <c r="L124" s="101" t="s">
        <v>542</v>
      </c>
      <c r="M124" s="101" t="s">
        <v>531</v>
      </c>
      <c r="N124" s="101" t="s">
        <v>562</v>
      </c>
      <c r="O124" s="101" t="s">
        <v>533</v>
      </c>
      <c r="P124" s="101" t="s">
        <v>543</v>
      </c>
      <c r="Q124" s="101" t="s">
        <v>544</v>
      </c>
      <c r="R124" s="101" t="s">
        <v>567</v>
      </c>
      <c r="S124" s="101" t="s">
        <v>546</v>
      </c>
      <c r="T124" s="101" t="s">
        <v>547</v>
      </c>
      <c r="U124" s="101" t="s">
        <v>580</v>
      </c>
      <c r="V124" s="101" t="s">
        <v>155</v>
      </c>
      <c r="W124" s="101" t="s">
        <v>156</v>
      </c>
      <c r="X124" s="104">
        <v>5</v>
      </c>
      <c r="Y124" s="104">
        <v>6</v>
      </c>
      <c r="Z124" s="104">
        <v>6</v>
      </c>
      <c r="AA124" s="104">
        <v>2</v>
      </c>
      <c r="AB124" s="104">
        <v>2</v>
      </c>
      <c r="AC124" s="104">
        <v>4</v>
      </c>
      <c r="AD124" s="104">
        <v>5</v>
      </c>
      <c r="AE124" s="104">
        <v>5</v>
      </c>
      <c r="AF124" s="104">
        <v>4</v>
      </c>
      <c r="AG124" s="104">
        <v>6</v>
      </c>
      <c r="AH124" s="104">
        <v>4</v>
      </c>
      <c r="AI124" s="104">
        <v>5</v>
      </c>
      <c r="AJ124" s="104">
        <v>6</v>
      </c>
      <c r="AK124" s="104">
        <v>5</v>
      </c>
      <c r="AL124" s="104">
        <v>6</v>
      </c>
      <c r="AM124" s="104">
        <v>4</v>
      </c>
      <c r="AN124" s="104">
        <v>2</v>
      </c>
      <c r="AO124" s="104">
        <v>8</v>
      </c>
      <c r="AP124" s="104">
        <v>2</v>
      </c>
      <c r="AQ124" s="104">
        <v>3</v>
      </c>
    </row>
    <row r="125" spans="1:43" x14ac:dyDescent="0.35">
      <c r="A125" s="52">
        <v>122</v>
      </c>
      <c r="B125" s="52" t="s">
        <v>1223</v>
      </c>
      <c r="C125" s="93"/>
      <c r="D125" s="93" t="s">
        <v>522</v>
      </c>
      <c r="E125" s="93" t="s">
        <v>540</v>
      </c>
      <c r="F125" s="93" t="s">
        <v>524</v>
      </c>
      <c r="G125" s="93" t="s">
        <v>138</v>
      </c>
      <c r="H125" s="93" t="s">
        <v>566</v>
      </c>
      <c r="I125" s="93" t="s">
        <v>552</v>
      </c>
      <c r="J125" s="93" t="s">
        <v>558</v>
      </c>
      <c r="K125" s="93" t="s">
        <v>141</v>
      </c>
      <c r="L125" s="93" t="s">
        <v>542</v>
      </c>
      <c r="M125" s="93" t="s">
        <v>531</v>
      </c>
      <c r="N125" s="93" t="s">
        <v>562</v>
      </c>
      <c r="O125" s="93" t="s">
        <v>554</v>
      </c>
      <c r="P125" s="93" t="s">
        <v>543</v>
      </c>
      <c r="Q125" s="93" t="s">
        <v>544</v>
      </c>
      <c r="R125" s="93" t="s">
        <v>567</v>
      </c>
      <c r="S125" s="93" t="s">
        <v>546</v>
      </c>
      <c r="T125" s="93" t="s">
        <v>557</v>
      </c>
      <c r="U125" s="93" t="s">
        <v>538</v>
      </c>
      <c r="V125" s="93" t="s">
        <v>155</v>
      </c>
      <c r="W125" s="93" t="s">
        <v>549</v>
      </c>
      <c r="X125" s="104">
        <v>5</v>
      </c>
      <c r="Y125" s="104">
        <v>4</v>
      </c>
      <c r="Z125" s="104">
        <v>5</v>
      </c>
      <c r="AA125" s="104">
        <v>1</v>
      </c>
      <c r="AB125" s="104">
        <v>5</v>
      </c>
      <c r="AC125" s="104">
        <v>5</v>
      </c>
      <c r="AD125" s="104">
        <v>4</v>
      </c>
      <c r="AE125" s="104">
        <v>2</v>
      </c>
      <c r="AF125" s="104">
        <v>4</v>
      </c>
      <c r="AG125" s="104">
        <v>6</v>
      </c>
      <c r="AH125" s="104">
        <v>4</v>
      </c>
      <c r="AI125" s="104">
        <v>3</v>
      </c>
      <c r="AJ125" s="104">
        <v>6</v>
      </c>
      <c r="AK125" s="104">
        <v>5</v>
      </c>
      <c r="AL125" s="104">
        <v>7</v>
      </c>
      <c r="AM125" s="104">
        <v>4</v>
      </c>
      <c r="AN125" s="104">
        <v>7</v>
      </c>
      <c r="AO125" s="104">
        <v>4</v>
      </c>
      <c r="AP125" s="104">
        <v>2</v>
      </c>
      <c r="AQ125" s="104">
        <v>7</v>
      </c>
    </row>
    <row r="126" spans="1:43" x14ac:dyDescent="0.35">
      <c r="A126" s="52">
        <v>123</v>
      </c>
      <c r="B126" s="52" t="s">
        <v>375</v>
      </c>
      <c r="C126" s="93"/>
      <c r="D126" s="101" t="s">
        <v>578</v>
      </c>
      <c r="E126" s="101" t="s">
        <v>523</v>
      </c>
      <c r="F126" s="101" t="s">
        <v>148</v>
      </c>
      <c r="G126" s="101" t="s">
        <v>556</v>
      </c>
      <c r="H126" s="101" t="s">
        <v>561</v>
      </c>
      <c r="I126" s="101" t="s">
        <v>552</v>
      </c>
      <c r="J126" s="101" t="s">
        <v>558</v>
      </c>
      <c r="K126" s="101" t="s">
        <v>141</v>
      </c>
      <c r="L126" s="101" t="s">
        <v>542</v>
      </c>
      <c r="M126" s="101" t="s">
        <v>553</v>
      </c>
      <c r="N126" s="101" t="s">
        <v>532</v>
      </c>
      <c r="O126" s="101" t="s">
        <v>554</v>
      </c>
      <c r="P126" s="101" t="s">
        <v>543</v>
      </c>
      <c r="Q126" s="101" t="s">
        <v>564</v>
      </c>
      <c r="R126" s="101" t="s">
        <v>545</v>
      </c>
      <c r="S126" s="101" t="s">
        <v>568</v>
      </c>
      <c r="T126" s="101" t="s">
        <v>547</v>
      </c>
      <c r="U126" s="101" t="s">
        <v>538</v>
      </c>
      <c r="V126" s="101" t="s">
        <v>155</v>
      </c>
      <c r="W126" s="101" t="s">
        <v>156</v>
      </c>
      <c r="X126" s="104">
        <v>8</v>
      </c>
      <c r="Y126" s="104">
        <v>5</v>
      </c>
      <c r="Z126" s="104">
        <v>3</v>
      </c>
      <c r="AA126" s="104">
        <v>3</v>
      </c>
      <c r="AB126" s="104">
        <v>4</v>
      </c>
      <c r="AC126" s="104">
        <v>4</v>
      </c>
      <c r="AD126" s="104">
        <v>4</v>
      </c>
      <c r="AE126" s="104">
        <v>2</v>
      </c>
      <c r="AF126" s="104">
        <v>5</v>
      </c>
      <c r="AG126" s="104">
        <v>3</v>
      </c>
      <c r="AH126" s="104">
        <v>6</v>
      </c>
      <c r="AI126" s="104">
        <v>2</v>
      </c>
      <c r="AJ126" s="104">
        <v>6</v>
      </c>
      <c r="AK126" s="104">
        <v>7</v>
      </c>
      <c r="AL126" s="104">
        <v>5</v>
      </c>
      <c r="AM126" s="104">
        <v>9</v>
      </c>
      <c r="AN126" s="104">
        <v>3</v>
      </c>
      <c r="AO126" s="104">
        <v>5</v>
      </c>
      <c r="AP126" s="104">
        <v>3</v>
      </c>
      <c r="AQ126" s="104">
        <v>3</v>
      </c>
    </row>
    <row r="127" spans="1:43" x14ac:dyDescent="0.35">
      <c r="A127" s="52">
        <v>124</v>
      </c>
      <c r="B127" s="52" t="s">
        <v>677</v>
      </c>
      <c r="C127" s="93"/>
      <c r="D127" s="101" t="s">
        <v>539</v>
      </c>
      <c r="E127" s="101" t="s">
        <v>523</v>
      </c>
      <c r="F127" s="101" t="s">
        <v>524</v>
      </c>
      <c r="G127" s="101" t="s">
        <v>138</v>
      </c>
      <c r="H127" s="101" t="s">
        <v>526</v>
      </c>
      <c r="I127" s="101" t="s">
        <v>552</v>
      </c>
      <c r="J127" s="101" t="s">
        <v>140</v>
      </c>
      <c r="K127" s="101" t="s">
        <v>529</v>
      </c>
      <c r="L127" s="101" t="s">
        <v>542</v>
      </c>
      <c r="M127" s="101" t="s">
        <v>151</v>
      </c>
      <c r="N127" s="101" t="s">
        <v>142</v>
      </c>
      <c r="O127" s="101" t="s">
        <v>554</v>
      </c>
      <c r="P127" s="101" t="s">
        <v>543</v>
      </c>
      <c r="Q127" s="101" t="s">
        <v>544</v>
      </c>
      <c r="R127" s="101" t="s">
        <v>577</v>
      </c>
      <c r="S127" s="101" t="s">
        <v>536</v>
      </c>
      <c r="T127" s="101" t="s">
        <v>537</v>
      </c>
      <c r="U127" s="101" t="s">
        <v>538</v>
      </c>
      <c r="V127" s="101" t="s">
        <v>155</v>
      </c>
      <c r="W127" s="101" t="s">
        <v>549</v>
      </c>
      <c r="X127" s="104">
        <v>7</v>
      </c>
      <c r="Y127" s="104">
        <v>7</v>
      </c>
      <c r="Z127" s="104">
        <v>6</v>
      </c>
      <c r="AA127" s="104">
        <v>1</v>
      </c>
      <c r="AB127" s="104">
        <v>3</v>
      </c>
      <c r="AC127" s="104">
        <v>4</v>
      </c>
      <c r="AD127" s="104">
        <v>2</v>
      </c>
      <c r="AE127" s="104">
        <v>6</v>
      </c>
      <c r="AF127" s="104">
        <v>5</v>
      </c>
      <c r="AG127" s="104">
        <v>1</v>
      </c>
      <c r="AH127" s="104">
        <v>1</v>
      </c>
      <c r="AI127" s="104">
        <v>3</v>
      </c>
      <c r="AJ127" s="104">
        <v>5</v>
      </c>
      <c r="AK127" s="104">
        <v>5</v>
      </c>
      <c r="AL127" s="104">
        <v>8</v>
      </c>
      <c r="AM127" s="104">
        <v>6</v>
      </c>
      <c r="AN127" s="104">
        <v>6</v>
      </c>
      <c r="AO127" s="104">
        <v>5</v>
      </c>
      <c r="AP127" s="104">
        <v>2</v>
      </c>
      <c r="AQ127" s="104">
        <v>7</v>
      </c>
    </row>
    <row r="128" spans="1:43" x14ac:dyDescent="0.35">
      <c r="A128" s="52">
        <v>125</v>
      </c>
      <c r="B128" s="52" t="s">
        <v>277</v>
      </c>
      <c r="C128" s="93"/>
      <c r="D128" s="101" t="s">
        <v>539</v>
      </c>
      <c r="E128" s="101" t="s">
        <v>523</v>
      </c>
      <c r="F128" s="101" t="s">
        <v>148</v>
      </c>
      <c r="G128" s="101" t="s">
        <v>556</v>
      </c>
      <c r="H128" s="101" t="s">
        <v>566</v>
      </c>
      <c r="I128" s="101" t="s">
        <v>527</v>
      </c>
      <c r="J128" s="101" t="s">
        <v>140</v>
      </c>
      <c r="K128" s="101" t="s">
        <v>529</v>
      </c>
      <c r="L128" s="101" t="s">
        <v>152</v>
      </c>
      <c r="M128" s="101" t="s">
        <v>553</v>
      </c>
      <c r="N128" s="101" t="s">
        <v>532</v>
      </c>
      <c r="O128" s="101" t="s">
        <v>571</v>
      </c>
      <c r="P128" s="101" t="s">
        <v>563</v>
      </c>
      <c r="Q128" s="101" t="s">
        <v>544</v>
      </c>
      <c r="R128" s="101" t="s">
        <v>577</v>
      </c>
      <c r="S128" s="101" t="s">
        <v>546</v>
      </c>
      <c r="T128" s="101" t="s">
        <v>537</v>
      </c>
      <c r="U128" s="101" t="s">
        <v>538</v>
      </c>
      <c r="V128" s="101" t="s">
        <v>81</v>
      </c>
      <c r="W128" s="101" t="s">
        <v>549</v>
      </c>
      <c r="X128" s="104">
        <v>7</v>
      </c>
      <c r="Y128" s="104">
        <v>6</v>
      </c>
      <c r="Z128" s="104">
        <v>2</v>
      </c>
      <c r="AA128" s="104">
        <v>2</v>
      </c>
      <c r="AB128" s="104">
        <v>5</v>
      </c>
      <c r="AC128" s="104">
        <v>2</v>
      </c>
      <c r="AD128" s="104">
        <v>1</v>
      </c>
      <c r="AE128" s="104">
        <v>4</v>
      </c>
      <c r="AF128" s="104">
        <v>2</v>
      </c>
      <c r="AG128" s="104">
        <v>4</v>
      </c>
      <c r="AH128" s="104">
        <v>6</v>
      </c>
      <c r="AI128" s="104">
        <v>4</v>
      </c>
      <c r="AJ128" s="104">
        <v>7</v>
      </c>
      <c r="AK128" s="104">
        <v>4</v>
      </c>
      <c r="AL128" s="104">
        <v>8</v>
      </c>
      <c r="AM128" s="104">
        <v>5</v>
      </c>
      <c r="AN128" s="104">
        <v>5</v>
      </c>
      <c r="AO128" s="104">
        <v>5</v>
      </c>
      <c r="AP128" s="104">
        <v>4</v>
      </c>
      <c r="AQ128" s="104">
        <v>7</v>
      </c>
    </row>
    <row r="129" spans="1:43" x14ac:dyDescent="0.35">
      <c r="A129" s="52">
        <v>126</v>
      </c>
      <c r="B129" s="52" t="s">
        <v>717</v>
      </c>
      <c r="C129" s="93"/>
      <c r="D129" s="101" t="s">
        <v>539</v>
      </c>
      <c r="E129" s="101" t="s">
        <v>523</v>
      </c>
      <c r="F129" s="101" t="s">
        <v>148</v>
      </c>
      <c r="G129" s="101" t="s">
        <v>570</v>
      </c>
      <c r="H129" s="101" t="s">
        <v>561</v>
      </c>
      <c r="I129" s="101" t="s">
        <v>527</v>
      </c>
      <c r="J129" s="101" t="s">
        <v>140</v>
      </c>
      <c r="K129" s="101" t="s">
        <v>529</v>
      </c>
      <c r="L129" s="101" t="s">
        <v>530</v>
      </c>
      <c r="M129" s="101" t="s">
        <v>531</v>
      </c>
      <c r="N129" s="101" t="s">
        <v>532</v>
      </c>
      <c r="O129" s="101" t="s">
        <v>554</v>
      </c>
      <c r="P129" s="101" t="s">
        <v>145</v>
      </c>
      <c r="Q129" s="101" t="s">
        <v>544</v>
      </c>
      <c r="R129" s="101" t="s">
        <v>545</v>
      </c>
      <c r="S129" s="101" t="s">
        <v>565</v>
      </c>
      <c r="T129" s="101" t="s">
        <v>537</v>
      </c>
      <c r="U129" s="101" t="s">
        <v>538</v>
      </c>
      <c r="V129" s="101" t="s">
        <v>155</v>
      </c>
      <c r="W129" s="101" t="s">
        <v>549</v>
      </c>
      <c r="X129" s="104">
        <v>6</v>
      </c>
      <c r="Y129" s="104">
        <v>6</v>
      </c>
      <c r="Z129" s="104">
        <v>4</v>
      </c>
      <c r="AA129" s="104">
        <v>5</v>
      </c>
      <c r="AB129" s="104">
        <v>4</v>
      </c>
      <c r="AC129" s="104">
        <v>3</v>
      </c>
      <c r="AD129" s="104">
        <v>2</v>
      </c>
      <c r="AE129" s="104">
        <v>4</v>
      </c>
      <c r="AF129" s="104">
        <v>6</v>
      </c>
      <c r="AG129" s="104">
        <v>6</v>
      </c>
      <c r="AH129" s="104">
        <v>6</v>
      </c>
      <c r="AI129" s="104">
        <v>2</v>
      </c>
      <c r="AJ129" s="104">
        <v>2</v>
      </c>
      <c r="AK129" s="104">
        <v>6</v>
      </c>
      <c r="AL129" s="104">
        <v>5</v>
      </c>
      <c r="AM129" s="104">
        <v>3</v>
      </c>
      <c r="AN129" s="104">
        <v>6</v>
      </c>
      <c r="AO129" s="104">
        <v>4</v>
      </c>
      <c r="AP129" s="104">
        <v>3</v>
      </c>
      <c r="AQ129" s="104">
        <v>7</v>
      </c>
    </row>
    <row r="130" spans="1:43" x14ac:dyDescent="0.35">
      <c r="A130" s="52">
        <v>127</v>
      </c>
      <c r="B130" s="52" t="s">
        <v>1002</v>
      </c>
      <c r="C130" s="93"/>
      <c r="D130" s="93" t="s">
        <v>522</v>
      </c>
      <c r="E130" s="93" t="s">
        <v>540</v>
      </c>
      <c r="F130" s="93" t="s">
        <v>148</v>
      </c>
      <c r="G130" s="93" t="s">
        <v>138</v>
      </c>
      <c r="H130" s="93" t="s">
        <v>149</v>
      </c>
      <c r="I130" s="93" t="s">
        <v>552</v>
      </c>
      <c r="J130" s="93" t="s">
        <v>140</v>
      </c>
      <c r="K130" s="93" t="s">
        <v>529</v>
      </c>
      <c r="L130" s="93" t="s">
        <v>530</v>
      </c>
      <c r="M130" s="93" t="s">
        <v>553</v>
      </c>
      <c r="N130" s="93" t="s">
        <v>532</v>
      </c>
      <c r="O130" s="93" t="s">
        <v>571</v>
      </c>
      <c r="P130" s="93" t="s">
        <v>543</v>
      </c>
      <c r="Q130" s="93" t="s">
        <v>544</v>
      </c>
      <c r="R130" s="93" t="s">
        <v>545</v>
      </c>
      <c r="S130" s="93" t="s">
        <v>568</v>
      </c>
      <c r="T130" s="93" t="s">
        <v>557</v>
      </c>
      <c r="U130" s="93" t="s">
        <v>538</v>
      </c>
      <c r="V130" s="93" t="s">
        <v>155</v>
      </c>
      <c r="W130" s="93" t="s">
        <v>555</v>
      </c>
      <c r="X130" s="104">
        <v>4</v>
      </c>
      <c r="Y130" s="104">
        <v>4</v>
      </c>
      <c r="Z130" s="104">
        <v>3</v>
      </c>
      <c r="AA130" s="104">
        <v>1</v>
      </c>
      <c r="AB130" s="104">
        <v>1</v>
      </c>
      <c r="AC130" s="104">
        <v>4</v>
      </c>
      <c r="AD130" s="104">
        <v>1</v>
      </c>
      <c r="AE130" s="104">
        <v>5</v>
      </c>
      <c r="AF130" s="104">
        <v>9</v>
      </c>
      <c r="AG130" s="104">
        <v>5</v>
      </c>
      <c r="AH130" s="104">
        <v>9</v>
      </c>
      <c r="AI130" s="104">
        <v>4</v>
      </c>
      <c r="AJ130" s="104">
        <v>5</v>
      </c>
      <c r="AK130" s="104">
        <v>5</v>
      </c>
      <c r="AL130" s="104">
        <v>4</v>
      </c>
      <c r="AM130" s="104">
        <v>8</v>
      </c>
      <c r="AN130" s="104">
        <v>7</v>
      </c>
      <c r="AO130" s="104">
        <v>4</v>
      </c>
      <c r="AP130" s="104">
        <v>2</v>
      </c>
      <c r="AQ130" s="104">
        <v>5</v>
      </c>
    </row>
    <row r="131" spans="1:43" x14ac:dyDescent="0.35">
      <c r="A131" s="52">
        <v>128</v>
      </c>
      <c r="B131" s="52" t="s">
        <v>1121</v>
      </c>
      <c r="C131" s="93"/>
      <c r="D131" s="93" t="s">
        <v>539</v>
      </c>
      <c r="E131" s="93" t="s">
        <v>569</v>
      </c>
      <c r="F131" s="93" t="s">
        <v>524</v>
      </c>
      <c r="G131" s="93" t="s">
        <v>138</v>
      </c>
      <c r="H131" s="93" t="s">
        <v>526</v>
      </c>
      <c r="I131" s="93" t="s">
        <v>552</v>
      </c>
      <c r="J131" s="93" t="s">
        <v>140</v>
      </c>
      <c r="K131" s="93" t="s">
        <v>529</v>
      </c>
      <c r="L131" s="93" t="s">
        <v>542</v>
      </c>
      <c r="M131" s="93" t="s">
        <v>531</v>
      </c>
      <c r="N131" s="93" t="s">
        <v>142</v>
      </c>
      <c r="O131" s="93" t="s">
        <v>150</v>
      </c>
      <c r="P131" s="93" t="s">
        <v>543</v>
      </c>
      <c r="Q131" s="93" t="s">
        <v>544</v>
      </c>
      <c r="R131" s="93" t="s">
        <v>567</v>
      </c>
      <c r="S131" s="93" t="s">
        <v>546</v>
      </c>
      <c r="T131" s="93" t="s">
        <v>537</v>
      </c>
      <c r="U131" s="93" t="s">
        <v>548</v>
      </c>
      <c r="V131" s="93" t="s">
        <v>155</v>
      </c>
      <c r="W131" s="93" t="s">
        <v>574</v>
      </c>
      <c r="X131" s="104">
        <v>6</v>
      </c>
      <c r="Y131" s="104">
        <v>8</v>
      </c>
      <c r="Z131" s="104">
        <v>6</v>
      </c>
      <c r="AA131" s="104">
        <v>1</v>
      </c>
      <c r="AB131" s="104">
        <v>3</v>
      </c>
      <c r="AC131" s="104">
        <v>5</v>
      </c>
      <c r="AD131" s="104">
        <v>1</v>
      </c>
      <c r="AE131" s="104">
        <v>3</v>
      </c>
      <c r="AF131" s="104">
        <v>4</v>
      </c>
      <c r="AG131" s="104">
        <v>6</v>
      </c>
      <c r="AH131" s="104">
        <v>2</v>
      </c>
      <c r="AI131" s="104">
        <v>1</v>
      </c>
      <c r="AJ131" s="104">
        <v>6</v>
      </c>
      <c r="AK131" s="104">
        <v>6</v>
      </c>
      <c r="AL131" s="104">
        <v>7</v>
      </c>
      <c r="AM131" s="104">
        <v>5</v>
      </c>
      <c r="AN131" s="104">
        <v>6</v>
      </c>
      <c r="AO131" s="104">
        <v>3</v>
      </c>
      <c r="AP131" s="104">
        <v>3</v>
      </c>
      <c r="AQ131" s="104">
        <v>8</v>
      </c>
    </row>
    <row r="132" spans="1:43" x14ac:dyDescent="0.35">
      <c r="A132" s="52">
        <v>129</v>
      </c>
      <c r="B132" s="52" t="s">
        <v>659</v>
      </c>
      <c r="C132" s="93"/>
      <c r="D132" s="101" t="s">
        <v>522</v>
      </c>
      <c r="E132" s="101" t="s">
        <v>523</v>
      </c>
      <c r="F132" s="101" t="s">
        <v>148</v>
      </c>
      <c r="G132" s="101" t="s">
        <v>556</v>
      </c>
      <c r="H132" s="101" t="s">
        <v>566</v>
      </c>
      <c r="I132" s="101" t="s">
        <v>552</v>
      </c>
      <c r="J132" s="101" t="s">
        <v>140</v>
      </c>
      <c r="K132" s="101" t="s">
        <v>141</v>
      </c>
      <c r="L132" s="101" t="s">
        <v>542</v>
      </c>
      <c r="M132" s="101" t="s">
        <v>531</v>
      </c>
      <c r="N132" s="101" t="s">
        <v>532</v>
      </c>
      <c r="O132" s="101" t="s">
        <v>554</v>
      </c>
      <c r="P132" s="101" t="s">
        <v>543</v>
      </c>
      <c r="Q132" s="101" t="s">
        <v>544</v>
      </c>
      <c r="R132" s="101" t="s">
        <v>567</v>
      </c>
      <c r="S132" s="101" t="s">
        <v>546</v>
      </c>
      <c r="T132" s="101" t="s">
        <v>547</v>
      </c>
      <c r="U132" s="101" t="s">
        <v>548</v>
      </c>
      <c r="V132" s="101" t="s">
        <v>155</v>
      </c>
      <c r="W132" s="101" t="s">
        <v>549</v>
      </c>
      <c r="X132" s="104">
        <v>4</v>
      </c>
      <c r="Y132" s="104">
        <v>5</v>
      </c>
      <c r="Z132" s="104">
        <v>3</v>
      </c>
      <c r="AA132" s="104">
        <v>3</v>
      </c>
      <c r="AB132" s="104">
        <v>5</v>
      </c>
      <c r="AC132" s="104">
        <v>5</v>
      </c>
      <c r="AD132" s="104">
        <v>2</v>
      </c>
      <c r="AE132" s="104">
        <v>1</v>
      </c>
      <c r="AF132" s="104">
        <v>5</v>
      </c>
      <c r="AG132" s="104">
        <v>8</v>
      </c>
      <c r="AH132" s="104">
        <v>8</v>
      </c>
      <c r="AI132" s="104">
        <v>3</v>
      </c>
      <c r="AJ132" s="104">
        <v>6</v>
      </c>
      <c r="AK132" s="104">
        <v>6</v>
      </c>
      <c r="AL132" s="104">
        <v>6</v>
      </c>
      <c r="AM132" s="104">
        <v>5</v>
      </c>
      <c r="AN132" s="104">
        <v>3</v>
      </c>
      <c r="AO132" s="104">
        <v>3</v>
      </c>
      <c r="AP132" s="104">
        <v>2</v>
      </c>
      <c r="AQ132" s="104">
        <v>7</v>
      </c>
    </row>
    <row r="133" spans="1:43" x14ac:dyDescent="0.35">
      <c r="A133" s="52">
        <v>130</v>
      </c>
      <c r="B133" s="52" t="s">
        <v>366</v>
      </c>
      <c r="C133" s="93"/>
      <c r="D133" s="101" t="s">
        <v>578</v>
      </c>
      <c r="E133" s="101" t="s">
        <v>569</v>
      </c>
      <c r="F133" s="101" t="s">
        <v>524</v>
      </c>
      <c r="G133" s="101" t="s">
        <v>138</v>
      </c>
      <c r="H133" s="101" t="s">
        <v>561</v>
      </c>
      <c r="I133" s="101" t="s">
        <v>552</v>
      </c>
      <c r="J133" s="101" t="s">
        <v>558</v>
      </c>
      <c r="K133" s="101" t="s">
        <v>529</v>
      </c>
      <c r="L133" s="101" t="s">
        <v>152</v>
      </c>
      <c r="M133" s="101" t="s">
        <v>553</v>
      </c>
      <c r="N133" s="101" t="s">
        <v>532</v>
      </c>
      <c r="O133" s="101" t="s">
        <v>554</v>
      </c>
      <c r="P133" s="101" t="s">
        <v>534</v>
      </c>
      <c r="Q133" s="101" t="s">
        <v>544</v>
      </c>
      <c r="R133" s="101" t="s">
        <v>567</v>
      </c>
      <c r="S133" s="101" t="s">
        <v>546</v>
      </c>
      <c r="T133" s="101" t="s">
        <v>537</v>
      </c>
      <c r="U133" s="101" t="s">
        <v>538</v>
      </c>
      <c r="V133" s="101" t="s">
        <v>81</v>
      </c>
      <c r="W133" s="101" t="s">
        <v>549</v>
      </c>
      <c r="X133" s="104">
        <v>9</v>
      </c>
      <c r="Y133" s="104">
        <v>8</v>
      </c>
      <c r="Z133" s="104">
        <v>6</v>
      </c>
      <c r="AA133" s="104">
        <v>1</v>
      </c>
      <c r="AB133" s="104">
        <v>4</v>
      </c>
      <c r="AC133" s="104">
        <v>5</v>
      </c>
      <c r="AD133" s="104">
        <v>4</v>
      </c>
      <c r="AE133" s="104">
        <v>3</v>
      </c>
      <c r="AF133" s="104">
        <v>1</v>
      </c>
      <c r="AG133" s="104">
        <v>5</v>
      </c>
      <c r="AH133" s="104">
        <v>5</v>
      </c>
      <c r="AI133" s="104">
        <v>2</v>
      </c>
      <c r="AJ133" s="104">
        <v>4</v>
      </c>
      <c r="AK133" s="104">
        <v>5</v>
      </c>
      <c r="AL133" s="104">
        <v>6</v>
      </c>
      <c r="AM133" s="104">
        <v>4</v>
      </c>
      <c r="AN133" s="104">
        <v>4</v>
      </c>
      <c r="AO133" s="104">
        <v>4</v>
      </c>
      <c r="AP133" s="104">
        <v>4</v>
      </c>
      <c r="AQ133" s="104">
        <v>6</v>
      </c>
    </row>
    <row r="134" spans="1:43" x14ac:dyDescent="0.35">
      <c r="A134" s="52">
        <v>131</v>
      </c>
      <c r="B134" s="52" t="s">
        <v>269</v>
      </c>
      <c r="C134" s="93"/>
      <c r="D134" s="101" t="s">
        <v>539</v>
      </c>
      <c r="E134" s="101" t="s">
        <v>523</v>
      </c>
      <c r="F134" s="101" t="s">
        <v>524</v>
      </c>
      <c r="G134" s="101" t="s">
        <v>556</v>
      </c>
      <c r="H134" s="101" t="s">
        <v>526</v>
      </c>
      <c r="I134" s="101" t="s">
        <v>541</v>
      </c>
      <c r="J134" s="101" t="s">
        <v>140</v>
      </c>
      <c r="K134" s="101" t="s">
        <v>529</v>
      </c>
      <c r="L134" s="101" t="s">
        <v>530</v>
      </c>
      <c r="M134" s="101" t="s">
        <v>553</v>
      </c>
      <c r="N134" s="101" t="s">
        <v>532</v>
      </c>
      <c r="O134" s="101" t="s">
        <v>571</v>
      </c>
      <c r="P134" s="101" t="s">
        <v>145</v>
      </c>
      <c r="Q134" s="101" t="s">
        <v>544</v>
      </c>
      <c r="R134" s="101" t="s">
        <v>143</v>
      </c>
      <c r="S134" s="101" t="s">
        <v>536</v>
      </c>
      <c r="T134" s="101" t="s">
        <v>537</v>
      </c>
      <c r="U134" s="101" t="s">
        <v>548</v>
      </c>
      <c r="V134" s="101" t="s">
        <v>155</v>
      </c>
      <c r="W134" s="101" t="s">
        <v>549</v>
      </c>
      <c r="X134" s="104">
        <v>6</v>
      </c>
      <c r="Y134" s="104">
        <v>5</v>
      </c>
      <c r="Z134" s="104">
        <v>5</v>
      </c>
      <c r="AA134" s="104">
        <v>2</v>
      </c>
      <c r="AB134" s="104">
        <v>2</v>
      </c>
      <c r="AC134" s="104">
        <v>7</v>
      </c>
      <c r="AD134" s="104">
        <v>3</v>
      </c>
      <c r="AE134" s="104">
        <v>6</v>
      </c>
      <c r="AF134" s="104">
        <v>6</v>
      </c>
      <c r="AG134" s="104">
        <v>3</v>
      </c>
      <c r="AH134" s="104">
        <v>7</v>
      </c>
      <c r="AI134" s="104">
        <v>4</v>
      </c>
      <c r="AJ134" s="104">
        <v>1</v>
      </c>
      <c r="AK134" s="104">
        <v>5</v>
      </c>
      <c r="AL134" s="104">
        <v>3</v>
      </c>
      <c r="AM134" s="104">
        <v>7</v>
      </c>
      <c r="AN134" s="104">
        <v>6</v>
      </c>
      <c r="AO134" s="104">
        <v>3</v>
      </c>
      <c r="AP134" s="104">
        <v>2</v>
      </c>
      <c r="AQ134" s="104">
        <v>7</v>
      </c>
    </row>
    <row r="135" spans="1:43" x14ac:dyDescent="0.35">
      <c r="A135" s="52">
        <v>132</v>
      </c>
      <c r="B135" s="52" t="s">
        <v>301</v>
      </c>
      <c r="C135" s="93"/>
      <c r="D135" s="101" t="s">
        <v>522</v>
      </c>
      <c r="E135" s="101" t="s">
        <v>523</v>
      </c>
      <c r="F135" s="101" t="s">
        <v>524</v>
      </c>
      <c r="G135" s="101" t="s">
        <v>525</v>
      </c>
      <c r="H135" s="101" t="s">
        <v>551</v>
      </c>
      <c r="I135" s="101" t="s">
        <v>541</v>
      </c>
      <c r="J135" s="101" t="s">
        <v>140</v>
      </c>
      <c r="K135" s="101" t="s">
        <v>529</v>
      </c>
      <c r="L135" s="101" t="s">
        <v>542</v>
      </c>
      <c r="M135" s="101" t="s">
        <v>531</v>
      </c>
      <c r="N135" s="101" t="s">
        <v>562</v>
      </c>
      <c r="O135" s="101" t="s">
        <v>554</v>
      </c>
      <c r="P135" s="101" t="s">
        <v>563</v>
      </c>
      <c r="Q135" s="101" t="s">
        <v>535</v>
      </c>
      <c r="R135" s="101" t="s">
        <v>545</v>
      </c>
      <c r="S135" s="101" t="s">
        <v>546</v>
      </c>
      <c r="T135" s="101" t="s">
        <v>547</v>
      </c>
      <c r="U135" s="101" t="s">
        <v>548</v>
      </c>
      <c r="V135" s="101" t="s">
        <v>155</v>
      </c>
      <c r="W135" s="101" t="s">
        <v>549</v>
      </c>
      <c r="X135" s="104">
        <v>4</v>
      </c>
      <c r="Y135" s="104">
        <v>6</v>
      </c>
      <c r="Z135" s="104">
        <v>7</v>
      </c>
      <c r="AA135" s="104">
        <v>6</v>
      </c>
      <c r="AB135" s="104">
        <v>7</v>
      </c>
      <c r="AC135" s="104">
        <v>6</v>
      </c>
      <c r="AD135" s="104">
        <v>2</v>
      </c>
      <c r="AE135" s="104">
        <v>4</v>
      </c>
      <c r="AF135" s="104">
        <v>4</v>
      </c>
      <c r="AG135" s="104">
        <v>7</v>
      </c>
      <c r="AH135" s="104">
        <v>3</v>
      </c>
      <c r="AI135" s="104">
        <v>2</v>
      </c>
      <c r="AJ135" s="104">
        <v>8</v>
      </c>
      <c r="AK135" s="104">
        <v>3</v>
      </c>
      <c r="AL135" s="104">
        <v>5</v>
      </c>
      <c r="AM135" s="104">
        <v>4</v>
      </c>
      <c r="AN135" s="104">
        <v>2</v>
      </c>
      <c r="AO135" s="104">
        <v>2</v>
      </c>
      <c r="AP135" s="104">
        <v>2</v>
      </c>
      <c r="AQ135" s="104">
        <v>6</v>
      </c>
    </row>
    <row r="136" spans="1:43" x14ac:dyDescent="0.35">
      <c r="A136" s="52">
        <v>133</v>
      </c>
      <c r="B136" s="52" t="s">
        <v>982</v>
      </c>
      <c r="C136" s="93"/>
      <c r="D136" s="93" t="s">
        <v>539</v>
      </c>
      <c r="E136" s="93" t="s">
        <v>523</v>
      </c>
      <c r="F136" s="93" t="s">
        <v>148</v>
      </c>
      <c r="G136" s="93" t="s">
        <v>138</v>
      </c>
      <c r="H136" s="93" t="s">
        <v>526</v>
      </c>
      <c r="I136" s="93" t="s">
        <v>527</v>
      </c>
      <c r="J136" s="93" t="s">
        <v>558</v>
      </c>
      <c r="K136" s="93" t="s">
        <v>529</v>
      </c>
      <c r="L136" s="93" t="s">
        <v>530</v>
      </c>
      <c r="M136" s="93" t="s">
        <v>531</v>
      </c>
      <c r="N136" s="93" t="s">
        <v>532</v>
      </c>
      <c r="O136" s="93" t="s">
        <v>554</v>
      </c>
      <c r="P136" s="93" t="s">
        <v>543</v>
      </c>
      <c r="Q136" s="93" t="s">
        <v>544</v>
      </c>
      <c r="R136" s="93" t="s">
        <v>545</v>
      </c>
      <c r="S136" s="93" t="s">
        <v>568</v>
      </c>
      <c r="T136" s="93" t="s">
        <v>537</v>
      </c>
      <c r="U136" s="93" t="s">
        <v>538</v>
      </c>
      <c r="V136" s="93" t="s">
        <v>155</v>
      </c>
      <c r="W136" s="93" t="s">
        <v>555</v>
      </c>
      <c r="X136" s="104">
        <v>6</v>
      </c>
      <c r="Y136" s="104">
        <v>6</v>
      </c>
      <c r="Z136" s="104">
        <v>4</v>
      </c>
      <c r="AA136" s="104">
        <v>1</v>
      </c>
      <c r="AB136" s="104">
        <v>2</v>
      </c>
      <c r="AC136" s="104">
        <v>2</v>
      </c>
      <c r="AD136" s="104">
        <v>5</v>
      </c>
      <c r="AE136" s="104">
        <v>3</v>
      </c>
      <c r="AF136" s="104">
        <v>6</v>
      </c>
      <c r="AG136" s="104">
        <v>6</v>
      </c>
      <c r="AH136" s="104">
        <v>9</v>
      </c>
      <c r="AI136" s="104">
        <v>2</v>
      </c>
      <c r="AJ136" s="104">
        <v>6</v>
      </c>
      <c r="AK136" s="104">
        <v>4</v>
      </c>
      <c r="AL136" s="104">
        <v>4</v>
      </c>
      <c r="AM136" s="104">
        <v>9</v>
      </c>
      <c r="AN136" s="104">
        <v>5</v>
      </c>
      <c r="AO136" s="104">
        <v>4</v>
      </c>
      <c r="AP136" s="104">
        <v>2</v>
      </c>
      <c r="AQ136" s="104">
        <v>4</v>
      </c>
    </row>
    <row r="137" spans="1:43" x14ac:dyDescent="0.35">
      <c r="A137" s="52">
        <v>134</v>
      </c>
      <c r="B137" s="52" t="s">
        <v>716</v>
      </c>
      <c r="C137" s="93"/>
      <c r="D137" s="101" t="s">
        <v>539</v>
      </c>
      <c r="E137" s="101" t="s">
        <v>540</v>
      </c>
      <c r="F137" s="101" t="s">
        <v>148</v>
      </c>
      <c r="G137" s="101" t="s">
        <v>138</v>
      </c>
      <c r="H137" s="101" t="s">
        <v>566</v>
      </c>
      <c r="I137" s="101" t="s">
        <v>527</v>
      </c>
      <c r="J137" s="101" t="s">
        <v>140</v>
      </c>
      <c r="K137" s="101" t="s">
        <v>529</v>
      </c>
      <c r="L137" s="101" t="s">
        <v>542</v>
      </c>
      <c r="M137" s="101" t="s">
        <v>531</v>
      </c>
      <c r="N137" s="101" t="s">
        <v>532</v>
      </c>
      <c r="O137" s="101" t="s">
        <v>571</v>
      </c>
      <c r="P137" s="101" t="s">
        <v>543</v>
      </c>
      <c r="Q137" s="101" t="s">
        <v>544</v>
      </c>
      <c r="R137" s="101" t="s">
        <v>545</v>
      </c>
      <c r="S137" s="101" t="s">
        <v>565</v>
      </c>
      <c r="T137" s="101" t="s">
        <v>557</v>
      </c>
      <c r="U137" s="101" t="s">
        <v>548</v>
      </c>
      <c r="V137" s="101" t="s">
        <v>155</v>
      </c>
      <c r="W137" s="101" t="s">
        <v>549</v>
      </c>
      <c r="X137" s="104">
        <v>6</v>
      </c>
      <c r="Y137" s="104">
        <v>4</v>
      </c>
      <c r="Z137" s="104">
        <v>3</v>
      </c>
      <c r="AA137" s="104">
        <v>1</v>
      </c>
      <c r="AB137" s="104">
        <v>5</v>
      </c>
      <c r="AC137" s="104">
        <v>3</v>
      </c>
      <c r="AD137" s="104">
        <v>2</v>
      </c>
      <c r="AE137" s="104">
        <v>4</v>
      </c>
      <c r="AF137" s="104">
        <v>4</v>
      </c>
      <c r="AG137" s="104">
        <v>8</v>
      </c>
      <c r="AH137" s="104">
        <v>9</v>
      </c>
      <c r="AI137" s="104">
        <v>4</v>
      </c>
      <c r="AJ137" s="104">
        <v>6</v>
      </c>
      <c r="AK137" s="104">
        <v>4</v>
      </c>
      <c r="AL137" s="104">
        <v>5</v>
      </c>
      <c r="AM137" s="104">
        <v>3</v>
      </c>
      <c r="AN137" s="104">
        <v>7</v>
      </c>
      <c r="AO137" s="104">
        <v>3</v>
      </c>
      <c r="AP137" s="104">
        <v>2</v>
      </c>
      <c r="AQ137" s="104">
        <v>7</v>
      </c>
    </row>
    <row r="138" spans="1:43" x14ac:dyDescent="0.35">
      <c r="A138" s="52">
        <v>135</v>
      </c>
      <c r="B138" s="52" t="s">
        <v>313</v>
      </c>
      <c r="C138" s="93"/>
      <c r="D138" s="101" t="s">
        <v>539</v>
      </c>
      <c r="E138" s="101" t="s">
        <v>523</v>
      </c>
      <c r="F138" s="101" t="s">
        <v>524</v>
      </c>
      <c r="G138" s="101" t="s">
        <v>556</v>
      </c>
      <c r="H138" s="101" t="s">
        <v>561</v>
      </c>
      <c r="I138" s="101" t="s">
        <v>552</v>
      </c>
      <c r="J138" s="101" t="s">
        <v>558</v>
      </c>
      <c r="K138" s="101" t="s">
        <v>575</v>
      </c>
      <c r="L138" s="101" t="s">
        <v>542</v>
      </c>
      <c r="M138" s="101" t="s">
        <v>553</v>
      </c>
      <c r="N138" s="101" t="s">
        <v>142</v>
      </c>
      <c r="O138" s="101" t="s">
        <v>571</v>
      </c>
      <c r="P138" s="101" t="s">
        <v>534</v>
      </c>
      <c r="Q138" s="101" t="s">
        <v>544</v>
      </c>
      <c r="R138" s="101" t="s">
        <v>545</v>
      </c>
      <c r="S138" s="101" t="s">
        <v>536</v>
      </c>
      <c r="T138" s="101" t="s">
        <v>537</v>
      </c>
      <c r="U138" s="101" t="s">
        <v>548</v>
      </c>
      <c r="V138" s="101" t="s">
        <v>155</v>
      </c>
      <c r="W138" s="101" t="s">
        <v>555</v>
      </c>
      <c r="X138" s="104">
        <v>6</v>
      </c>
      <c r="Y138" s="104">
        <v>5</v>
      </c>
      <c r="Z138" s="104">
        <v>7</v>
      </c>
      <c r="AA138" s="104">
        <v>2</v>
      </c>
      <c r="AB138" s="104">
        <v>4</v>
      </c>
      <c r="AC138" s="104">
        <v>4</v>
      </c>
      <c r="AD138" s="104">
        <v>6</v>
      </c>
      <c r="AE138" s="104">
        <v>7</v>
      </c>
      <c r="AF138" s="104">
        <v>4</v>
      </c>
      <c r="AG138" s="104">
        <v>5</v>
      </c>
      <c r="AH138" s="104">
        <v>2</v>
      </c>
      <c r="AI138" s="104">
        <v>4</v>
      </c>
      <c r="AJ138" s="104">
        <v>4</v>
      </c>
      <c r="AK138" s="104">
        <v>5</v>
      </c>
      <c r="AL138" s="104">
        <v>5</v>
      </c>
      <c r="AM138" s="104">
        <v>7</v>
      </c>
      <c r="AN138" s="104">
        <v>5</v>
      </c>
      <c r="AO138" s="104">
        <v>2</v>
      </c>
      <c r="AP138" s="104">
        <v>2</v>
      </c>
      <c r="AQ138" s="104">
        <v>4</v>
      </c>
    </row>
    <row r="139" spans="1:43" x14ac:dyDescent="0.35">
      <c r="A139" s="52">
        <v>136</v>
      </c>
      <c r="B139" s="52" t="s">
        <v>1211</v>
      </c>
      <c r="C139" s="93"/>
      <c r="D139" s="93" t="s">
        <v>539</v>
      </c>
      <c r="E139" s="93" t="s">
        <v>540</v>
      </c>
      <c r="F139" s="93" t="s">
        <v>148</v>
      </c>
      <c r="G139" s="93" t="s">
        <v>556</v>
      </c>
      <c r="H139" s="93" t="s">
        <v>561</v>
      </c>
      <c r="I139" s="93" t="s">
        <v>552</v>
      </c>
      <c r="J139" s="93" t="s">
        <v>558</v>
      </c>
      <c r="K139" s="93" t="s">
        <v>529</v>
      </c>
      <c r="L139" s="93" t="s">
        <v>152</v>
      </c>
      <c r="M139" s="93" t="s">
        <v>553</v>
      </c>
      <c r="N139" s="93" t="s">
        <v>532</v>
      </c>
      <c r="O139" s="93" t="s">
        <v>571</v>
      </c>
      <c r="P139" s="93" t="s">
        <v>534</v>
      </c>
      <c r="Q139" s="93" t="s">
        <v>544</v>
      </c>
      <c r="R139" s="93" t="s">
        <v>567</v>
      </c>
      <c r="S139" s="93" t="s">
        <v>536</v>
      </c>
      <c r="T139" s="93" t="s">
        <v>547</v>
      </c>
      <c r="U139" s="93" t="s">
        <v>538</v>
      </c>
      <c r="V139" s="93" t="s">
        <v>155</v>
      </c>
      <c r="W139" s="93" t="s">
        <v>549</v>
      </c>
      <c r="X139" s="104">
        <v>7</v>
      </c>
      <c r="Y139" s="104">
        <v>4</v>
      </c>
      <c r="Z139" s="104">
        <v>4</v>
      </c>
      <c r="AA139" s="104">
        <v>2</v>
      </c>
      <c r="AB139" s="104">
        <v>4</v>
      </c>
      <c r="AC139" s="104">
        <v>4</v>
      </c>
      <c r="AD139" s="104">
        <v>6</v>
      </c>
      <c r="AE139" s="104">
        <v>5</v>
      </c>
      <c r="AF139" s="104">
        <v>2</v>
      </c>
      <c r="AG139" s="104">
        <v>5</v>
      </c>
      <c r="AH139" s="104">
        <v>6</v>
      </c>
      <c r="AI139" s="104">
        <v>4</v>
      </c>
      <c r="AJ139" s="104">
        <v>4</v>
      </c>
      <c r="AK139" s="104">
        <v>6</v>
      </c>
      <c r="AL139" s="104">
        <v>6</v>
      </c>
      <c r="AM139" s="104">
        <v>6</v>
      </c>
      <c r="AN139" s="104">
        <v>2</v>
      </c>
      <c r="AO139" s="104">
        <v>4</v>
      </c>
      <c r="AP139" s="104">
        <v>2</v>
      </c>
      <c r="AQ139" s="104">
        <v>7</v>
      </c>
    </row>
    <row r="140" spans="1:43" x14ac:dyDescent="0.35">
      <c r="A140" s="52">
        <v>137</v>
      </c>
      <c r="B140" s="52" t="s">
        <v>1020</v>
      </c>
      <c r="C140" s="93"/>
      <c r="D140" s="93" t="s">
        <v>522</v>
      </c>
      <c r="E140" s="93" t="s">
        <v>523</v>
      </c>
      <c r="F140" s="93" t="s">
        <v>524</v>
      </c>
      <c r="G140" s="93" t="s">
        <v>138</v>
      </c>
      <c r="H140" s="93" t="s">
        <v>526</v>
      </c>
      <c r="I140" s="93" t="s">
        <v>527</v>
      </c>
      <c r="J140" s="93" t="s">
        <v>558</v>
      </c>
      <c r="K140" s="93" t="s">
        <v>529</v>
      </c>
      <c r="L140" s="93" t="s">
        <v>530</v>
      </c>
      <c r="M140" s="93" t="s">
        <v>553</v>
      </c>
      <c r="N140" s="93" t="s">
        <v>532</v>
      </c>
      <c r="O140" s="93" t="s">
        <v>554</v>
      </c>
      <c r="P140" s="93" t="s">
        <v>543</v>
      </c>
      <c r="Q140" s="93" t="s">
        <v>564</v>
      </c>
      <c r="R140" s="93" t="s">
        <v>545</v>
      </c>
      <c r="S140" s="93" t="s">
        <v>536</v>
      </c>
      <c r="T140" s="93" t="s">
        <v>547</v>
      </c>
      <c r="U140" s="93" t="s">
        <v>548</v>
      </c>
      <c r="V140" s="93" t="s">
        <v>155</v>
      </c>
      <c r="W140" s="93" t="s">
        <v>549</v>
      </c>
      <c r="X140" s="104">
        <v>4</v>
      </c>
      <c r="Y140" s="104">
        <v>5</v>
      </c>
      <c r="Z140" s="104">
        <v>6</v>
      </c>
      <c r="AA140" s="104">
        <v>1</v>
      </c>
      <c r="AB140" s="104">
        <v>3</v>
      </c>
      <c r="AC140" s="104">
        <v>3</v>
      </c>
      <c r="AD140" s="104">
        <v>4</v>
      </c>
      <c r="AE140" s="104">
        <v>4</v>
      </c>
      <c r="AF140" s="104">
        <v>6</v>
      </c>
      <c r="AG140" s="104">
        <v>4</v>
      </c>
      <c r="AH140" s="104">
        <v>8</v>
      </c>
      <c r="AI140" s="104">
        <v>3</v>
      </c>
      <c r="AJ140" s="104">
        <v>5</v>
      </c>
      <c r="AK140" s="104">
        <v>7</v>
      </c>
      <c r="AL140" s="104">
        <v>5</v>
      </c>
      <c r="AM140" s="104">
        <v>7</v>
      </c>
      <c r="AN140" s="104">
        <v>3</v>
      </c>
      <c r="AO140" s="104">
        <v>3</v>
      </c>
      <c r="AP140" s="104">
        <v>3</v>
      </c>
      <c r="AQ140" s="104">
        <v>6</v>
      </c>
    </row>
    <row r="141" spans="1:43" x14ac:dyDescent="0.35">
      <c r="A141" s="52">
        <v>138</v>
      </c>
      <c r="B141" s="52" t="s">
        <v>251</v>
      </c>
      <c r="C141" s="93"/>
      <c r="D141" s="101" t="s">
        <v>522</v>
      </c>
      <c r="E141" s="101" t="s">
        <v>523</v>
      </c>
      <c r="F141" s="101" t="s">
        <v>148</v>
      </c>
      <c r="G141" s="101" t="s">
        <v>556</v>
      </c>
      <c r="H141" s="101" t="s">
        <v>526</v>
      </c>
      <c r="I141" s="101" t="s">
        <v>552</v>
      </c>
      <c r="J141" s="101" t="s">
        <v>140</v>
      </c>
      <c r="K141" s="101" t="s">
        <v>529</v>
      </c>
      <c r="L141" s="101" t="s">
        <v>542</v>
      </c>
      <c r="M141" s="101" t="s">
        <v>531</v>
      </c>
      <c r="N141" s="101" t="s">
        <v>532</v>
      </c>
      <c r="O141" s="101" t="s">
        <v>533</v>
      </c>
      <c r="P141" s="101" t="s">
        <v>543</v>
      </c>
      <c r="Q141" s="101" t="s">
        <v>535</v>
      </c>
      <c r="R141" s="101" t="s">
        <v>545</v>
      </c>
      <c r="S141" s="101" t="s">
        <v>565</v>
      </c>
      <c r="T141" s="101" t="s">
        <v>537</v>
      </c>
      <c r="U141" s="101" t="s">
        <v>548</v>
      </c>
      <c r="V141" s="101" t="s">
        <v>81</v>
      </c>
      <c r="W141" s="101" t="s">
        <v>549</v>
      </c>
      <c r="X141" s="104">
        <v>4</v>
      </c>
      <c r="Y141" s="104">
        <v>7</v>
      </c>
      <c r="Z141" s="104">
        <v>4</v>
      </c>
      <c r="AA141" s="104">
        <v>2</v>
      </c>
      <c r="AB141" s="104">
        <v>3</v>
      </c>
      <c r="AC141" s="104">
        <v>5</v>
      </c>
      <c r="AD141" s="104">
        <v>2</v>
      </c>
      <c r="AE141" s="104">
        <v>4</v>
      </c>
      <c r="AF141" s="104">
        <v>4</v>
      </c>
      <c r="AG141" s="104">
        <v>7</v>
      </c>
      <c r="AH141" s="104">
        <v>7</v>
      </c>
      <c r="AI141" s="104">
        <v>5</v>
      </c>
      <c r="AJ141" s="104">
        <v>5</v>
      </c>
      <c r="AK141" s="104">
        <v>3</v>
      </c>
      <c r="AL141" s="104">
        <v>4</v>
      </c>
      <c r="AM141" s="104">
        <v>3</v>
      </c>
      <c r="AN141" s="104">
        <v>6</v>
      </c>
      <c r="AO141" s="104">
        <v>3</v>
      </c>
      <c r="AP141" s="104">
        <v>5</v>
      </c>
      <c r="AQ141" s="104">
        <v>7</v>
      </c>
    </row>
    <row r="142" spans="1:43" x14ac:dyDescent="0.35">
      <c r="A142" s="52">
        <v>139</v>
      </c>
      <c r="B142" s="52" t="s">
        <v>1031</v>
      </c>
      <c r="C142" s="93"/>
      <c r="D142" s="93" t="s">
        <v>522</v>
      </c>
      <c r="E142" s="93" t="s">
        <v>523</v>
      </c>
      <c r="F142" s="93" t="s">
        <v>524</v>
      </c>
      <c r="G142" s="93" t="s">
        <v>556</v>
      </c>
      <c r="H142" s="93" t="s">
        <v>526</v>
      </c>
      <c r="I142" s="93" t="s">
        <v>552</v>
      </c>
      <c r="J142" s="93" t="s">
        <v>140</v>
      </c>
      <c r="K142" s="93" t="s">
        <v>529</v>
      </c>
      <c r="L142" s="93" t="s">
        <v>542</v>
      </c>
      <c r="M142" s="93" t="s">
        <v>553</v>
      </c>
      <c r="N142" s="93" t="s">
        <v>562</v>
      </c>
      <c r="O142" s="93" t="s">
        <v>533</v>
      </c>
      <c r="P142" s="93" t="s">
        <v>543</v>
      </c>
      <c r="Q142" s="93" t="s">
        <v>544</v>
      </c>
      <c r="R142" s="93" t="s">
        <v>545</v>
      </c>
      <c r="S142" s="93" t="s">
        <v>546</v>
      </c>
      <c r="T142" s="93" t="s">
        <v>537</v>
      </c>
      <c r="U142" s="93" t="s">
        <v>548</v>
      </c>
      <c r="V142" s="93" t="s">
        <v>81</v>
      </c>
      <c r="W142" s="93" t="s">
        <v>549</v>
      </c>
      <c r="X142" s="104">
        <v>5</v>
      </c>
      <c r="Y142" s="104">
        <v>7</v>
      </c>
      <c r="Z142" s="104">
        <v>5</v>
      </c>
      <c r="AA142" s="104">
        <v>2</v>
      </c>
      <c r="AB142" s="104">
        <v>3</v>
      </c>
      <c r="AC142" s="104">
        <v>5</v>
      </c>
      <c r="AD142" s="104">
        <v>1</v>
      </c>
      <c r="AE142" s="104">
        <v>5</v>
      </c>
      <c r="AF142" s="104">
        <v>4</v>
      </c>
      <c r="AG142" s="104">
        <v>5</v>
      </c>
      <c r="AH142" s="104">
        <v>4</v>
      </c>
      <c r="AI142" s="104">
        <v>5</v>
      </c>
      <c r="AJ142" s="104">
        <v>5</v>
      </c>
      <c r="AK142" s="104">
        <v>6</v>
      </c>
      <c r="AL142" s="104">
        <v>5</v>
      </c>
      <c r="AM142" s="104">
        <v>4</v>
      </c>
      <c r="AN142" s="104">
        <v>5</v>
      </c>
      <c r="AO142" s="104">
        <v>2</v>
      </c>
      <c r="AP142" s="104">
        <v>5</v>
      </c>
      <c r="AQ142" s="104">
        <v>7</v>
      </c>
    </row>
    <row r="143" spans="1:43" x14ac:dyDescent="0.35">
      <c r="A143" s="52">
        <v>140</v>
      </c>
      <c r="B143" s="52" t="s">
        <v>363</v>
      </c>
      <c r="C143" s="93"/>
      <c r="D143" s="101" t="s">
        <v>522</v>
      </c>
      <c r="E143" s="101" t="s">
        <v>523</v>
      </c>
      <c r="F143" s="101" t="s">
        <v>524</v>
      </c>
      <c r="G143" s="101" t="s">
        <v>550</v>
      </c>
      <c r="H143" s="101" t="s">
        <v>149</v>
      </c>
      <c r="I143" s="101" t="s">
        <v>541</v>
      </c>
      <c r="J143" s="101" t="s">
        <v>558</v>
      </c>
      <c r="K143" s="101" t="s">
        <v>529</v>
      </c>
      <c r="L143" s="101" t="s">
        <v>542</v>
      </c>
      <c r="M143" s="101" t="s">
        <v>553</v>
      </c>
      <c r="N143" s="101" t="s">
        <v>562</v>
      </c>
      <c r="O143" s="101" t="s">
        <v>571</v>
      </c>
      <c r="P143" s="101" t="s">
        <v>145</v>
      </c>
      <c r="Q143" s="101" t="s">
        <v>544</v>
      </c>
      <c r="R143" s="101" t="s">
        <v>143</v>
      </c>
      <c r="S143" s="101" t="s">
        <v>536</v>
      </c>
      <c r="T143" s="101" t="s">
        <v>537</v>
      </c>
      <c r="U143" s="101" t="s">
        <v>538</v>
      </c>
      <c r="V143" s="101" t="s">
        <v>155</v>
      </c>
      <c r="W143" s="101" t="s">
        <v>549</v>
      </c>
      <c r="X143" s="104">
        <v>5</v>
      </c>
      <c r="Y143" s="104">
        <v>7</v>
      </c>
      <c r="Z143" s="104">
        <v>6</v>
      </c>
      <c r="AA143" s="104">
        <v>4</v>
      </c>
      <c r="AB143" s="104">
        <v>1</v>
      </c>
      <c r="AC143" s="104">
        <v>7</v>
      </c>
      <c r="AD143" s="104">
        <v>5</v>
      </c>
      <c r="AE143" s="104">
        <v>4</v>
      </c>
      <c r="AF143" s="104">
        <v>4</v>
      </c>
      <c r="AG143" s="104">
        <v>5</v>
      </c>
      <c r="AH143" s="104">
        <v>4</v>
      </c>
      <c r="AI143" s="104">
        <v>4</v>
      </c>
      <c r="AJ143" s="104">
        <v>1</v>
      </c>
      <c r="AK143" s="104">
        <v>5</v>
      </c>
      <c r="AL143" s="104">
        <v>3</v>
      </c>
      <c r="AM143" s="104">
        <v>6</v>
      </c>
      <c r="AN143" s="104">
        <v>5</v>
      </c>
      <c r="AO143" s="104">
        <v>4</v>
      </c>
      <c r="AP143" s="104">
        <v>3</v>
      </c>
      <c r="AQ143" s="104">
        <v>7</v>
      </c>
    </row>
    <row r="144" spans="1:43" x14ac:dyDescent="0.35">
      <c r="A144" s="52">
        <v>141</v>
      </c>
      <c r="B144" s="52" t="s">
        <v>960</v>
      </c>
      <c r="C144" s="93"/>
      <c r="D144" s="93" t="s">
        <v>522</v>
      </c>
      <c r="E144" s="93" t="s">
        <v>540</v>
      </c>
      <c r="F144" s="93" t="s">
        <v>524</v>
      </c>
      <c r="G144" s="93" t="s">
        <v>570</v>
      </c>
      <c r="H144" s="93" t="s">
        <v>561</v>
      </c>
      <c r="I144" s="93" t="s">
        <v>541</v>
      </c>
      <c r="J144" s="93" t="s">
        <v>558</v>
      </c>
      <c r="K144" s="93" t="s">
        <v>529</v>
      </c>
      <c r="L144" s="93" t="s">
        <v>542</v>
      </c>
      <c r="M144" s="93" t="s">
        <v>531</v>
      </c>
      <c r="N144" s="93" t="s">
        <v>532</v>
      </c>
      <c r="O144" s="93" t="s">
        <v>533</v>
      </c>
      <c r="P144" s="93" t="s">
        <v>543</v>
      </c>
      <c r="Q144" s="93" t="s">
        <v>544</v>
      </c>
      <c r="R144" s="93" t="s">
        <v>545</v>
      </c>
      <c r="S144" s="93" t="s">
        <v>565</v>
      </c>
      <c r="T144" s="93" t="s">
        <v>547</v>
      </c>
      <c r="U144" s="93" t="s">
        <v>548</v>
      </c>
      <c r="V144" s="93" t="s">
        <v>155</v>
      </c>
      <c r="W144" s="93" t="s">
        <v>549</v>
      </c>
      <c r="X144" s="104">
        <v>5</v>
      </c>
      <c r="Y144" s="104">
        <v>4</v>
      </c>
      <c r="Z144" s="104">
        <v>5</v>
      </c>
      <c r="AA144" s="104">
        <v>5</v>
      </c>
      <c r="AB144" s="104">
        <v>4</v>
      </c>
      <c r="AC144" s="104">
        <v>7</v>
      </c>
      <c r="AD144" s="104">
        <v>4</v>
      </c>
      <c r="AE144" s="104">
        <v>4</v>
      </c>
      <c r="AF144" s="104">
        <v>5</v>
      </c>
      <c r="AG144" s="104">
        <v>7</v>
      </c>
      <c r="AH144" s="104">
        <v>5</v>
      </c>
      <c r="AI144" s="104">
        <v>5</v>
      </c>
      <c r="AJ144" s="104">
        <v>5</v>
      </c>
      <c r="AK144" s="104">
        <v>4</v>
      </c>
      <c r="AL144" s="104">
        <v>4</v>
      </c>
      <c r="AM144" s="104">
        <v>3</v>
      </c>
      <c r="AN144" s="104">
        <v>3</v>
      </c>
      <c r="AO144" s="104">
        <v>2</v>
      </c>
      <c r="AP144" s="104">
        <v>3</v>
      </c>
      <c r="AQ144" s="104">
        <v>6</v>
      </c>
    </row>
    <row r="145" spans="1:43" x14ac:dyDescent="0.35">
      <c r="A145" s="52">
        <v>142</v>
      </c>
      <c r="B145" s="52" t="s">
        <v>278</v>
      </c>
      <c r="C145" s="93"/>
      <c r="D145" s="101" t="s">
        <v>539</v>
      </c>
      <c r="E145" s="101" t="s">
        <v>569</v>
      </c>
      <c r="F145" s="101" t="s">
        <v>524</v>
      </c>
      <c r="G145" s="101" t="s">
        <v>550</v>
      </c>
      <c r="H145" s="101" t="s">
        <v>551</v>
      </c>
      <c r="I145" s="101" t="s">
        <v>541</v>
      </c>
      <c r="J145" s="101" t="s">
        <v>140</v>
      </c>
      <c r="K145" s="101" t="s">
        <v>529</v>
      </c>
      <c r="L145" s="101" t="s">
        <v>542</v>
      </c>
      <c r="M145" s="101" t="s">
        <v>531</v>
      </c>
      <c r="N145" s="101" t="s">
        <v>532</v>
      </c>
      <c r="O145" s="101" t="s">
        <v>554</v>
      </c>
      <c r="P145" s="101" t="s">
        <v>145</v>
      </c>
      <c r="Q145" s="101" t="s">
        <v>544</v>
      </c>
      <c r="R145" s="101" t="s">
        <v>545</v>
      </c>
      <c r="S145" s="101" t="s">
        <v>546</v>
      </c>
      <c r="T145" s="101" t="s">
        <v>537</v>
      </c>
      <c r="U145" s="101" t="s">
        <v>548</v>
      </c>
      <c r="V145" s="101" t="s">
        <v>155</v>
      </c>
      <c r="W145" s="101" t="s">
        <v>549</v>
      </c>
      <c r="X145" s="104">
        <v>7</v>
      </c>
      <c r="Y145" s="104">
        <v>8</v>
      </c>
      <c r="Z145" s="104">
        <v>6</v>
      </c>
      <c r="AA145" s="104">
        <v>4</v>
      </c>
      <c r="AB145" s="104">
        <v>6</v>
      </c>
      <c r="AC145" s="104">
        <v>6</v>
      </c>
      <c r="AD145" s="104">
        <v>1</v>
      </c>
      <c r="AE145" s="104">
        <v>6</v>
      </c>
      <c r="AF145" s="104">
        <v>3</v>
      </c>
      <c r="AG145" s="104">
        <v>6</v>
      </c>
      <c r="AH145" s="104">
        <v>6</v>
      </c>
      <c r="AI145" s="104">
        <v>3</v>
      </c>
      <c r="AJ145" s="104">
        <v>0</v>
      </c>
      <c r="AK145" s="104">
        <v>4</v>
      </c>
      <c r="AL145" s="104">
        <v>5</v>
      </c>
      <c r="AM145" s="104">
        <v>4</v>
      </c>
      <c r="AN145" s="104">
        <v>5</v>
      </c>
      <c r="AO145" s="104">
        <v>2</v>
      </c>
      <c r="AP145" s="104">
        <v>2</v>
      </c>
      <c r="AQ145" s="104">
        <v>6</v>
      </c>
    </row>
    <row r="146" spans="1:43" x14ac:dyDescent="0.35">
      <c r="A146" s="52">
        <v>143</v>
      </c>
      <c r="B146" s="52" t="s">
        <v>660</v>
      </c>
      <c r="C146" s="93"/>
      <c r="D146" s="101" t="s">
        <v>539</v>
      </c>
      <c r="E146" s="101" t="s">
        <v>569</v>
      </c>
      <c r="F146" s="101" t="s">
        <v>148</v>
      </c>
      <c r="G146" s="101" t="s">
        <v>525</v>
      </c>
      <c r="H146" s="101" t="s">
        <v>561</v>
      </c>
      <c r="I146" s="101" t="s">
        <v>552</v>
      </c>
      <c r="J146" s="101" t="s">
        <v>140</v>
      </c>
      <c r="K146" s="101" t="s">
        <v>529</v>
      </c>
      <c r="L146" s="101" t="s">
        <v>530</v>
      </c>
      <c r="M146" s="101" t="s">
        <v>553</v>
      </c>
      <c r="N146" s="101" t="s">
        <v>532</v>
      </c>
      <c r="O146" s="101" t="s">
        <v>571</v>
      </c>
      <c r="P146" s="101" t="s">
        <v>145</v>
      </c>
      <c r="Q146" s="101" t="s">
        <v>544</v>
      </c>
      <c r="R146" s="101" t="s">
        <v>545</v>
      </c>
      <c r="S146" s="101" t="s">
        <v>546</v>
      </c>
      <c r="T146" s="101" t="s">
        <v>547</v>
      </c>
      <c r="U146" s="101" t="s">
        <v>548</v>
      </c>
      <c r="V146" s="101" t="s">
        <v>81</v>
      </c>
      <c r="W146" s="101" t="s">
        <v>549</v>
      </c>
      <c r="X146" s="104">
        <v>7</v>
      </c>
      <c r="Y146" s="104">
        <v>9</v>
      </c>
      <c r="Z146" s="104">
        <v>3</v>
      </c>
      <c r="AA146" s="104">
        <v>6</v>
      </c>
      <c r="AB146" s="104">
        <v>4</v>
      </c>
      <c r="AC146" s="104">
        <v>5</v>
      </c>
      <c r="AD146" s="104">
        <v>2</v>
      </c>
      <c r="AE146" s="104">
        <v>5</v>
      </c>
      <c r="AF146" s="104">
        <v>6</v>
      </c>
      <c r="AG146" s="104">
        <v>3</v>
      </c>
      <c r="AH146" s="104">
        <v>5</v>
      </c>
      <c r="AI146" s="104">
        <v>4</v>
      </c>
      <c r="AJ146" s="104">
        <v>2</v>
      </c>
      <c r="AK146" s="104">
        <v>4</v>
      </c>
      <c r="AL146" s="104">
        <v>4</v>
      </c>
      <c r="AM146" s="104">
        <v>5</v>
      </c>
      <c r="AN146" s="104">
        <v>3</v>
      </c>
      <c r="AO146" s="104">
        <v>3</v>
      </c>
      <c r="AP146" s="104">
        <v>4</v>
      </c>
      <c r="AQ146" s="104">
        <v>6</v>
      </c>
    </row>
    <row r="147" spans="1:43" x14ac:dyDescent="0.35">
      <c r="A147" s="52">
        <v>144</v>
      </c>
      <c r="B147" s="52" t="s">
        <v>652</v>
      </c>
      <c r="C147" s="93"/>
      <c r="D147" s="101" t="s">
        <v>539</v>
      </c>
      <c r="E147" s="101" t="s">
        <v>523</v>
      </c>
      <c r="F147" s="101" t="s">
        <v>148</v>
      </c>
      <c r="G147" s="101" t="s">
        <v>138</v>
      </c>
      <c r="H147" s="101" t="s">
        <v>526</v>
      </c>
      <c r="I147" s="101" t="s">
        <v>552</v>
      </c>
      <c r="J147" s="101" t="s">
        <v>558</v>
      </c>
      <c r="K147" s="101" t="s">
        <v>529</v>
      </c>
      <c r="L147" s="101" t="s">
        <v>542</v>
      </c>
      <c r="M147" s="101" t="s">
        <v>151</v>
      </c>
      <c r="N147" s="101" t="s">
        <v>532</v>
      </c>
      <c r="O147" s="101" t="s">
        <v>571</v>
      </c>
      <c r="P147" s="101" t="s">
        <v>534</v>
      </c>
      <c r="Q147" s="101" t="s">
        <v>564</v>
      </c>
      <c r="R147" s="101" t="s">
        <v>545</v>
      </c>
      <c r="S147" s="101" t="s">
        <v>568</v>
      </c>
      <c r="T147" s="101" t="s">
        <v>547</v>
      </c>
      <c r="U147" s="101" t="s">
        <v>538</v>
      </c>
      <c r="V147" s="101" t="s">
        <v>155</v>
      </c>
      <c r="W147" s="101" t="s">
        <v>555</v>
      </c>
      <c r="X147" s="104">
        <v>7</v>
      </c>
      <c r="Y147" s="104">
        <v>6</v>
      </c>
      <c r="Z147" s="104">
        <v>3</v>
      </c>
      <c r="AA147" s="104">
        <v>1</v>
      </c>
      <c r="AB147" s="104">
        <v>3</v>
      </c>
      <c r="AC147" s="104">
        <v>4</v>
      </c>
      <c r="AD147" s="104">
        <v>4</v>
      </c>
      <c r="AE147" s="104">
        <v>5</v>
      </c>
      <c r="AF147" s="104">
        <v>5</v>
      </c>
      <c r="AG147" s="104">
        <v>2</v>
      </c>
      <c r="AH147" s="104">
        <v>8</v>
      </c>
      <c r="AI147" s="104">
        <v>4</v>
      </c>
      <c r="AJ147" s="104">
        <v>4</v>
      </c>
      <c r="AK147" s="104">
        <v>7</v>
      </c>
      <c r="AL147" s="104">
        <v>4</v>
      </c>
      <c r="AM147" s="104">
        <v>8</v>
      </c>
      <c r="AN147" s="104">
        <v>2</v>
      </c>
      <c r="AO147" s="104">
        <v>5</v>
      </c>
      <c r="AP147" s="104">
        <v>3</v>
      </c>
      <c r="AQ147" s="104">
        <v>5</v>
      </c>
    </row>
    <row r="148" spans="1:43" x14ac:dyDescent="0.35">
      <c r="A148" s="52">
        <v>145</v>
      </c>
      <c r="B148" s="52" t="s">
        <v>675</v>
      </c>
      <c r="C148" s="93"/>
      <c r="D148" s="101" t="s">
        <v>578</v>
      </c>
      <c r="E148" s="101" t="s">
        <v>523</v>
      </c>
      <c r="F148" s="101" t="s">
        <v>524</v>
      </c>
      <c r="G148" s="101" t="s">
        <v>138</v>
      </c>
      <c r="H148" s="101" t="s">
        <v>149</v>
      </c>
      <c r="I148" s="101" t="s">
        <v>527</v>
      </c>
      <c r="J148" s="101" t="s">
        <v>140</v>
      </c>
      <c r="K148" s="101" t="s">
        <v>575</v>
      </c>
      <c r="L148" s="101" t="s">
        <v>542</v>
      </c>
      <c r="M148" s="101" t="s">
        <v>553</v>
      </c>
      <c r="N148" s="101" t="s">
        <v>532</v>
      </c>
      <c r="O148" s="101" t="s">
        <v>571</v>
      </c>
      <c r="P148" s="101" t="s">
        <v>543</v>
      </c>
      <c r="Q148" s="101" t="s">
        <v>544</v>
      </c>
      <c r="R148" s="101" t="s">
        <v>567</v>
      </c>
      <c r="S148" s="101" t="s">
        <v>546</v>
      </c>
      <c r="T148" s="101" t="s">
        <v>537</v>
      </c>
      <c r="U148" s="101" t="s">
        <v>548</v>
      </c>
      <c r="V148" s="101" t="s">
        <v>81</v>
      </c>
      <c r="W148" s="101" t="s">
        <v>549</v>
      </c>
      <c r="X148" s="104">
        <v>8</v>
      </c>
      <c r="Y148" s="104">
        <v>7</v>
      </c>
      <c r="Z148" s="104">
        <v>7</v>
      </c>
      <c r="AA148" s="104">
        <v>1</v>
      </c>
      <c r="AB148" s="104">
        <v>1</v>
      </c>
      <c r="AC148" s="104">
        <v>3</v>
      </c>
      <c r="AD148" s="104">
        <v>2</v>
      </c>
      <c r="AE148" s="104">
        <v>7</v>
      </c>
      <c r="AF148" s="104">
        <v>3</v>
      </c>
      <c r="AG148" s="104">
        <v>4</v>
      </c>
      <c r="AH148" s="104">
        <v>5</v>
      </c>
      <c r="AI148" s="104">
        <v>4</v>
      </c>
      <c r="AJ148" s="104">
        <v>6</v>
      </c>
      <c r="AK148" s="104">
        <v>4</v>
      </c>
      <c r="AL148" s="104">
        <v>6</v>
      </c>
      <c r="AM148" s="104">
        <v>5</v>
      </c>
      <c r="AN148" s="104">
        <v>4</v>
      </c>
      <c r="AO148" s="104">
        <v>2</v>
      </c>
      <c r="AP148" s="104">
        <v>4</v>
      </c>
      <c r="AQ148" s="104">
        <v>7</v>
      </c>
    </row>
    <row r="149" spans="1:43" x14ac:dyDescent="0.35">
      <c r="A149" s="52">
        <v>146</v>
      </c>
      <c r="B149" s="52" t="s">
        <v>1123</v>
      </c>
      <c r="C149" s="93"/>
      <c r="D149" s="93" t="s">
        <v>522</v>
      </c>
      <c r="E149" s="93" t="s">
        <v>569</v>
      </c>
      <c r="F149" s="93" t="s">
        <v>524</v>
      </c>
      <c r="G149" s="93" t="s">
        <v>556</v>
      </c>
      <c r="H149" s="93" t="s">
        <v>561</v>
      </c>
      <c r="I149" s="93" t="s">
        <v>552</v>
      </c>
      <c r="J149" s="93" t="s">
        <v>558</v>
      </c>
      <c r="K149" s="93" t="s">
        <v>529</v>
      </c>
      <c r="L149" s="93" t="s">
        <v>152</v>
      </c>
      <c r="M149" s="93" t="s">
        <v>553</v>
      </c>
      <c r="N149" s="93" t="s">
        <v>562</v>
      </c>
      <c r="O149" s="93" t="s">
        <v>571</v>
      </c>
      <c r="P149" s="93" t="s">
        <v>534</v>
      </c>
      <c r="Q149" s="93" t="s">
        <v>544</v>
      </c>
      <c r="R149" s="93" t="s">
        <v>545</v>
      </c>
      <c r="S149" s="93" t="s">
        <v>536</v>
      </c>
      <c r="T149" s="93" t="s">
        <v>537</v>
      </c>
      <c r="U149" s="93" t="s">
        <v>548</v>
      </c>
      <c r="V149" s="93" t="s">
        <v>81</v>
      </c>
      <c r="W149" s="93" t="s">
        <v>574</v>
      </c>
      <c r="X149" s="104">
        <v>4</v>
      </c>
      <c r="Y149" s="104">
        <v>9</v>
      </c>
      <c r="Z149" s="104">
        <v>7</v>
      </c>
      <c r="AA149" s="104">
        <v>2</v>
      </c>
      <c r="AB149" s="104">
        <v>4</v>
      </c>
      <c r="AC149" s="104">
        <v>5</v>
      </c>
      <c r="AD149" s="104">
        <v>5</v>
      </c>
      <c r="AE149" s="104">
        <v>5</v>
      </c>
      <c r="AF149" s="104">
        <v>1</v>
      </c>
      <c r="AG149" s="104">
        <v>5</v>
      </c>
      <c r="AH149" s="104">
        <v>3</v>
      </c>
      <c r="AI149" s="104">
        <v>4</v>
      </c>
      <c r="AJ149" s="104">
        <v>3</v>
      </c>
      <c r="AK149" s="104">
        <v>4</v>
      </c>
      <c r="AL149" s="104">
        <v>5</v>
      </c>
      <c r="AM149" s="104">
        <v>6</v>
      </c>
      <c r="AN149" s="104">
        <v>4</v>
      </c>
      <c r="AO149" s="104">
        <v>2</v>
      </c>
      <c r="AP149" s="104">
        <v>4</v>
      </c>
      <c r="AQ149" s="104">
        <v>8</v>
      </c>
    </row>
    <row r="150" spans="1:43" x14ac:dyDescent="0.35">
      <c r="A150" s="52">
        <v>147</v>
      </c>
      <c r="B150" s="52" t="s">
        <v>1077</v>
      </c>
      <c r="C150" s="93"/>
      <c r="D150" s="93" t="s">
        <v>522</v>
      </c>
      <c r="E150" s="93" t="s">
        <v>523</v>
      </c>
      <c r="F150" s="93" t="s">
        <v>524</v>
      </c>
      <c r="G150" s="93" t="s">
        <v>525</v>
      </c>
      <c r="H150" s="93" t="s">
        <v>551</v>
      </c>
      <c r="I150" s="93" t="s">
        <v>541</v>
      </c>
      <c r="J150" s="93" t="s">
        <v>140</v>
      </c>
      <c r="K150" s="93" t="s">
        <v>529</v>
      </c>
      <c r="L150" s="93" t="s">
        <v>542</v>
      </c>
      <c r="M150" s="93" t="s">
        <v>553</v>
      </c>
      <c r="N150" s="93" t="s">
        <v>142</v>
      </c>
      <c r="O150" s="93" t="s">
        <v>571</v>
      </c>
      <c r="P150" s="93" t="s">
        <v>543</v>
      </c>
      <c r="Q150" s="93" t="s">
        <v>544</v>
      </c>
      <c r="R150" s="93" t="s">
        <v>567</v>
      </c>
      <c r="S150" s="93" t="s">
        <v>546</v>
      </c>
      <c r="T150" s="93" t="s">
        <v>146</v>
      </c>
      <c r="U150" s="93" t="s">
        <v>538</v>
      </c>
      <c r="V150" s="93" t="s">
        <v>81</v>
      </c>
      <c r="W150" s="93" t="s">
        <v>555</v>
      </c>
      <c r="X150" s="104">
        <v>4</v>
      </c>
      <c r="Y150" s="104">
        <v>6</v>
      </c>
      <c r="Z150" s="104">
        <v>5</v>
      </c>
      <c r="AA150" s="104">
        <v>6</v>
      </c>
      <c r="AB150" s="104">
        <v>7</v>
      </c>
      <c r="AC150" s="104">
        <v>6</v>
      </c>
      <c r="AD150" s="104">
        <v>2</v>
      </c>
      <c r="AE150" s="104">
        <v>4</v>
      </c>
      <c r="AF150" s="104">
        <v>3</v>
      </c>
      <c r="AG150" s="104">
        <v>3</v>
      </c>
      <c r="AH150" s="104">
        <v>2</v>
      </c>
      <c r="AI150" s="104">
        <v>4</v>
      </c>
      <c r="AJ150" s="104">
        <v>6</v>
      </c>
      <c r="AK150" s="104">
        <v>5</v>
      </c>
      <c r="AL150" s="104">
        <v>7</v>
      </c>
      <c r="AM150" s="104">
        <v>4</v>
      </c>
      <c r="AN150" s="104">
        <v>1</v>
      </c>
      <c r="AO150" s="104">
        <v>5</v>
      </c>
      <c r="AP150" s="104">
        <v>5</v>
      </c>
      <c r="AQ150" s="104">
        <v>5</v>
      </c>
    </row>
    <row r="151" spans="1:43" x14ac:dyDescent="0.35">
      <c r="A151" s="52">
        <v>148</v>
      </c>
      <c r="B151" s="52" t="s">
        <v>658</v>
      </c>
      <c r="C151" s="93"/>
      <c r="D151" s="101" t="s">
        <v>539</v>
      </c>
      <c r="E151" s="101" t="s">
        <v>540</v>
      </c>
      <c r="F151" s="101" t="s">
        <v>524</v>
      </c>
      <c r="G151" s="101" t="s">
        <v>550</v>
      </c>
      <c r="H151" s="101" t="s">
        <v>551</v>
      </c>
      <c r="I151" s="101" t="s">
        <v>552</v>
      </c>
      <c r="J151" s="101" t="s">
        <v>558</v>
      </c>
      <c r="K151" s="101" t="s">
        <v>529</v>
      </c>
      <c r="L151" s="101" t="s">
        <v>542</v>
      </c>
      <c r="M151" s="101" t="s">
        <v>553</v>
      </c>
      <c r="N151" s="101" t="s">
        <v>532</v>
      </c>
      <c r="O151" s="101" t="s">
        <v>554</v>
      </c>
      <c r="P151" s="101" t="s">
        <v>534</v>
      </c>
      <c r="Q151" s="101" t="s">
        <v>535</v>
      </c>
      <c r="R151" s="101" t="s">
        <v>545</v>
      </c>
      <c r="S151" s="101" t="s">
        <v>546</v>
      </c>
      <c r="T151" s="101" t="s">
        <v>537</v>
      </c>
      <c r="U151" s="101" t="s">
        <v>538</v>
      </c>
      <c r="V151" s="101" t="s">
        <v>155</v>
      </c>
      <c r="W151" s="101" t="s">
        <v>549</v>
      </c>
      <c r="X151" s="105">
        <v>6</v>
      </c>
      <c r="Y151" s="105">
        <v>3</v>
      </c>
      <c r="Z151" s="105">
        <v>6</v>
      </c>
      <c r="AA151" s="105">
        <v>4</v>
      </c>
      <c r="AB151" s="105">
        <v>6</v>
      </c>
      <c r="AC151" s="105">
        <v>5</v>
      </c>
      <c r="AD151" s="105">
        <v>6</v>
      </c>
      <c r="AE151" s="105">
        <v>6</v>
      </c>
      <c r="AF151" s="105">
        <v>3</v>
      </c>
      <c r="AG151" s="105">
        <v>4</v>
      </c>
      <c r="AH151" s="105">
        <v>6</v>
      </c>
      <c r="AI151" s="105">
        <v>2</v>
      </c>
      <c r="AJ151" s="105">
        <v>3</v>
      </c>
      <c r="AK151" s="105">
        <v>3</v>
      </c>
      <c r="AL151" s="105">
        <v>5</v>
      </c>
      <c r="AM151" s="105">
        <v>4</v>
      </c>
      <c r="AN151" s="105">
        <v>4</v>
      </c>
      <c r="AO151" s="105">
        <v>5</v>
      </c>
      <c r="AP151" s="105">
        <v>2</v>
      </c>
      <c r="AQ151" s="105">
        <v>7</v>
      </c>
    </row>
    <row r="152" spans="1:43" x14ac:dyDescent="0.35">
      <c r="A152" s="52">
        <v>149</v>
      </c>
      <c r="B152" s="52" t="s">
        <v>1207</v>
      </c>
      <c r="C152" s="93"/>
      <c r="D152" s="93" t="s">
        <v>522</v>
      </c>
      <c r="E152" s="93" t="s">
        <v>540</v>
      </c>
      <c r="F152" s="93" t="s">
        <v>524</v>
      </c>
      <c r="G152" s="93" t="s">
        <v>556</v>
      </c>
      <c r="H152" s="93" t="s">
        <v>526</v>
      </c>
      <c r="I152" s="93" t="s">
        <v>527</v>
      </c>
      <c r="J152" s="93" t="s">
        <v>140</v>
      </c>
      <c r="K152" s="93" t="s">
        <v>529</v>
      </c>
      <c r="L152" s="93" t="s">
        <v>542</v>
      </c>
      <c r="M152" s="93" t="s">
        <v>553</v>
      </c>
      <c r="N152" s="93" t="s">
        <v>532</v>
      </c>
      <c r="O152" s="93" t="s">
        <v>579</v>
      </c>
      <c r="P152" s="93" t="s">
        <v>543</v>
      </c>
      <c r="Q152" s="93" t="s">
        <v>544</v>
      </c>
      <c r="R152" s="93" t="s">
        <v>567</v>
      </c>
      <c r="S152" s="93" t="s">
        <v>546</v>
      </c>
      <c r="T152" s="93" t="s">
        <v>537</v>
      </c>
      <c r="U152" s="93" t="s">
        <v>538</v>
      </c>
      <c r="V152" s="93" t="s">
        <v>81</v>
      </c>
      <c r="W152" s="93" t="s">
        <v>549</v>
      </c>
      <c r="X152" s="104">
        <v>5</v>
      </c>
      <c r="Y152" s="104">
        <v>4</v>
      </c>
      <c r="Z152" s="104">
        <v>5</v>
      </c>
      <c r="AA152" s="104">
        <v>2</v>
      </c>
      <c r="AB152" s="104">
        <v>2</v>
      </c>
      <c r="AC152" s="104">
        <v>2</v>
      </c>
      <c r="AD152" s="104">
        <v>3</v>
      </c>
      <c r="AE152" s="104">
        <v>4</v>
      </c>
      <c r="AF152" s="104">
        <v>5</v>
      </c>
      <c r="AG152" s="104">
        <v>3</v>
      </c>
      <c r="AH152" s="104">
        <v>8</v>
      </c>
      <c r="AI152" s="104">
        <v>6</v>
      </c>
      <c r="AJ152" s="104">
        <v>5</v>
      </c>
      <c r="AK152" s="104">
        <v>5</v>
      </c>
      <c r="AL152" s="104">
        <v>7</v>
      </c>
      <c r="AM152" s="104">
        <v>4</v>
      </c>
      <c r="AN152" s="104">
        <v>5</v>
      </c>
      <c r="AO152" s="104">
        <v>4</v>
      </c>
      <c r="AP152" s="104">
        <v>4</v>
      </c>
      <c r="AQ152" s="104">
        <v>7</v>
      </c>
    </row>
    <row r="153" spans="1:43" x14ac:dyDescent="0.35">
      <c r="A153" s="52">
        <v>150</v>
      </c>
      <c r="B153" s="52" t="s">
        <v>678</v>
      </c>
      <c r="C153" s="93"/>
      <c r="D153" s="102" t="s">
        <v>539</v>
      </c>
      <c r="E153" s="102" t="s">
        <v>523</v>
      </c>
      <c r="F153" s="102" t="s">
        <v>524</v>
      </c>
      <c r="G153" s="102" t="s">
        <v>138</v>
      </c>
      <c r="H153" s="102" t="s">
        <v>526</v>
      </c>
      <c r="I153" s="102" t="s">
        <v>527</v>
      </c>
      <c r="J153" s="102" t="s">
        <v>140</v>
      </c>
      <c r="K153" s="102" t="s">
        <v>529</v>
      </c>
      <c r="L153" s="102" t="s">
        <v>542</v>
      </c>
      <c r="M153" s="102" t="s">
        <v>531</v>
      </c>
      <c r="N153" s="102" t="s">
        <v>532</v>
      </c>
      <c r="O153" s="102" t="s">
        <v>554</v>
      </c>
      <c r="P153" s="102" t="s">
        <v>543</v>
      </c>
      <c r="Q153" s="102" t="s">
        <v>544</v>
      </c>
      <c r="R153" s="102" t="s">
        <v>545</v>
      </c>
      <c r="S153" s="102" t="s">
        <v>536</v>
      </c>
      <c r="T153" s="102" t="s">
        <v>537</v>
      </c>
      <c r="U153" s="102" t="s">
        <v>548</v>
      </c>
      <c r="V153" s="102" t="s">
        <v>155</v>
      </c>
      <c r="W153" s="102" t="s">
        <v>555</v>
      </c>
      <c r="X153" s="104">
        <v>7</v>
      </c>
      <c r="Y153" s="104">
        <v>7</v>
      </c>
      <c r="Z153" s="104">
        <v>7</v>
      </c>
      <c r="AA153" s="104">
        <v>1</v>
      </c>
      <c r="AB153" s="104">
        <v>2</v>
      </c>
      <c r="AC153" s="104">
        <v>3</v>
      </c>
      <c r="AD153" s="104">
        <v>2</v>
      </c>
      <c r="AE153" s="104">
        <v>5</v>
      </c>
      <c r="AF153" s="104">
        <v>4</v>
      </c>
      <c r="AG153" s="104">
        <v>7</v>
      </c>
      <c r="AH153" s="104">
        <v>7</v>
      </c>
      <c r="AI153" s="104">
        <v>2</v>
      </c>
      <c r="AJ153" s="104">
        <v>6</v>
      </c>
      <c r="AK153" s="104">
        <v>5</v>
      </c>
      <c r="AL153" s="104">
        <v>4</v>
      </c>
      <c r="AM153" s="104">
        <v>6</v>
      </c>
      <c r="AN153" s="104">
        <v>5</v>
      </c>
      <c r="AO153" s="104">
        <v>3</v>
      </c>
      <c r="AP153" s="104">
        <v>3</v>
      </c>
      <c r="AQ153" s="104">
        <v>4</v>
      </c>
    </row>
    <row r="154" spans="1:43" x14ac:dyDescent="0.35">
      <c r="A154" s="52">
        <v>151</v>
      </c>
      <c r="B154" s="52" t="s">
        <v>271</v>
      </c>
      <c r="C154" s="93"/>
      <c r="D154" s="102" t="s">
        <v>522</v>
      </c>
      <c r="E154" s="102" t="s">
        <v>523</v>
      </c>
      <c r="F154" s="102" t="s">
        <v>148</v>
      </c>
      <c r="G154" s="102" t="s">
        <v>556</v>
      </c>
      <c r="H154" s="102" t="s">
        <v>526</v>
      </c>
      <c r="I154" s="102" t="s">
        <v>552</v>
      </c>
      <c r="J154" s="102" t="s">
        <v>558</v>
      </c>
      <c r="K154" s="102" t="s">
        <v>529</v>
      </c>
      <c r="L154" s="102" t="s">
        <v>530</v>
      </c>
      <c r="M154" s="102" t="s">
        <v>553</v>
      </c>
      <c r="N154" s="102" t="s">
        <v>142</v>
      </c>
      <c r="O154" s="102" t="s">
        <v>554</v>
      </c>
      <c r="P154" s="102" t="s">
        <v>543</v>
      </c>
      <c r="Q154" s="102" t="s">
        <v>544</v>
      </c>
      <c r="R154" s="102" t="s">
        <v>567</v>
      </c>
      <c r="S154" s="102" t="s">
        <v>546</v>
      </c>
      <c r="T154" s="102" t="s">
        <v>537</v>
      </c>
      <c r="U154" s="102" t="s">
        <v>538</v>
      </c>
      <c r="V154" s="102" t="s">
        <v>81</v>
      </c>
      <c r="W154" s="102" t="s">
        <v>549</v>
      </c>
      <c r="X154" s="104">
        <v>5</v>
      </c>
      <c r="Y154" s="104">
        <v>5</v>
      </c>
      <c r="Z154" s="104">
        <v>3</v>
      </c>
      <c r="AA154" s="104">
        <v>3</v>
      </c>
      <c r="AB154" s="104">
        <v>2</v>
      </c>
      <c r="AC154" s="104">
        <v>4</v>
      </c>
      <c r="AD154" s="104">
        <v>5</v>
      </c>
      <c r="AE154" s="104">
        <v>4</v>
      </c>
      <c r="AF154" s="104">
        <v>6</v>
      </c>
      <c r="AG154" s="104">
        <v>5</v>
      </c>
      <c r="AH154" s="104">
        <v>2</v>
      </c>
      <c r="AI154" s="104">
        <v>2</v>
      </c>
      <c r="AJ154" s="104">
        <v>6</v>
      </c>
      <c r="AK154" s="104">
        <v>6</v>
      </c>
      <c r="AL154" s="104">
        <v>6</v>
      </c>
      <c r="AM154" s="104">
        <v>5</v>
      </c>
      <c r="AN154" s="104">
        <v>4</v>
      </c>
      <c r="AO154" s="104">
        <v>5</v>
      </c>
      <c r="AP154" s="104">
        <v>5</v>
      </c>
      <c r="AQ154" s="104">
        <v>7</v>
      </c>
    </row>
    <row r="155" spans="1:43" x14ac:dyDescent="0.35">
      <c r="A155" s="52">
        <v>152</v>
      </c>
      <c r="B155" s="52" t="s">
        <v>337</v>
      </c>
      <c r="C155" s="93"/>
      <c r="D155" s="102" t="s">
        <v>539</v>
      </c>
      <c r="E155" s="102" t="s">
        <v>523</v>
      </c>
      <c r="F155" s="102" t="s">
        <v>148</v>
      </c>
      <c r="G155" s="102" t="s">
        <v>556</v>
      </c>
      <c r="H155" s="102" t="s">
        <v>566</v>
      </c>
      <c r="I155" s="102" t="s">
        <v>527</v>
      </c>
      <c r="J155" s="102" t="s">
        <v>140</v>
      </c>
      <c r="K155" s="102" t="s">
        <v>529</v>
      </c>
      <c r="L155" s="102" t="s">
        <v>530</v>
      </c>
      <c r="M155" s="102" t="s">
        <v>553</v>
      </c>
      <c r="N155" s="102" t="s">
        <v>532</v>
      </c>
      <c r="O155" s="102" t="s">
        <v>554</v>
      </c>
      <c r="P155" s="102" t="s">
        <v>543</v>
      </c>
      <c r="Q155" s="102" t="s">
        <v>544</v>
      </c>
      <c r="R155" s="102" t="s">
        <v>545</v>
      </c>
      <c r="S155" s="102" t="s">
        <v>536</v>
      </c>
      <c r="T155" s="102" t="s">
        <v>537</v>
      </c>
      <c r="U155" s="102" t="s">
        <v>154</v>
      </c>
      <c r="V155" s="102" t="s">
        <v>155</v>
      </c>
      <c r="W155" s="102" t="s">
        <v>549</v>
      </c>
      <c r="X155" s="104">
        <v>7</v>
      </c>
      <c r="Y155" s="104">
        <v>6</v>
      </c>
      <c r="Z155" s="104">
        <v>4</v>
      </c>
      <c r="AA155" s="104">
        <v>2</v>
      </c>
      <c r="AB155" s="104">
        <v>5</v>
      </c>
      <c r="AC155" s="104">
        <v>3</v>
      </c>
      <c r="AD155" s="104">
        <v>2</v>
      </c>
      <c r="AE155" s="104">
        <v>6</v>
      </c>
      <c r="AF155" s="104">
        <v>6</v>
      </c>
      <c r="AG155" s="104">
        <v>5</v>
      </c>
      <c r="AH155" s="104">
        <v>7</v>
      </c>
      <c r="AI155" s="104">
        <v>3</v>
      </c>
      <c r="AJ155" s="104">
        <v>5</v>
      </c>
      <c r="AK155" s="104">
        <v>6</v>
      </c>
      <c r="AL155" s="104">
        <v>4</v>
      </c>
      <c r="AM155" s="104">
        <v>6</v>
      </c>
      <c r="AN155" s="104">
        <v>4</v>
      </c>
      <c r="AO155" s="104">
        <v>0</v>
      </c>
      <c r="AP155" s="104">
        <v>3</v>
      </c>
      <c r="AQ155" s="104">
        <v>6</v>
      </c>
    </row>
    <row r="156" spans="1:43" x14ac:dyDescent="0.35">
      <c r="A156" s="52">
        <v>153</v>
      </c>
      <c r="B156" s="52" t="s">
        <v>965</v>
      </c>
      <c r="C156" s="93"/>
      <c r="D156" s="52" t="s">
        <v>539</v>
      </c>
      <c r="E156" s="52" t="s">
        <v>540</v>
      </c>
      <c r="F156" s="52" t="s">
        <v>148</v>
      </c>
      <c r="G156" s="52" t="s">
        <v>550</v>
      </c>
      <c r="H156" s="52" t="s">
        <v>561</v>
      </c>
      <c r="I156" s="52" t="s">
        <v>541</v>
      </c>
      <c r="J156" s="52" t="s">
        <v>140</v>
      </c>
      <c r="K156" s="52" t="s">
        <v>141</v>
      </c>
      <c r="L156" s="52" t="s">
        <v>542</v>
      </c>
      <c r="M156" s="52" t="s">
        <v>553</v>
      </c>
      <c r="N156" s="52" t="s">
        <v>532</v>
      </c>
      <c r="O156" s="52" t="s">
        <v>554</v>
      </c>
      <c r="P156" s="52" t="s">
        <v>534</v>
      </c>
      <c r="Q156" s="52" t="s">
        <v>544</v>
      </c>
      <c r="R156" s="52" t="s">
        <v>567</v>
      </c>
      <c r="S156" s="52" t="s">
        <v>536</v>
      </c>
      <c r="T156" s="52" t="s">
        <v>537</v>
      </c>
      <c r="U156" s="52" t="s">
        <v>538</v>
      </c>
      <c r="V156" s="52" t="s">
        <v>155</v>
      </c>
      <c r="W156" s="52" t="s">
        <v>549</v>
      </c>
      <c r="X156" s="104">
        <v>6</v>
      </c>
      <c r="Y156" s="104">
        <v>4</v>
      </c>
      <c r="Z156" s="104">
        <v>4</v>
      </c>
      <c r="AA156" s="104">
        <v>4</v>
      </c>
      <c r="AB156" s="104">
        <v>4</v>
      </c>
      <c r="AC156" s="104">
        <v>7</v>
      </c>
      <c r="AD156" s="104">
        <v>2</v>
      </c>
      <c r="AE156" s="104">
        <v>2</v>
      </c>
      <c r="AF156" s="104">
        <v>5</v>
      </c>
      <c r="AG156" s="104">
        <v>3</v>
      </c>
      <c r="AH156" s="104">
        <v>6</v>
      </c>
      <c r="AI156" s="104">
        <v>3</v>
      </c>
      <c r="AJ156" s="104">
        <v>3</v>
      </c>
      <c r="AK156" s="104">
        <v>5</v>
      </c>
      <c r="AL156" s="104">
        <v>6</v>
      </c>
      <c r="AM156" s="104">
        <v>7</v>
      </c>
      <c r="AN156" s="104">
        <v>6</v>
      </c>
      <c r="AO156" s="104">
        <v>4</v>
      </c>
      <c r="AP156" s="104">
        <v>2</v>
      </c>
      <c r="AQ156" s="104">
        <v>7</v>
      </c>
    </row>
    <row r="157" spans="1:43" x14ac:dyDescent="0.35">
      <c r="A157" s="52">
        <v>154</v>
      </c>
      <c r="B157" s="52" t="s">
        <v>1087</v>
      </c>
      <c r="C157" s="93"/>
      <c r="D157" s="52" t="s">
        <v>539</v>
      </c>
      <c r="E157" s="52" t="s">
        <v>523</v>
      </c>
      <c r="F157" s="52" t="s">
        <v>148</v>
      </c>
      <c r="G157" s="52" t="s">
        <v>550</v>
      </c>
      <c r="H157" s="52" t="s">
        <v>526</v>
      </c>
      <c r="I157" s="52" t="s">
        <v>552</v>
      </c>
      <c r="J157" s="52" t="s">
        <v>558</v>
      </c>
      <c r="K157" s="52" t="s">
        <v>529</v>
      </c>
      <c r="L157" s="52" t="s">
        <v>530</v>
      </c>
      <c r="M157" s="52" t="s">
        <v>531</v>
      </c>
      <c r="N157" s="52" t="s">
        <v>532</v>
      </c>
      <c r="O157" s="52" t="s">
        <v>554</v>
      </c>
      <c r="P157" s="52" t="s">
        <v>543</v>
      </c>
      <c r="Q157" s="52" t="s">
        <v>544</v>
      </c>
      <c r="R157" s="52" t="s">
        <v>143</v>
      </c>
      <c r="S157" s="52" t="s">
        <v>536</v>
      </c>
      <c r="T157" s="52" t="s">
        <v>547</v>
      </c>
      <c r="U157" s="52" t="s">
        <v>548</v>
      </c>
      <c r="V157" s="52" t="s">
        <v>155</v>
      </c>
      <c r="W157" s="52" t="s">
        <v>555</v>
      </c>
      <c r="X157" s="104">
        <v>6</v>
      </c>
      <c r="Y157" s="104">
        <v>5</v>
      </c>
      <c r="Z157" s="104">
        <v>3</v>
      </c>
      <c r="AA157" s="104">
        <v>4</v>
      </c>
      <c r="AB157" s="104">
        <v>3</v>
      </c>
      <c r="AC157" s="104">
        <v>5</v>
      </c>
      <c r="AD157" s="104">
        <v>5</v>
      </c>
      <c r="AE157" s="104">
        <v>3</v>
      </c>
      <c r="AF157" s="104">
        <v>8</v>
      </c>
      <c r="AG157" s="104">
        <v>6</v>
      </c>
      <c r="AH157" s="104">
        <v>8</v>
      </c>
      <c r="AI157" s="104">
        <v>2</v>
      </c>
      <c r="AJ157" s="104">
        <v>5</v>
      </c>
      <c r="AK157" s="104">
        <v>5</v>
      </c>
      <c r="AL157" s="104">
        <v>3</v>
      </c>
      <c r="AM157" s="104">
        <v>7</v>
      </c>
      <c r="AN157" s="104">
        <v>2</v>
      </c>
      <c r="AO157" s="104">
        <v>3</v>
      </c>
      <c r="AP157" s="104">
        <v>2</v>
      </c>
      <c r="AQ157" s="104">
        <v>5</v>
      </c>
    </row>
    <row r="158" spans="1:43" x14ac:dyDescent="0.35">
      <c r="A158" s="52">
        <v>155</v>
      </c>
      <c r="B158" s="52" t="s">
        <v>950</v>
      </c>
      <c r="C158" s="93"/>
      <c r="D158" s="52" t="s">
        <v>539</v>
      </c>
      <c r="E158" s="52" t="s">
        <v>523</v>
      </c>
      <c r="F158" s="52" t="s">
        <v>524</v>
      </c>
      <c r="G158" s="52" t="s">
        <v>550</v>
      </c>
      <c r="H158" s="52" t="s">
        <v>526</v>
      </c>
      <c r="I158" s="52" t="s">
        <v>541</v>
      </c>
      <c r="J158" s="52" t="s">
        <v>140</v>
      </c>
      <c r="K158" s="52" t="s">
        <v>529</v>
      </c>
      <c r="L158" s="52" t="s">
        <v>542</v>
      </c>
      <c r="M158" s="52" t="s">
        <v>553</v>
      </c>
      <c r="N158" s="52" t="s">
        <v>532</v>
      </c>
      <c r="O158" s="52" t="s">
        <v>571</v>
      </c>
      <c r="P158" s="52" t="s">
        <v>534</v>
      </c>
      <c r="Q158" s="52" t="s">
        <v>544</v>
      </c>
      <c r="R158" s="52" t="s">
        <v>143</v>
      </c>
      <c r="S158" s="52" t="s">
        <v>536</v>
      </c>
      <c r="T158" s="52" t="s">
        <v>537</v>
      </c>
      <c r="U158" s="52" t="s">
        <v>548</v>
      </c>
      <c r="V158" s="52" t="s">
        <v>155</v>
      </c>
      <c r="W158" s="52" t="s">
        <v>555</v>
      </c>
      <c r="X158" s="104">
        <v>7</v>
      </c>
      <c r="Y158" s="104">
        <v>6</v>
      </c>
      <c r="Z158" s="104">
        <v>6</v>
      </c>
      <c r="AA158" s="104">
        <v>4</v>
      </c>
      <c r="AB158" s="104">
        <v>3</v>
      </c>
      <c r="AC158" s="104">
        <v>6</v>
      </c>
      <c r="AD158" s="104">
        <v>3</v>
      </c>
      <c r="AE158" s="104">
        <v>3</v>
      </c>
      <c r="AF158" s="104">
        <v>4</v>
      </c>
      <c r="AG158" s="104">
        <v>4</v>
      </c>
      <c r="AH158" s="104">
        <v>7</v>
      </c>
      <c r="AI158" s="104">
        <v>4</v>
      </c>
      <c r="AJ158" s="104">
        <v>3</v>
      </c>
      <c r="AK158" s="104">
        <v>4</v>
      </c>
      <c r="AL158" s="104">
        <v>3</v>
      </c>
      <c r="AM158" s="104">
        <v>7</v>
      </c>
      <c r="AN158" s="104">
        <v>6</v>
      </c>
      <c r="AO158" s="104">
        <v>3</v>
      </c>
      <c r="AP158" s="104">
        <v>2</v>
      </c>
      <c r="AQ158" s="104">
        <v>5</v>
      </c>
    </row>
    <row r="159" spans="1:43" x14ac:dyDescent="0.35">
      <c r="A159" s="52">
        <v>156</v>
      </c>
      <c r="B159" s="52" t="s">
        <v>1167</v>
      </c>
      <c r="C159" s="93"/>
      <c r="D159" s="52" t="s">
        <v>539</v>
      </c>
      <c r="E159" s="52" t="s">
        <v>523</v>
      </c>
      <c r="F159" s="52" t="s">
        <v>524</v>
      </c>
      <c r="G159" s="52" t="s">
        <v>138</v>
      </c>
      <c r="H159" s="52" t="s">
        <v>526</v>
      </c>
      <c r="I159" s="52" t="s">
        <v>541</v>
      </c>
      <c r="J159" s="52" t="s">
        <v>140</v>
      </c>
      <c r="K159" s="52" t="s">
        <v>529</v>
      </c>
      <c r="L159" s="52" t="s">
        <v>542</v>
      </c>
      <c r="M159" s="52" t="s">
        <v>553</v>
      </c>
      <c r="N159" s="52" t="s">
        <v>532</v>
      </c>
      <c r="O159" s="52" t="s">
        <v>554</v>
      </c>
      <c r="P159" s="52" t="s">
        <v>543</v>
      </c>
      <c r="Q159" s="52" t="s">
        <v>544</v>
      </c>
      <c r="R159" s="52" t="s">
        <v>567</v>
      </c>
      <c r="S159" s="52" t="s">
        <v>536</v>
      </c>
      <c r="T159" s="52" t="s">
        <v>547</v>
      </c>
      <c r="U159" s="52" t="s">
        <v>538</v>
      </c>
      <c r="V159" s="52" t="s">
        <v>155</v>
      </c>
      <c r="W159" s="52" t="s">
        <v>549</v>
      </c>
      <c r="X159" s="104">
        <v>7</v>
      </c>
      <c r="Y159" s="104">
        <v>5</v>
      </c>
      <c r="Z159" s="104">
        <v>5</v>
      </c>
      <c r="AA159" s="104">
        <v>1</v>
      </c>
      <c r="AB159" s="104">
        <v>3</v>
      </c>
      <c r="AC159" s="104">
        <v>6</v>
      </c>
      <c r="AD159" s="104">
        <v>2</v>
      </c>
      <c r="AE159" s="104">
        <v>3</v>
      </c>
      <c r="AF159" s="104">
        <v>4</v>
      </c>
      <c r="AG159" s="104">
        <v>4</v>
      </c>
      <c r="AH159" s="104">
        <v>7</v>
      </c>
      <c r="AI159" s="104">
        <v>2</v>
      </c>
      <c r="AJ159" s="104">
        <v>6</v>
      </c>
      <c r="AK159" s="104">
        <v>6</v>
      </c>
      <c r="AL159" s="104">
        <v>7</v>
      </c>
      <c r="AM159" s="104">
        <v>7</v>
      </c>
      <c r="AN159" s="104">
        <v>2</v>
      </c>
      <c r="AO159" s="104">
        <v>5</v>
      </c>
      <c r="AP159" s="104">
        <v>2</v>
      </c>
      <c r="AQ159" s="104">
        <v>6</v>
      </c>
    </row>
    <row r="160" spans="1:43" x14ac:dyDescent="0.35">
      <c r="A160" s="52">
        <v>157</v>
      </c>
      <c r="B160" s="52" t="s">
        <v>1039</v>
      </c>
      <c r="C160" s="93"/>
      <c r="D160" s="52" t="s">
        <v>522</v>
      </c>
      <c r="E160" s="52" t="s">
        <v>523</v>
      </c>
      <c r="F160" s="52" t="s">
        <v>524</v>
      </c>
      <c r="G160" s="52" t="s">
        <v>550</v>
      </c>
      <c r="H160" s="52" t="s">
        <v>551</v>
      </c>
      <c r="I160" s="52" t="s">
        <v>541</v>
      </c>
      <c r="J160" s="52" t="s">
        <v>558</v>
      </c>
      <c r="K160" s="52" t="s">
        <v>529</v>
      </c>
      <c r="L160" s="52" t="s">
        <v>530</v>
      </c>
      <c r="M160" s="52" t="s">
        <v>151</v>
      </c>
      <c r="N160" s="52" t="s">
        <v>532</v>
      </c>
      <c r="O160" s="52" t="s">
        <v>150</v>
      </c>
      <c r="P160" s="52" t="s">
        <v>145</v>
      </c>
      <c r="Q160" s="52" t="s">
        <v>535</v>
      </c>
      <c r="R160" s="52" t="s">
        <v>143</v>
      </c>
      <c r="S160" s="52" t="s">
        <v>536</v>
      </c>
      <c r="T160" s="52" t="s">
        <v>537</v>
      </c>
      <c r="U160" s="52" t="s">
        <v>576</v>
      </c>
      <c r="V160" s="52" t="s">
        <v>155</v>
      </c>
      <c r="W160" s="52" t="s">
        <v>156</v>
      </c>
      <c r="X160" s="104">
        <v>5</v>
      </c>
      <c r="Y160" s="104">
        <v>7</v>
      </c>
      <c r="Z160" s="104">
        <v>7</v>
      </c>
      <c r="AA160" s="104">
        <v>4</v>
      </c>
      <c r="AB160" s="104">
        <v>6</v>
      </c>
      <c r="AC160" s="104">
        <v>7</v>
      </c>
      <c r="AD160" s="104">
        <v>4</v>
      </c>
      <c r="AE160" s="104">
        <v>5</v>
      </c>
      <c r="AF160" s="104">
        <v>6</v>
      </c>
      <c r="AG160" s="104">
        <v>2</v>
      </c>
      <c r="AH160" s="104">
        <v>8</v>
      </c>
      <c r="AI160" s="104">
        <v>1</v>
      </c>
      <c r="AJ160" s="104">
        <v>0</v>
      </c>
      <c r="AK160" s="104">
        <v>2</v>
      </c>
      <c r="AL160" s="104">
        <v>3</v>
      </c>
      <c r="AM160" s="104">
        <v>6</v>
      </c>
      <c r="AN160" s="104">
        <v>5</v>
      </c>
      <c r="AO160" s="104">
        <v>7</v>
      </c>
      <c r="AP160" s="104">
        <v>2</v>
      </c>
      <c r="AQ160" s="104">
        <v>3</v>
      </c>
    </row>
    <row r="161" spans="1:43" x14ac:dyDescent="0.35">
      <c r="A161" s="52">
        <v>158</v>
      </c>
      <c r="B161" s="52" t="s">
        <v>984</v>
      </c>
      <c r="C161" s="93"/>
      <c r="D161" s="52" t="s">
        <v>522</v>
      </c>
      <c r="E161" s="52" t="s">
        <v>569</v>
      </c>
      <c r="F161" s="52" t="s">
        <v>524</v>
      </c>
      <c r="G161" s="52" t="s">
        <v>556</v>
      </c>
      <c r="H161" s="52" t="s">
        <v>526</v>
      </c>
      <c r="I161" s="52" t="s">
        <v>552</v>
      </c>
      <c r="J161" s="52" t="s">
        <v>140</v>
      </c>
      <c r="K161" s="52" t="s">
        <v>529</v>
      </c>
      <c r="L161" s="52" t="s">
        <v>542</v>
      </c>
      <c r="M161" s="52" t="s">
        <v>531</v>
      </c>
      <c r="N161" s="52" t="s">
        <v>532</v>
      </c>
      <c r="O161" s="52" t="s">
        <v>571</v>
      </c>
      <c r="P161" s="52" t="s">
        <v>543</v>
      </c>
      <c r="Q161" s="52" t="s">
        <v>544</v>
      </c>
      <c r="R161" s="52" t="s">
        <v>545</v>
      </c>
      <c r="S161" s="52" t="s">
        <v>568</v>
      </c>
      <c r="T161" s="52" t="s">
        <v>537</v>
      </c>
      <c r="U161" s="52" t="s">
        <v>548</v>
      </c>
      <c r="V161" s="52" t="s">
        <v>155</v>
      </c>
      <c r="W161" s="52" t="s">
        <v>555</v>
      </c>
      <c r="X161" s="104">
        <v>5</v>
      </c>
      <c r="Y161" s="104">
        <v>8</v>
      </c>
      <c r="Z161" s="104">
        <v>6</v>
      </c>
      <c r="AA161" s="104">
        <v>2</v>
      </c>
      <c r="AB161" s="104">
        <v>3</v>
      </c>
      <c r="AC161" s="104">
        <v>4</v>
      </c>
      <c r="AD161" s="104">
        <v>0</v>
      </c>
      <c r="AE161" s="104">
        <v>4</v>
      </c>
      <c r="AF161" s="104">
        <v>3</v>
      </c>
      <c r="AG161" s="104">
        <v>7</v>
      </c>
      <c r="AH161" s="104">
        <v>8</v>
      </c>
      <c r="AI161" s="104">
        <v>4</v>
      </c>
      <c r="AJ161" s="104">
        <v>5</v>
      </c>
      <c r="AK161" s="104">
        <v>4</v>
      </c>
      <c r="AL161" s="104">
        <v>5</v>
      </c>
      <c r="AM161" s="104">
        <v>8</v>
      </c>
      <c r="AN161" s="104">
        <v>5</v>
      </c>
      <c r="AO161" s="104">
        <v>3</v>
      </c>
      <c r="AP161" s="104">
        <v>2</v>
      </c>
      <c r="AQ161" s="104">
        <v>4</v>
      </c>
    </row>
    <row r="162" spans="1:43" x14ac:dyDescent="0.35">
      <c r="A162" s="52">
        <v>159</v>
      </c>
      <c r="B162" s="52" t="s">
        <v>1013</v>
      </c>
      <c r="C162" s="93"/>
      <c r="D162" s="52" t="s">
        <v>539</v>
      </c>
      <c r="E162" s="52" t="s">
        <v>523</v>
      </c>
      <c r="F162" s="52" t="s">
        <v>148</v>
      </c>
      <c r="G162" s="52" t="s">
        <v>556</v>
      </c>
      <c r="H162" s="52" t="s">
        <v>566</v>
      </c>
      <c r="I162" s="52" t="s">
        <v>527</v>
      </c>
      <c r="J162" s="52" t="s">
        <v>140</v>
      </c>
      <c r="K162" s="52" t="s">
        <v>529</v>
      </c>
      <c r="L162" s="52" t="s">
        <v>542</v>
      </c>
      <c r="M162" s="52" t="s">
        <v>553</v>
      </c>
      <c r="N162" s="52" t="s">
        <v>532</v>
      </c>
      <c r="O162" s="52" t="s">
        <v>554</v>
      </c>
      <c r="P162" s="52" t="s">
        <v>543</v>
      </c>
      <c r="Q162" s="52" t="s">
        <v>544</v>
      </c>
      <c r="R162" s="52" t="s">
        <v>545</v>
      </c>
      <c r="S162" s="52" t="s">
        <v>536</v>
      </c>
      <c r="T162" s="52" t="s">
        <v>537</v>
      </c>
      <c r="U162" s="52" t="s">
        <v>548</v>
      </c>
      <c r="V162" s="52" t="s">
        <v>155</v>
      </c>
      <c r="W162" s="52" t="s">
        <v>549</v>
      </c>
      <c r="X162" s="104">
        <v>6</v>
      </c>
      <c r="Y162" s="104">
        <v>5</v>
      </c>
      <c r="Z162" s="104">
        <v>4</v>
      </c>
      <c r="AA162" s="104">
        <v>2</v>
      </c>
      <c r="AB162" s="104">
        <v>5</v>
      </c>
      <c r="AC162" s="104">
        <v>3</v>
      </c>
      <c r="AD162" s="104">
        <v>3</v>
      </c>
      <c r="AE162" s="104">
        <v>3</v>
      </c>
      <c r="AF162" s="104">
        <v>5</v>
      </c>
      <c r="AG162" s="104">
        <v>4</v>
      </c>
      <c r="AH162" s="104">
        <v>8</v>
      </c>
      <c r="AI162" s="104">
        <v>3</v>
      </c>
      <c r="AJ162" s="104">
        <v>6</v>
      </c>
      <c r="AK162" s="104">
        <v>5</v>
      </c>
      <c r="AL162" s="104">
        <v>4</v>
      </c>
      <c r="AM162" s="104">
        <v>7</v>
      </c>
      <c r="AN162" s="104">
        <v>6</v>
      </c>
      <c r="AO162" s="104">
        <v>2</v>
      </c>
      <c r="AP162" s="104">
        <v>3</v>
      </c>
      <c r="AQ162" s="104">
        <v>6</v>
      </c>
    </row>
    <row r="163" spans="1:43" x14ac:dyDescent="0.35">
      <c r="A163" s="52">
        <v>160</v>
      </c>
      <c r="B163" s="52" t="s">
        <v>1042</v>
      </c>
      <c r="C163" s="93"/>
      <c r="D163" s="52" t="s">
        <v>539</v>
      </c>
      <c r="E163" s="52" t="s">
        <v>523</v>
      </c>
      <c r="F163" s="52" t="s">
        <v>524</v>
      </c>
      <c r="G163" s="52" t="s">
        <v>550</v>
      </c>
      <c r="H163" s="52" t="s">
        <v>561</v>
      </c>
      <c r="I163" s="52" t="s">
        <v>527</v>
      </c>
      <c r="J163" s="52" t="s">
        <v>140</v>
      </c>
      <c r="K163" s="52" t="s">
        <v>529</v>
      </c>
      <c r="L163" s="52" t="s">
        <v>542</v>
      </c>
      <c r="M163" s="52" t="s">
        <v>553</v>
      </c>
      <c r="N163" s="52" t="s">
        <v>532</v>
      </c>
      <c r="O163" s="52" t="s">
        <v>554</v>
      </c>
      <c r="P163" s="52" t="s">
        <v>543</v>
      </c>
      <c r="Q163" s="52" t="s">
        <v>544</v>
      </c>
      <c r="R163" s="52" t="s">
        <v>567</v>
      </c>
      <c r="S163" s="52" t="s">
        <v>546</v>
      </c>
      <c r="T163" s="52" t="s">
        <v>537</v>
      </c>
      <c r="U163" s="52" t="s">
        <v>548</v>
      </c>
      <c r="V163" s="52" t="s">
        <v>155</v>
      </c>
      <c r="W163" s="52" t="s">
        <v>549</v>
      </c>
      <c r="X163" s="104">
        <v>7</v>
      </c>
      <c r="Y163" s="104">
        <v>5</v>
      </c>
      <c r="Z163" s="104">
        <v>6</v>
      </c>
      <c r="AA163" s="104">
        <v>4</v>
      </c>
      <c r="AB163" s="104">
        <v>4</v>
      </c>
      <c r="AC163" s="104">
        <v>3</v>
      </c>
      <c r="AD163" s="104">
        <v>1</v>
      </c>
      <c r="AE163" s="104">
        <v>4</v>
      </c>
      <c r="AF163" s="104">
        <v>3</v>
      </c>
      <c r="AG163" s="104">
        <v>5</v>
      </c>
      <c r="AH163" s="104">
        <v>6</v>
      </c>
      <c r="AI163" s="104">
        <v>3</v>
      </c>
      <c r="AJ163" s="104">
        <v>6</v>
      </c>
      <c r="AK163" s="104">
        <v>5</v>
      </c>
      <c r="AL163" s="104">
        <v>7</v>
      </c>
      <c r="AM163" s="104">
        <v>5</v>
      </c>
      <c r="AN163" s="104">
        <v>4</v>
      </c>
      <c r="AO163" s="104">
        <v>3</v>
      </c>
      <c r="AP163" s="104">
        <v>3</v>
      </c>
      <c r="AQ163" s="104">
        <v>6</v>
      </c>
    </row>
    <row r="164" spans="1:43" x14ac:dyDescent="0.35">
      <c r="A164" s="52">
        <v>161</v>
      </c>
      <c r="B164" s="52" t="s">
        <v>671</v>
      </c>
      <c r="C164" s="93"/>
      <c r="D164" s="102" t="s">
        <v>539</v>
      </c>
      <c r="E164" s="102" t="s">
        <v>569</v>
      </c>
      <c r="F164" s="102" t="s">
        <v>524</v>
      </c>
      <c r="G164" s="102" t="s">
        <v>556</v>
      </c>
      <c r="H164" s="102" t="s">
        <v>566</v>
      </c>
      <c r="I164" s="102" t="s">
        <v>527</v>
      </c>
      <c r="J164" s="102" t="s">
        <v>140</v>
      </c>
      <c r="K164" s="102" t="s">
        <v>529</v>
      </c>
      <c r="L164" s="102" t="s">
        <v>542</v>
      </c>
      <c r="M164" s="102" t="s">
        <v>531</v>
      </c>
      <c r="N164" s="102" t="s">
        <v>532</v>
      </c>
      <c r="O164" s="102" t="s">
        <v>571</v>
      </c>
      <c r="P164" s="102" t="s">
        <v>543</v>
      </c>
      <c r="Q164" s="102" t="s">
        <v>544</v>
      </c>
      <c r="R164" s="102" t="s">
        <v>567</v>
      </c>
      <c r="S164" s="102" t="s">
        <v>565</v>
      </c>
      <c r="T164" s="102" t="s">
        <v>547</v>
      </c>
      <c r="U164" s="102" t="s">
        <v>548</v>
      </c>
      <c r="V164" s="102" t="s">
        <v>155</v>
      </c>
      <c r="W164" s="102" t="s">
        <v>549</v>
      </c>
      <c r="X164" s="104">
        <v>6</v>
      </c>
      <c r="Y164" s="104">
        <v>8</v>
      </c>
      <c r="Z164" s="104">
        <v>5</v>
      </c>
      <c r="AA164" s="104">
        <v>3</v>
      </c>
      <c r="AB164" s="104">
        <v>5</v>
      </c>
      <c r="AC164" s="104">
        <v>3</v>
      </c>
      <c r="AD164" s="104">
        <v>3</v>
      </c>
      <c r="AE164" s="104">
        <v>3</v>
      </c>
      <c r="AF164" s="104">
        <v>5</v>
      </c>
      <c r="AG164" s="104">
        <v>7</v>
      </c>
      <c r="AH164" s="104">
        <v>5</v>
      </c>
      <c r="AI164" s="104">
        <v>4</v>
      </c>
      <c r="AJ164" s="104">
        <v>6</v>
      </c>
      <c r="AK164" s="104">
        <v>4</v>
      </c>
      <c r="AL164" s="104">
        <v>7</v>
      </c>
      <c r="AM164" s="104">
        <v>2</v>
      </c>
      <c r="AN164" s="104">
        <v>3</v>
      </c>
      <c r="AO164" s="104">
        <v>3</v>
      </c>
      <c r="AP164" s="104">
        <v>2</v>
      </c>
      <c r="AQ164" s="104">
        <v>6</v>
      </c>
    </row>
    <row r="165" spans="1:43" x14ac:dyDescent="0.35">
      <c r="A165" s="52">
        <v>162</v>
      </c>
      <c r="B165" s="52" t="s">
        <v>1415</v>
      </c>
      <c r="C165" s="93"/>
      <c r="D165" s="52" t="s">
        <v>522</v>
      </c>
      <c r="E165" s="52" t="s">
        <v>523</v>
      </c>
      <c r="F165" s="52" t="s">
        <v>524</v>
      </c>
      <c r="G165" s="52" t="s">
        <v>525</v>
      </c>
      <c r="H165" s="52" t="s">
        <v>566</v>
      </c>
      <c r="I165" s="52" t="s">
        <v>139</v>
      </c>
      <c r="J165" s="52" t="s">
        <v>140</v>
      </c>
      <c r="K165" s="52" t="s">
        <v>529</v>
      </c>
      <c r="L165" s="52" t="s">
        <v>542</v>
      </c>
      <c r="M165" s="52" t="s">
        <v>553</v>
      </c>
      <c r="N165" s="52" t="s">
        <v>562</v>
      </c>
      <c r="O165" s="52" t="s">
        <v>554</v>
      </c>
      <c r="P165" s="52" t="s">
        <v>534</v>
      </c>
      <c r="Q165" s="52" t="s">
        <v>544</v>
      </c>
      <c r="R165" s="52" t="s">
        <v>545</v>
      </c>
      <c r="S165" s="52" t="s">
        <v>546</v>
      </c>
      <c r="T165" s="52" t="s">
        <v>537</v>
      </c>
      <c r="U165" s="52" t="s">
        <v>576</v>
      </c>
      <c r="V165" s="52" t="s">
        <v>155</v>
      </c>
      <c r="W165" s="52" t="s">
        <v>549</v>
      </c>
      <c r="X165" s="104">
        <v>3</v>
      </c>
      <c r="Y165" s="104">
        <v>6</v>
      </c>
      <c r="Z165" s="104">
        <v>7</v>
      </c>
      <c r="AA165" s="104">
        <v>7</v>
      </c>
      <c r="AB165" s="104">
        <v>5</v>
      </c>
      <c r="AC165" s="104">
        <v>1</v>
      </c>
      <c r="AD165" s="104">
        <v>3</v>
      </c>
      <c r="AE165" s="104">
        <v>6</v>
      </c>
      <c r="AF165" s="104">
        <v>3</v>
      </c>
      <c r="AG165" s="104">
        <v>4</v>
      </c>
      <c r="AH165" s="104">
        <v>4</v>
      </c>
      <c r="AI165" s="104">
        <v>3</v>
      </c>
      <c r="AJ165" s="104">
        <v>4</v>
      </c>
      <c r="AK165" s="104">
        <v>4</v>
      </c>
      <c r="AL165" s="104">
        <v>4</v>
      </c>
      <c r="AM165" s="104">
        <v>4</v>
      </c>
      <c r="AN165" s="104">
        <v>6</v>
      </c>
      <c r="AO165" s="104">
        <v>7</v>
      </c>
      <c r="AP165" s="104">
        <v>2</v>
      </c>
      <c r="AQ165" s="104">
        <v>7</v>
      </c>
    </row>
    <row r="166" spans="1:43" x14ac:dyDescent="0.35">
      <c r="A166" s="52">
        <v>163</v>
      </c>
      <c r="B166" s="52" t="s">
        <v>1433</v>
      </c>
      <c r="C166" s="93"/>
      <c r="D166" s="52" t="s">
        <v>147</v>
      </c>
      <c r="E166" s="52" t="s">
        <v>523</v>
      </c>
      <c r="F166" s="52" t="s">
        <v>148</v>
      </c>
      <c r="G166" s="52" t="s">
        <v>550</v>
      </c>
      <c r="H166" s="52" t="s">
        <v>551</v>
      </c>
      <c r="I166" s="52" t="s">
        <v>541</v>
      </c>
      <c r="J166" s="52" t="s">
        <v>558</v>
      </c>
      <c r="K166" s="52" t="s">
        <v>529</v>
      </c>
      <c r="L166" s="52" t="s">
        <v>542</v>
      </c>
      <c r="M166" s="52" t="s">
        <v>531</v>
      </c>
      <c r="N166" s="52" t="s">
        <v>532</v>
      </c>
      <c r="O166" s="52" t="s">
        <v>554</v>
      </c>
      <c r="P166" s="52" t="s">
        <v>145</v>
      </c>
      <c r="Q166" s="52" t="s">
        <v>544</v>
      </c>
      <c r="R166" s="52" t="s">
        <v>545</v>
      </c>
      <c r="S166" s="52" t="s">
        <v>536</v>
      </c>
      <c r="T166" s="52" t="s">
        <v>547</v>
      </c>
      <c r="U166" s="52" t="s">
        <v>538</v>
      </c>
      <c r="V166" s="52" t="s">
        <v>81</v>
      </c>
      <c r="W166" s="52" t="s">
        <v>549</v>
      </c>
      <c r="X166" s="104">
        <v>2</v>
      </c>
      <c r="Y166" s="104">
        <v>7</v>
      </c>
      <c r="Z166" s="104">
        <v>2</v>
      </c>
      <c r="AA166" s="104">
        <v>4</v>
      </c>
      <c r="AB166" s="104">
        <v>6</v>
      </c>
      <c r="AC166" s="104">
        <v>7</v>
      </c>
      <c r="AD166" s="104">
        <v>4</v>
      </c>
      <c r="AE166" s="104">
        <v>4</v>
      </c>
      <c r="AF166" s="104">
        <v>5</v>
      </c>
      <c r="AG166" s="104">
        <v>6</v>
      </c>
      <c r="AH166" s="104">
        <v>7</v>
      </c>
      <c r="AI166" s="104">
        <v>2</v>
      </c>
      <c r="AJ166" s="104">
        <v>0</v>
      </c>
      <c r="AK166" s="104">
        <v>5</v>
      </c>
      <c r="AL166" s="104">
        <v>5</v>
      </c>
      <c r="AM166" s="104">
        <v>6</v>
      </c>
      <c r="AN166" s="104">
        <v>2</v>
      </c>
      <c r="AO166" s="104">
        <v>5</v>
      </c>
      <c r="AP166" s="104">
        <v>4</v>
      </c>
      <c r="AQ166" s="104">
        <v>7</v>
      </c>
    </row>
    <row r="167" spans="1:43" x14ac:dyDescent="0.35">
      <c r="A167" s="52">
        <v>164</v>
      </c>
      <c r="B167" s="52" t="s">
        <v>1524</v>
      </c>
      <c r="C167" s="93"/>
      <c r="D167" s="52" t="s">
        <v>539</v>
      </c>
      <c r="E167" s="52" t="s">
        <v>523</v>
      </c>
      <c r="F167" s="52" t="s">
        <v>524</v>
      </c>
      <c r="G167" s="52" t="s">
        <v>570</v>
      </c>
      <c r="H167" s="52" t="s">
        <v>561</v>
      </c>
      <c r="I167" s="52" t="s">
        <v>552</v>
      </c>
      <c r="J167" s="52" t="s">
        <v>558</v>
      </c>
      <c r="K167" s="52" t="s">
        <v>529</v>
      </c>
      <c r="L167" s="52" t="s">
        <v>542</v>
      </c>
      <c r="M167" s="52" t="s">
        <v>553</v>
      </c>
      <c r="N167" s="52" t="s">
        <v>532</v>
      </c>
      <c r="O167" s="52" t="s">
        <v>554</v>
      </c>
      <c r="P167" s="52" t="s">
        <v>534</v>
      </c>
      <c r="Q167" s="52" t="s">
        <v>535</v>
      </c>
      <c r="R167" s="52" t="s">
        <v>545</v>
      </c>
      <c r="S167" s="52" t="s">
        <v>565</v>
      </c>
      <c r="T167" s="52" t="s">
        <v>537</v>
      </c>
      <c r="U167" s="52" t="s">
        <v>576</v>
      </c>
      <c r="V167" s="52" t="s">
        <v>81</v>
      </c>
      <c r="W167" s="52" t="s">
        <v>574</v>
      </c>
      <c r="X167" s="104">
        <v>7</v>
      </c>
      <c r="Y167" s="104">
        <v>6</v>
      </c>
      <c r="Z167" s="104">
        <v>5</v>
      </c>
      <c r="AA167" s="104">
        <v>5</v>
      </c>
      <c r="AB167" s="104">
        <v>4</v>
      </c>
      <c r="AC167" s="104">
        <v>4</v>
      </c>
      <c r="AD167" s="104">
        <v>4</v>
      </c>
      <c r="AE167" s="104">
        <v>6</v>
      </c>
      <c r="AF167" s="104">
        <v>3</v>
      </c>
      <c r="AG167" s="104">
        <v>3</v>
      </c>
      <c r="AH167" s="104">
        <v>5</v>
      </c>
      <c r="AI167" s="104">
        <v>2</v>
      </c>
      <c r="AJ167" s="104">
        <v>4</v>
      </c>
      <c r="AK167" s="104">
        <v>3</v>
      </c>
      <c r="AL167" s="104">
        <v>4</v>
      </c>
      <c r="AM167" s="104">
        <v>2</v>
      </c>
      <c r="AN167" s="104">
        <v>4</v>
      </c>
      <c r="AO167" s="104">
        <v>6</v>
      </c>
      <c r="AP167" s="104">
        <v>4</v>
      </c>
      <c r="AQ167" s="104">
        <v>9</v>
      </c>
    </row>
    <row r="168" spans="1:43" x14ac:dyDescent="0.35">
      <c r="A168" s="52">
        <v>165</v>
      </c>
      <c r="B168" s="52" t="s">
        <v>1523</v>
      </c>
      <c r="C168" s="93"/>
      <c r="D168" s="52" t="s">
        <v>539</v>
      </c>
      <c r="E168" s="52" t="s">
        <v>523</v>
      </c>
      <c r="F168" s="52" t="s">
        <v>148</v>
      </c>
      <c r="G168" s="52" t="s">
        <v>525</v>
      </c>
      <c r="H168" s="52" t="s">
        <v>560</v>
      </c>
      <c r="I168" s="52" t="s">
        <v>541</v>
      </c>
      <c r="J168" s="52" t="s">
        <v>558</v>
      </c>
      <c r="K168" s="52" t="s">
        <v>529</v>
      </c>
      <c r="L168" s="52" t="s">
        <v>542</v>
      </c>
      <c r="M168" s="52" t="s">
        <v>553</v>
      </c>
      <c r="N168" s="52" t="s">
        <v>532</v>
      </c>
      <c r="O168" s="52" t="s">
        <v>554</v>
      </c>
      <c r="P168" s="52" t="s">
        <v>145</v>
      </c>
      <c r="Q168" s="52" t="s">
        <v>544</v>
      </c>
      <c r="R168" s="52" t="s">
        <v>545</v>
      </c>
      <c r="S168" s="52" t="s">
        <v>536</v>
      </c>
      <c r="T168" s="52" t="s">
        <v>547</v>
      </c>
      <c r="U168" s="52" t="s">
        <v>538</v>
      </c>
      <c r="V168" s="52" t="s">
        <v>155</v>
      </c>
      <c r="W168" s="52" t="s">
        <v>555</v>
      </c>
      <c r="X168" s="104">
        <v>6</v>
      </c>
      <c r="Y168" s="104">
        <v>5</v>
      </c>
      <c r="Z168" s="104">
        <v>4</v>
      </c>
      <c r="AA168" s="104">
        <v>6</v>
      </c>
      <c r="AB168" s="104">
        <v>8</v>
      </c>
      <c r="AC168" s="104">
        <v>6</v>
      </c>
      <c r="AD168" s="104">
        <v>5</v>
      </c>
      <c r="AE168" s="104">
        <v>4</v>
      </c>
      <c r="AF168" s="104">
        <v>4</v>
      </c>
      <c r="AG168" s="104">
        <v>5</v>
      </c>
      <c r="AH168" s="104">
        <v>5</v>
      </c>
      <c r="AI168" s="104">
        <v>2</v>
      </c>
      <c r="AJ168" s="104">
        <v>2</v>
      </c>
      <c r="AK168" s="104">
        <v>4</v>
      </c>
      <c r="AL168" s="104">
        <v>5</v>
      </c>
      <c r="AM168" s="104">
        <v>6</v>
      </c>
      <c r="AN168" s="104">
        <v>3</v>
      </c>
      <c r="AO168" s="104">
        <v>4</v>
      </c>
      <c r="AP168" s="104">
        <v>2</v>
      </c>
      <c r="AQ168" s="104">
        <v>4</v>
      </c>
    </row>
    <row r="169" spans="1:43" x14ac:dyDescent="0.35">
      <c r="A169" s="52">
        <v>166</v>
      </c>
      <c r="B169" s="52" t="s">
        <v>1089</v>
      </c>
      <c r="C169" s="93"/>
      <c r="D169" s="52" t="s">
        <v>539</v>
      </c>
      <c r="E169" s="52" t="s">
        <v>523</v>
      </c>
      <c r="F169" s="52" t="s">
        <v>524</v>
      </c>
      <c r="G169" s="52" t="s">
        <v>556</v>
      </c>
      <c r="H169" s="52" t="s">
        <v>526</v>
      </c>
      <c r="I169" s="52" t="s">
        <v>552</v>
      </c>
      <c r="J169" s="52" t="s">
        <v>140</v>
      </c>
      <c r="K169" s="52" t="s">
        <v>529</v>
      </c>
      <c r="L169" s="52" t="s">
        <v>542</v>
      </c>
      <c r="M169" s="52" t="s">
        <v>531</v>
      </c>
      <c r="N169" s="52" t="s">
        <v>562</v>
      </c>
      <c r="O169" s="52" t="s">
        <v>571</v>
      </c>
      <c r="P169" s="52" t="s">
        <v>543</v>
      </c>
      <c r="Q169" s="52" t="s">
        <v>544</v>
      </c>
      <c r="R169" s="52" t="s">
        <v>567</v>
      </c>
      <c r="S169" s="52" t="s">
        <v>546</v>
      </c>
      <c r="T169" s="52" t="s">
        <v>537</v>
      </c>
      <c r="U169" s="52" t="s">
        <v>548</v>
      </c>
      <c r="V169" s="52" t="s">
        <v>155</v>
      </c>
      <c r="W169" s="52" t="s">
        <v>555</v>
      </c>
      <c r="X169" s="104">
        <v>7</v>
      </c>
      <c r="Y169" s="104">
        <v>7</v>
      </c>
      <c r="Z169" s="104">
        <v>5</v>
      </c>
      <c r="AA169" s="104">
        <v>3</v>
      </c>
      <c r="AB169" s="104">
        <v>3</v>
      </c>
      <c r="AC169" s="104">
        <v>5</v>
      </c>
      <c r="AD169" s="104">
        <v>3</v>
      </c>
      <c r="AE169" s="104">
        <v>4</v>
      </c>
      <c r="AF169" s="104">
        <v>4</v>
      </c>
      <c r="AG169" s="104">
        <v>7</v>
      </c>
      <c r="AH169" s="104">
        <v>4</v>
      </c>
      <c r="AI169" s="104">
        <v>4</v>
      </c>
      <c r="AJ169" s="104">
        <v>5</v>
      </c>
      <c r="AK169" s="104">
        <v>4</v>
      </c>
      <c r="AL169" s="104">
        <v>6</v>
      </c>
      <c r="AM169" s="104">
        <v>5</v>
      </c>
      <c r="AN169" s="104">
        <v>4</v>
      </c>
      <c r="AO169" s="104">
        <v>3</v>
      </c>
      <c r="AP169" s="104">
        <v>3</v>
      </c>
      <c r="AQ169" s="104">
        <v>4</v>
      </c>
    </row>
    <row r="170" spans="1:43" x14ac:dyDescent="0.35">
      <c r="A170" s="52">
        <v>167</v>
      </c>
      <c r="B170" s="52" t="s">
        <v>350</v>
      </c>
      <c r="C170" s="93"/>
      <c r="D170" s="102" t="s">
        <v>522</v>
      </c>
      <c r="E170" s="102" t="s">
        <v>523</v>
      </c>
      <c r="F170" s="102" t="s">
        <v>524</v>
      </c>
      <c r="G170" s="102" t="s">
        <v>525</v>
      </c>
      <c r="H170" s="102" t="s">
        <v>551</v>
      </c>
      <c r="I170" s="102" t="s">
        <v>552</v>
      </c>
      <c r="J170" s="102" t="s">
        <v>558</v>
      </c>
      <c r="K170" s="102" t="s">
        <v>141</v>
      </c>
      <c r="L170" s="102" t="s">
        <v>542</v>
      </c>
      <c r="M170" s="102" t="s">
        <v>553</v>
      </c>
      <c r="N170" s="102" t="s">
        <v>532</v>
      </c>
      <c r="O170" s="102" t="s">
        <v>554</v>
      </c>
      <c r="P170" s="102" t="s">
        <v>145</v>
      </c>
      <c r="Q170" s="102" t="s">
        <v>535</v>
      </c>
      <c r="R170" s="102" t="s">
        <v>545</v>
      </c>
      <c r="S170" s="102" t="s">
        <v>536</v>
      </c>
      <c r="T170" s="102" t="s">
        <v>537</v>
      </c>
      <c r="U170" s="102" t="s">
        <v>538</v>
      </c>
      <c r="V170" s="102" t="s">
        <v>155</v>
      </c>
      <c r="W170" s="102" t="s">
        <v>555</v>
      </c>
      <c r="X170" s="104">
        <v>4</v>
      </c>
      <c r="Y170" s="104">
        <v>7</v>
      </c>
      <c r="Z170" s="104">
        <v>6</v>
      </c>
      <c r="AA170" s="104">
        <v>6</v>
      </c>
      <c r="AB170" s="104">
        <v>6</v>
      </c>
      <c r="AC170" s="104">
        <v>5</v>
      </c>
      <c r="AD170" s="104">
        <v>4</v>
      </c>
      <c r="AE170" s="104">
        <v>2</v>
      </c>
      <c r="AF170" s="104">
        <v>4</v>
      </c>
      <c r="AG170" s="104">
        <v>5</v>
      </c>
      <c r="AH170" s="104">
        <v>8</v>
      </c>
      <c r="AI170" s="104">
        <v>2</v>
      </c>
      <c r="AJ170" s="104">
        <v>2</v>
      </c>
      <c r="AK170" s="104">
        <v>2</v>
      </c>
      <c r="AL170" s="104">
        <v>5</v>
      </c>
      <c r="AM170" s="104">
        <v>7</v>
      </c>
      <c r="AN170" s="104">
        <v>4</v>
      </c>
      <c r="AO170" s="104">
        <v>4</v>
      </c>
      <c r="AP170" s="104">
        <v>3</v>
      </c>
      <c r="AQ170" s="104">
        <v>4</v>
      </c>
    </row>
    <row r="171" spans="1:43" x14ac:dyDescent="0.35">
      <c r="A171" s="52">
        <v>168</v>
      </c>
      <c r="B171" s="52" t="s">
        <v>683</v>
      </c>
      <c r="C171" s="93"/>
      <c r="D171" s="102" t="s">
        <v>522</v>
      </c>
      <c r="E171" s="102" t="s">
        <v>523</v>
      </c>
      <c r="F171" s="102" t="s">
        <v>148</v>
      </c>
      <c r="G171" s="102" t="s">
        <v>138</v>
      </c>
      <c r="H171" s="102" t="s">
        <v>526</v>
      </c>
      <c r="I171" s="102" t="s">
        <v>552</v>
      </c>
      <c r="J171" s="102" t="s">
        <v>558</v>
      </c>
      <c r="K171" s="102" t="s">
        <v>529</v>
      </c>
      <c r="L171" s="102" t="s">
        <v>530</v>
      </c>
      <c r="M171" s="102" t="s">
        <v>531</v>
      </c>
      <c r="N171" s="102" t="s">
        <v>532</v>
      </c>
      <c r="O171" s="102" t="s">
        <v>554</v>
      </c>
      <c r="P171" s="102" t="s">
        <v>534</v>
      </c>
      <c r="Q171" s="102" t="s">
        <v>544</v>
      </c>
      <c r="R171" s="102" t="s">
        <v>567</v>
      </c>
      <c r="S171" s="102" t="s">
        <v>536</v>
      </c>
      <c r="T171" s="102" t="s">
        <v>537</v>
      </c>
      <c r="U171" s="102" t="s">
        <v>548</v>
      </c>
      <c r="V171" s="102" t="s">
        <v>155</v>
      </c>
      <c r="W171" s="102" t="s">
        <v>574</v>
      </c>
      <c r="X171" s="104">
        <v>3</v>
      </c>
      <c r="Y171" s="104">
        <v>6</v>
      </c>
      <c r="Z171" s="104">
        <v>4</v>
      </c>
      <c r="AA171" s="104">
        <v>0</v>
      </c>
      <c r="AB171" s="104">
        <v>2</v>
      </c>
      <c r="AC171" s="104">
        <v>4</v>
      </c>
      <c r="AD171" s="104">
        <v>5</v>
      </c>
      <c r="AE171" s="104">
        <v>4</v>
      </c>
      <c r="AF171" s="104">
        <v>8</v>
      </c>
      <c r="AG171" s="104">
        <v>6</v>
      </c>
      <c r="AH171" s="104">
        <v>6</v>
      </c>
      <c r="AI171" s="104">
        <v>3</v>
      </c>
      <c r="AJ171" s="104">
        <v>4</v>
      </c>
      <c r="AK171" s="104">
        <v>5</v>
      </c>
      <c r="AL171" s="104">
        <v>7</v>
      </c>
      <c r="AM171" s="104">
        <v>6</v>
      </c>
      <c r="AN171" s="104">
        <v>4</v>
      </c>
      <c r="AO171" s="104">
        <v>3</v>
      </c>
      <c r="AP171" s="104">
        <v>2</v>
      </c>
      <c r="AQ171" s="104">
        <v>8</v>
      </c>
    </row>
    <row r="172" spans="1:43" x14ac:dyDescent="0.35">
      <c r="A172" s="52">
        <v>169</v>
      </c>
      <c r="B172" s="52" t="s">
        <v>1151</v>
      </c>
      <c r="C172" s="93"/>
      <c r="D172" s="52" t="s">
        <v>522</v>
      </c>
      <c r="E172" s="52" t="s">
        <v>523</v>
      </c>
      <c r="F172" s="52" t="s">
        <v>148</v>
      </c>
      <c r="G172" s="52" t="s">
        <v>556</v>
      </c>
      <c r="H172" s="52" t="s">
        <v>561</v>
      </c>
      <c r="I172" s="52" t="s">
        <v>527</v>
      </c>
      <c r="J172" s="52" t="s">
        <v>528</v>
      </c>
      <c r="K172" s="52" t="s">
        <v>529</v>
      </c>
      <c r="L172" s="52" t="s">
        <v>542</v>
      </c>
      <c r="M172" s="52" t="s">
        <v>553</v>
      </c>
      <c r="N172" s="52" t="s">
        <v>532</v>
      </c>
      <c r="O172" s="52" t="s">
        <v>571</v>
      </c>
      <c r="P172" s="52" t="s">
        <v>534</v>
      </c>
      <c r="Q172" s="52" t="s">
        <v>544</v>
      </c>
      <c r="R172" s="52" t="s">
        <v>567</v>
      </c>
      <c r="S172" s="52" t="s">
        <v>546</v>
      </c>
      <c r="T172" s="52" t="s">
        <v>547</v>
      </c>
      <c r="U172" s="52" t="s">
        <v>548</v>
      </c>
      <c r="V172" s="52" t="s">
        <v>81</v>
      </c>
      <c r="W172" s="52" t="s">
        <v>574</v>
      </c>
      <c r="X172" s="104">
        <v>5</v>
      </c>
      <c r="Y172" s="104">
        <v>6</v>
      </c>
      <c r="Z172" s="104">
        <v>4</v>
      </c>
      <c r="AA172" s="104">
        <v>2</v>
      </c>
      <c r="AB172" s="104">
        <v>4</v>
      </c>
      <c r="AC172" s="104">
        <v>3</v>
      </c>
      <c r="AD172" s="104">
        <v>7</v>
      </c>
      <c r="AE172" s="104">
        <v>3</v>
      </c>
      <c r="AF172" s="104">
        <v>3</v>
      </c>
      <c r="AG172" s="104">
        <v>5</v>
      </c>
      <c r="AH172" s="104">
        <v>5</v>
      </c>
      <c r="AI172" s="104">
        <v>4</v>
      </c>
      <c r="AJ172" s="104">
        <v>4</v>
      </c>
      <c r="AK172" s="104">
        <v>6</v>
      </c>
      <c r="AL172" s="104">
        <v>6</v>
      </c>
      <c r="AM172" s="104">
        <v>5</v>
      </c>
      <c r="AN172" s="104">
        <v>3</v>
      </c>
      <c r="AO172" s="104">
        <v>3</v>
      </c>
      <c r="AP172" s="104">
        <v>4</v>
      </c>
      <c r="AQ172" s="104">
        <v>8</v>
      </c>
    </row>
    <row r="173" spans="1:43" x14ac:dyDescent="0.35">
      <c r="A173" s="52">
        <v>170</v>
      </c>
      <c r="B173" s="52" t="s">
        <v>1125</v>
      </c>
      <c r="C173" s="93"/>
      <c r="D173" s="52" t="s">
        <v>539</v>
      </c>
      <c r="E173" s="52" t="s">
        <v>540</v>
      </c>
      <c r="F173" s="52" t="s">
        <v>524</v>
      </c>
      <c r="G173" s="52" t="s">
        <v>570</v>
      </c>
      <c r="H173" s="52" t="s">
        <v>526</v>
      </c>
      <c r="I173" s="52" t="s">
        <v>527</v>
      </c>
      <c r="J173" s="52" t="s">
        <v>528</v>
      </c>
      <c r="K173" s="52" t="s">
        <v>529</v>
      </c>
      <c r="L173" s="52" t="s">
        <v>542</v>
      </c>
      <c r="M173" s="52" t="s">
        <v>553</v>
      </c>
      <c r="N173" s="52" t="s">
        <v>562</v>
      </c>
      <c r="O173" s="52" t="s">
        <v>554</v>
      </c>
      <c r="P173" s="52" t="s">
        <v>145</v>
      </c>
      <c r="Q173" s="52" t="s">
        <v>544</v>
      </c>
      <c r="R173" s="52" t="s">
        <v>567</v>
      </c>
      <c r="S173" s="52" t="s">
        <v>536</v>
      </c>
      <c r="T173" s="52" t="s">
        <v>547</v>
      </c>
      <c r="U173" s="52" t="s">
        <v>538</v>
      </c>
      <c r="V173" s="52" t="s">
        <v>155</v>
      </c>
      <c r="W173" s="52" t="s">
        <v>549</v>
      </c>
      <c r="X173" s="104">
        <v>6</v>
      </c>
      <c r="Y173" s="104">
        <v>4</v>
      </c>
      <c r="Z173" s="104">
        <v>6</v>
      </c>
      <c r="AA173" s="104">
        <v>5</v>
      </c>
      <c r="AB173" s="104">
        <v>3</v>
      </c>
      <c r="AC173" s="104">
        <v>3</v>
      </c>
      <c r="AD173" s="104">
        <v>7</v>
      </c>
      <c r="AE173" s="104">
        <v>5</v>
      </c>
      <c r="AF173" s="104">
        <v>3</v>
      </c>
      <c r="AG173" s="104">
        <v>3</v>
      </c>
      <c r="AH173" s="104">
        <v>4</v>
      </c>
      <c r="AI173" s="104">
        <v>3</v>
      </c>
      <c r="AJ173" s="104">
        <v>2</v>
      </c>
      <c r="AK173" s="104">
        <v>5</v>
      </c>
      <c r="AL173" s="104">
        <v>7</v>
      </c>
      <c r="AM173" s="104">
        <v>7</v>
      </c>
      <c r="AN173" s="104">
        <v>3</v>
      </c>
      <c r="AO173" s="104">
        <v>4</v>
      </c>
      <c r="AP173" s="104">
        <v>3</v>
      </c>
      <c r="AQ173" s="104">
        <v>7</v>
      </c>
    </row>
    <row r="174" spans="1:43" x14ac:dyDescent="0.35">
      <c r="A174" s="52">
        <v>171</v>
      </c>
      <c r="B174" s="52" t="s">
        <v>1213</v>
      </c>
      <c r="C174" s="93"/>
      <c r="D174" s="52" t="s">
        <v>522</v>
      </c>
      <c r="E174" s="52" t="s">
        <v>523</v>
      </c>
      <c r="F174" s="52" t="s">
        <v>524</v>
      </c>
      <c r="G174" s="52" t="s">
        <v>570</v>
      </c>
      <c r="H174" s="52" t="s">
        <v>566</v>
      </c>
      <c r="I174" s="52" t="s">
        <v>552</v>
      </c>
      <c r="J174" s="52" t="s">
        <v>558</v>
      </c>
      <c r="K174" s="52" t="s">
        <v>529</v>
      </c>
      <c r="L174" s="52" t="s">
        <v>152</v>
      </c>
      <c r="M174" s="52" t="s">
        <v>531</v>
      </c>
      <c r="N174" s="52" t="s">
        <v>532</v>
      </c>
      <c r="O174" s="52" t="s">
        <v>150</v>
      </c>
      <c r="P174" s="52" t="s">
        <v>145</v>
      </c>
      <c r="Q174" s="52" t="s">
        <v>544</v>
      </c>
      <c r="R174" s="52" t="s">
        <v>545</v>
      </c>
      <c r="S174" s="52" t="s">
        <v>536</v>
      </c>
      <c r="T174" s="52" t="s">
        <v>547</v>
      </c>
      <c r="U174" s="52" t="s">
        <v>538</v>
      </c>
      <c r="V174" s="52" t="s">
        <v>155</v>
      </c>
      <c r="W174" s="52" t="s">
        <v>156</v>
      </c>
      <c r="X174" s="104">
        <v>5</v>
      </c>
      <c r="Y174" s="104">
        <v>5</v>
      </c>
      <c r="Z174" s="104">
        <v>7</v>
      </c>
      <c r="AA174" s="104">
        <v>5</v>
      </c>
      <c r="AB174" s="104">
        <v>5</v>
      </c>
      <c r="AC174" s="104">
        <v>4</v>
      </c>
      <c r="AD174" s="104">
        <v>5</v>
      </c>
      <c r="AE174" s="104">
        <v>5</v>
      </c>
      <c r="AF174" s="104">
        <v>2</v>
      </c>
      <c r="AG174" s="104">
        <v>7</v>
      </c>
      <c r="AH174" s="104">
        <v>6</v>
      </c>
      <c r="AI174" s="104">
        <v>1</v>
      </c>
      <c r="AJ174" s="104">
        <v>2</v>
      </c>
      <c r="AK174" s="104">
        <v>5</v>
      </c>
      <c r="AL174" s="104">
        <v>5</v>
      </c>
      <c r="AM174" s="104">
        <v>7</v>
      </c>
      <c r="AN174" s="104">
        <v>3</v>
      </c>
      <c r="AO174" s="104">
        <v>5</v>
      </c>
      <c r="AP174" s="104">
        <v>3</v>
      </c>
      <c r="AQ174" s="104">
        <v>3</v>
      </c>
    </row>
    <row r="175" spans="1:43" x14ac:dyDescent="0.35">
      <c r="A175" s="52">
        <v>172</v>
      </c>
      <c r="B175" s="52" t="s">
        <v>704</v>
      </c>
      <c r="C175" s="93"/>
      <c r="D175" s="102" t="s">
        <v>539</v>
      </c>
      <c r="E175" s="102" t="s">
        <v>523</v>
      </c>
      <c r="F175" s="102" t="s">
        <v>148</v>
      </c>
      <c r="G175" s="102" t="s">
        <v>556</v>
      </c>
      <c r="H175" s="102" t="s">
        <v>526</v>
      </c>
      <c r="I175" s="102" t="s">
        <v>552</v>
      </c>
      <c r="J175" s="102" t="s">
        <v>140</v>
      </c>
      <c r="K175" s="102" t="s">
        <v>529</v>
      </c>
      <c r="L175" s="102" t="s">
        <v>542</v>
      </c>
      <c r="M175" s="102" t="s">
        <v>531</v>
      </c>
      <c r="N175" s="102" t="s">
        <v>532</v>
      </c>
      <c r="O175" s="102" t="s">
        <v>554</v>
      </c>
      <c r="P175" s="102" t="s">
        <v>534</v>
      </c>
      <c r="Q175" s="102" t="s">
        <v>544</v>
      </c>
      <c r="R175" s="102" t="s">
        <v>545</v>
      </c>
      <c r="S175" s="102" t="s">
        <v>536</v>
      </c>
      <c r="T175" s="102" t="s">
        <v>537</v>
      </c>
      <c r="U175" s="102" t="s">
        <v>548</v>
      </c>
      <c r="V175" s="102" t="s">
        <v>155</v>
      </c>
      <c r="W175" s="102" t="s">
        <v>549</v>
      </c>
      <c r="X175" s="104">
        <v>6</v>
      </c>
      <c r="Y175" s="104">
        <v>5</v>
      </c>
      <c r="Z175" s="104">
        <v>3</v>
      </c>
      <c r="AA175" s="104">
        <v>3</v>
      </c>
      <c r="AB175" s="104">
        <v>3</v>
      </c>
      <c r="AC175" s="104">
        <v>5</v>
      </c>
      <c r="AD175" s="104">
        <v>2</v>
      </c>
      <c r="AE175" s="104">
        <v>5</v>
      </c>
      <c r="AF175" s="104">
        <v>5</v>
      </c>
      <c r="AG175" s="104">
        <v>7</v>
      </c>
      <c r="AH175" s="104">
        <v>6</v>
      </c>
      <c r="AI175" s="104">
        <v>3</v>
      </c>
      <c r="AJ175" s="104">
        <v>4</v>
      </c>
      <c r="AK175" s="104">
        <v>5</v>
      </c>
      <c r="AL175" s="104">
        <v>4</v>
      </c>
      <c r="AM175" s="104">
        <v>6</v>
      </c>
      <c r="AN175" s="104">
        <v>6</v>
      </c>
      <c r="AO175" s="104">
        <v>3</v>
      </c>
      <c r="AP175" s="104">
        <v>3</v>
      </c>
      <c r="AQ175" s="104">
        <v>6</v>
      </c>
    </row>
    <row r="176" spans="1:43" x14ac:dyDescent="0.35">
      <c r="A176" s="52">
        <v>173</v>
      </c>
      <c r="B176" s="52" t="s">
        <v>703</v>
      </c>
      <c r="C176" s="93"/>
      <c r="D176" s="102" t="s">
        <v>539</v>
      </c>
      <c r="E176" s="102" t="s">
        <v>540</v>
      </c>
      <c r="F176" s="102" t="s">
        <v>148</v>
      </c>
      <c r="G176" s="102" t="s">
        <v>550</v>
      </c>
      <c r="H176" s="102" t="s">
        <v>526</v>
      </c>
      <c r="I176" s="102" t="s">
        <v>541</v>
      </c>
      <c r="J176" s="102" t="s">
        <v>140</v>
      </c>
      <c r="K176" s="102" t="s">
        <v>141</v>
      </c>
      <c r="L176" s="102" t="s">
        <v>530</v>
      </c>
      <c r="M176" s="102" t="s">
        <v>531</v>
      </c>
      <c r="N176" s="102" t="s">
        <v>532</v>
      </c>
      <c r="O176" s="102" t="s">
        <v>533</v>
      </c>
      <c r="P176" s="102" t="s">
        <v>543</v>
      </c>
      <c r="Q176" s="102" t="s">
        <v>544</v>
      </c>
      <c r="R176" s="102" t="s">
        <v>545</v>
      </c>
      <c r="S176" s="102" t="s">
        <v>546</v>
      </c>
      <c r="T176" s="102" t="s">
        <v>537</v>
      </c>
      <c r="U176" s="102" t="s">
        <v>548</v>
      </c>
      <c r="V176" s="102" t="s">
        <v>155</v>
      </c>
      <c r="W176" s="102" t="s">
        <v>549</v>
      </c>
      <c r="X176" s="104">
        <v>6</v>
      </c>
      <c r="Y176" s="104">
        <v>4</v>
      </c>
      <c r="Z176" s="104">
        <v>3</v>
      </c>
      <c r="AA176" s="104">
        <v>4</v>
      </c>
      <c r="AB176" s="104">
        <v>2</v>
      </c>
      <c r="AC176" s="104">
        <v>6</v>
      </c>
      <c r="AD176" s="104">
        <v>1</v>
      </c>
      <c r="AE176" s="104">
        <v>2</v>
      </c>
      <c r="AF176" s="104">
        <v>6</v>
      </c>
      <c r="AG176" s="104">
        <v>8</v>
      </c>
      <c r="AH176" s="104">
        <v>7</v>
      </c>
      <c r="AI176" s="104">
        <v>5</v>
      </c>
      <c r="AJ176" s="104">
        <v>6</v>
      </c>
      <c r="AK176" s="104">
        <v>5</v>
      </c>
      <c r="AL176" s="104">
        <v>5</v>
      </c>
      <c r="AM176" s="104">
        <v>4</v>
      </c>
      <c r="AN176" s="104">
        <v>5</v>
      </c>
      <c r="AO176" s="104">
        <v>2</v>
      </c>
      <c r="AP176" s="104">
        <v>3</v>
      </c>
      <c r="AQ176" s="104">
        <v>6</v>
      </c>
    </row>
    <row r="177" spans="1:43" x14ac:dyDescent="0.35">
      <c r="A177" s="52">
        <v>174</v>
      </c>
      <c r="B177" s="52" t="s">
        <v>365</v>
      </c>
      <c r="C177" s="93"/>
      <c r="D177" s="102" t="s">
        <v>539</v>
      </c>
      <c r="E177" s="102" t="s">
        <v>540</v>
      </c>
      <c r="F177" s="102" t="s">
        <v>573</v>
      </c>
      <c r="G177" s="102" t="s">
        <v>556</v>
      </c>
      <c r="H177" s="102" t="s">
        <v>561</v>
      </c>
      <c r="I177" s="102" t="s">
        <v>552</v>
      </c>
      <c r="J177" s="102" t="s">
        <v>558</v>
      </c>
      <c r="K177" s="102" t="s">
        <v>529</v>
      </c>
      <c r="L177" s="102" t="s">
        <v>542</v>
      </c>
      <c r="M177" s="102" t="s">
        <v>553</v>
      </c>
      <c r="N177" s="102" t="s">
        <v>562</v>
      </c>
      <c r="O177" s="102" t="s">
        <v>571</v>
      </c>
      <c r="P177" s="102" t="s">
        <v>563</v>
      </c>
      <c r="Q177" s="102" t="s">
        <v>544</v>
      </c>
      <c r="R177" s="102" t="s">
        <v>545</v>
      </c>
      <c r="S177" s="102" t="s">
        <v>546</v>
      </c>
      <c r="T177" s="102" t="s">
        <v>537</v>
      </c>
      <c r="U177" s="102" t="s">
        <v>154</v>
      </c>
      <c r="V177" s="102" t="s">
        <v>155</v>
      </c>
      <c r="W177" s="102" t="s">
        <v>555</v>
      </c>
      <c r="X177" s="104">
        <v>6</v>
      </c>
      <c r="Y177" s="104">
        <v>3</v>
      </c>
      <c r="Z177" s="104">
        <v>8</v>
      </c>
      <c r="AA177" s="104">
        <v>2</v>
      </c>
      <c r="AB177" s="104">
        <v>4</v>
      </c>
      <c r="AC177" s="104">
        <v>5</v>
      </c>
      <c r="AD177" s="104">
        <v>4</v>
      </c>
      <c r="AE177" s="104">
        <v>6</v>
      </c>
      <c r="AF177" s="104">
        <v>5</v>
      </c>
      <c r="AG177" s="104">
        <v>5</v>
      </c>
      <c r="AH177" s="104">
        <v>3</v>
      </c>
      <c r="AI177" s="104">
        <v>4</v>
      </c>
      <c r="AJ177" s="104">
        <v>8</v>
      </c>
      <c r="AK177" s="104">
        <v>4</v>
      </c>
      <c r="AL177" s="104">
        <v>5</v>
      </c>
      <c r="AM177" s="104">
        <v>4</v>
      </c>
      <c r="AN177" s="104">
        <v>5</v>
      </c>
      <c r="AO177" s="104">
        <v>1</v>
      </c>
      <c r="AP177" s="104">
        <v>3</v>
      </c>
      <c r="AQ177" s="104">
        <v>5</v>
      </c>
    </row>
    <row r="178" spans="1:43" x14ac:dyDescent="0.35">
      <c r="A178" s="52">
        <v>175</v>
      </c>
      <c r="B178" s="52" t="s">
        <v>988</v>
      </c>
      <c r="C178" s="93"/>
      <c r="D178" s="52" t="s">
        <v>539</v>
      </c>
      <c r="E178" s="52" t="s">
        <v>523</v>
      </c>
      <c r="F178" s="52" t="s">
        <v>524</v>
      </c>
      <c r="G178" s="52" t="s">
        <v>138</v>
      </c>
      <c r="H178" s="52" t="s">
        <v>526</v>
      </c>
      <c r="I178" s="52" t="s">
        <v>552</v>
      </c>
      <c r="J178" s="52" t="s">
        <v>528</v>
      </c>
      <c r="K178" s="52" t="s">
        <v>141</v>
      </c>
      <c r="L178" s="52" t="s">
        <v>542</v>
      </c>
      <c r="M178" s="52" t="s">
        <v>553</v>
      </c>
      <c r="N178" s="52" t="s">
        <v>532</v>
      </c>
      <c r="O178" s="52" t="s">
        <v>571</v>
      </c>
      <c r="P178" s="52" t="s">
        <v>534</v>
      </c>
      <c r="Q178" s="52" t="s">
        <v>535</v>
      </c>
      <c r="R178" s="52" t="s">
        <v>545</v>
      </c>
      <c r="S178" s="52" t="s">
        <v>565</v>
      </c>
      <c r="T178" s="52" t="s">
        <v>557</v>
      </c>
      <c r="U178" s="52" t="s">
        <v>548</v>
      </c>
      <c r="V178" s="52" t="s">
        <v>81</v>
      </c>
      <c r="W178" s="52" t="s">
        <v>549</v>
      </c>
      <c r="X178" s="104">
        <v>6</v>
      </c>
      <c r="Y178" s="104">
        <v>5</v>
      </c>
      <c r="Z178" s="104">
        <v>5</v>
      </c>
      <c r="AA178" s="104">
        <v>1</v>
      </c>
      <c r="AB178" s="104">
        <v>3</v>
      </c>
      <c r="AC178" s="104">
        <v>4</v>
      </c>
      <c r="AD178" s="104">
        <v>8</v>
      </c>
      <c r="AE178" s="104">
        <v>1</v>
      </c>
      <c r="AF178" s="104">
        <v>4</v>
      </c>
      <c r="AG178" s="104">
        <v>4</v>
      </c>
      <c r="AH178" s="104">
        <v>6</v>
      </c>
      <c r="AI178" s="104">
        <v>4</v>
      </c>
      <c r="AJ178" s="104">
        <v>4</v>
      </c>
      <c r="AK178" s="104">
        <v>3</v>
      </c>
      <c r="AL178" s="104">
        <v>5</v>
      </c>
      <c r="AM178" s="104">
        <v>3</v>
      </c>
      <c r="AN178" s="104">
        <v>8</v>
      </c>
      <c r="AO178" s="104">
        <v>3</v>
      </c>
      <c r="AP178" s="104">
        <v>6</v>
      </c>
      <c r="AQ178" s="104">
        <v>7</v>
      </c>
    </row>
    <row r="179" spans="1:43" x14ac:dyDescent="0.35">
      <c r="A179" s="52">
        <v>176</v>
      </c>
      <c r="B179" s="52" t="s">
        <v>721</v>
      </c>
      <c r="C179" s="93"/>
      <c r="D179" s="102" t="s">
        <v>578</v>
      </c>
      <c r="E179" s="102" t="s">
        <v>137</v>
      </c>
      <c r="F179" s="102" t="s">
        <v>524</v>
      </c>
      <c r="G179" s="102" t="s">
        <v>550</v>
      </c>
      <c r="H179" s="102" t="s">
        <v>551</v>
      </c>
      <c r="I179" s="102" t="s">
        <v>552</v>
      </c>
      <c r="J179" s="102" t="s">
        <v>140</v>
      </c>
      <c r="K179" s="102" t="s">
        <v>529</v>
      </c>
      <c r="L179" s="102" t="s">
        <v>152</v>
      </c>
      <c r="M179" s="102" t="s">
        <v>553</v>
      </c>
      <c r="N179" s="102" t="s">
        <v>532</v>
      </c>
      <c r="O179" s="102" t="s">
        <v>579</v>
      </c>
      <c r="P179" s="102" t="s">
        <v>563</v>
      </c>
      <c r="Q179" s="102" t="s">
        <v>544</v>
      </c>
      <c r="R179" s="102" t="s">
        <v>143</v>
      </c>
      <c r="S179" s="102" t="s">
        <v>565</v>
      </c>
      <c r="T179" s="102" t="s">
        <v>557</v>
      </c>
      <c r="U179" s="102" t="s">
        <v>154</v>
      </c>
      <c r="V179" s="102" t="s">
        <v>155</v>
      </c>
      <c r="W179" s="102" t="s">
        <v>549</v>
      </c>
      <c r="X179" s="104">
        <v>8</v>
      </c>
      <c r="Y179" s="104">
        <v>2</v>
      </c>
      <c r="Z179" s="104">
        <v>6</v>
      </c>
      <c r="AA179" s="104">
        <v>4</v>
      </c>
      <c r="AB179" s="104">
        <v>7</v>
      </c>
      <c r="AC179" s="104">
        <v>4</v>
      </c>
      <c r="AD179" s="104">
        <v>2</v>
      </c>
      <c r="AE179" s="104">
        <v>4</v>
      </c>
      <c r="AF179" s="104">
        <v>2</v>
      </c>
      <c r="AG179" s="104">
        <v>3</v>
      </c>
      <c r="AH179" s="104">
        <v>8</v>
      </c>
      <c r="AI179" s="104">
        <v>6</v>
      </c>
      <c r="AJ179" s="104">
        <v>7</v>
      </c>
      <c r="AK179" s="104">
        <v>4</v>
      </c>
      <c r="AL179" s="104">
        <v>3</v>
      </c>
      <c r="AM179" s="104">
        <v>3</v>
      </c>
      <c r="AN179" s="104">
        <v>7</v>
      </c>
      <c r="AO179" s="104">
        <v>1</v>
      </c>
      <c r="AP179" s="104">
        <v>3</v>
      </c>
      <c r="AQ179" s="104">
        <v>6</v>
      </c>
    </row>
    <row r="180" spans="1:43" x14ac:dyDescent="0.35">
      <c r="A180" s="52">
        <v>177</v>
      </c>
      <c r="B180" s="52" t="s">
        <v>963</v>
      </c>
      <c r="C180" s="93"/>
      <c r="D180" s="52" t="s">
        <v>539</v>
      </c>
      <c r="E180" s="52" t="s">
        <v>523</v>
      </c>
      <c r="F180" s="52" t="s">
        <v>524</v>
      </c>
      <c r="G180" s="52" t="s">
        <v>550</v>
      </c>
      <c r="H180" s="52" t="s">
        <v>566</v>
      </c>
      <c r="I180" s="52" t="s">
        <v>552</v>
      </c>
      <c r="J180" s="52" t="s">
        <v>140</v>
      </c>
      <c r="K180" s="52" t="s">
        <v>529</v>
      </c>
      <c r="L180" s="52" t="s">
        <v>542</v>
      </c>
      <c r="M180" s="52" t="s">
        <v>553</v>
      </c>
      <c r="N180" s="52" t="s">
        <v>562</v>
      </c>
      <c r="O180" s="52" t="s">
        <v>554</v>
      </c>
      <c r="P180" s="52" t="s">
        <v>534</v>
      </c>
      <c r="Q180" s="52" t="s">
        <v>564</v>
      </c>
      <c r="R180" s="52" t="s">
        <v>545</v>
      </c>
      <c r="S180" s="52" t="s">
        <v>565</v>
      </c>
      <c r="T180" s="52" t="s">
        <v>537</v>
      </c>
      <c r="U180" s="52" t="s">
        <v>548</v>
      </c>
      <c r="V180" s="52" t="s">
        <v>81</v>
      </c>
      <c r="W180" s="52" t="s">
        <v>549</v>
      </c>
      <c r="X180" s="104">
        <v>6</v>
      </c>
      <c r="Y180" s="104">
        <v>5</v>
      </c>
      <c r="Z180" s="104">
        <v>5</v>
      </c>
      <c r="AA180" s="104">
        <v>4</v>
      </c>
      <c r="AB180" s="104">
        <v>5</v>
      </c>
      <c r="AC180" s="104">
        <v>5</v>
      </c>
      <c r="AD180" s="104">
        <v>2</v>
      </c>
      <c r="AE180" s="104">
        <v>6</v>
      </c>
      <c r="AF180" s="104">
        <v>4</v>
      </c>
      <c r="AG180" s="104">
        <v>4</v>
      </c>
      <c r="AH180" s="104">
        <v>3</v>
      </c>
      <c r="AI180" s="104">
        <v>2</v>
      </c>
      <c r="AJ180" s="104">
        <v>4</v>
      </c>
      <c r="AK180" s="104">
        <v>7</v>
      </c>
      <c r="AL180" s="104">
        <v>5</v>
      </c>
      <c r="AM180" s="104">
        <v>3</v>
      </c>
      <c r="AN180" s="104">
        <v>4</v>
      </c>
      <c r="AO180" s="104">
        <v>3</v>
      </c>
      <c r="AP180" s="104">
        <v>6</v>
      </c>
      <c r="AQ180" s="104">
        <v>7</v>
      </c>
    </row>
    <row r="181" spans="1:43" x14ac:dyDescent="0.35">
      <c r="A181" s="52">
        <v>178</v>
      </c>
      <c r="B181" s="52" t="s">
        <v>1153</v>
      </c>
      <c r="C181" s="93"/>
      <c r="D181" s="52" t="s">
        <v>539</v>
      </c>
      <c r="E181" s="52" t="s">
        <v>569</v>
      </c>
      <c r="F181" s="52" t="s">
        <v>524</v>
      </c>
      <c r="G181" s="52" t="s">
        <v>138</v>
      </c>
      <c r="H181" s="52" t="s">
        <v>561</v>
      </c>
      <c r="I181" s="52" t="s">
        <v>541</v>
      </c>
      <c r="J181" s="52" t="s">
        <v>140</v>
      </c>
      <c r="K181" s="52" t="s">
        <v>529</v>
      </c>
      <c r="L181" s="52" t="s">
        <v>542</v>
      </c>
      <c r="M181" s="52" t="s">
        <v>531</v>
      </c>
      <c r="N181" s="52" t="s">
        <v>532</v>
      </c>
      <c r="O181" s="52" t="s">
        <v>554</v>
      </c>
      <c r="P181" s="52" t="s">
        <v>534</v>
      </c>
      <c r="Q181" s="52" t="s">
        <v>544</v>
      </c>
      <c r="R181" s="52" t="s">
        <v>567</v>
      </c>
      <c r="S181" s="52" t="s">
        <v>546</v>
      </c>
      <c r="T181" s="52" t="s">
        <v>146</v>
      </c>
      <c r="U181" s="52" t="s">
        <v>538</v>
      </c>
      <c r="V181" s="52" t="s">
        <v>81</v>
      </c>
      <c r="W181" s="52" t="s">
        <v>555</v>
      </c>
      <c r="X181" s="104">
        <v>6</v>
      </c>
      <c r="Y181" s="104">
        <v>9</v>
      </c>
      <c r="Z181" s="104">
        <v>6</v>
      </c>
      <c r="AA181" s="104">
        <v>1</v>
      </c>
      <c r="AB181" s="104">
        <v>4</v>
      </c>
      <c r="AC181" s="104">
        <v>6</v>
      </c>
      <c r="AD181" s="104">
        <v>2</v>
      </c>
      <c r="AE181" s="104">
        <v>5</v>
      </c>
      <c r="AF181" s="104">
        <v>4</v>
      </c>
      <c r="AG181" s="104">
        <v>6</v>
      </c>
      <c r="AH181" s="104">
        <v>6</v>
      </c>
      <c r="AI181" s="104">
        <v>3</v>
      </c>
      <c r="AJ181" s="104">
        <v>4</v>
      </c>
      <c r="AK181" s="104">
        <v>5</v>
      </c>
      <c r="AL181" s="104">
        <v>6</v>
      </c>
      <c r="AM181" s="104">
        <v>4</v>
      </c>
      <c r="AN181" s="104">
        <v>1</v>
      </c>
      <c r="AO181" s="104">
        <v>4</v>
      </c>
      <c r="AP181" s="104">
        <v>4</v>
      </c>
      <c r="AQ181" s="104">
        <v>4</v>
      </c>
    </row>
    <row r="182" spans="1:43" x14ac:dyDescent="0.35">
      <c r="A182" s="52">
        <v>179</v>
      </c>
      <c r="B182" s="52" t="s">
        <v>1091</v>
      </c>
      <c r="C182" s="93"/>
      <c r="D182" s="52" t="s">
        <v>578</v>
      </c>
      <c r="E182" s="52" t="s">
        <v>523</v>
      </c>
      <c r="F182" s="52" t="s">
        <v>524</v>
      </c>
      <c r="G182" s="52" t="s">
        <v>556</v>
      </c>
      <c r="H182" s="52" t="s">
        <v>561</v>
      </c>
      <c r="I182" s="52" t="s">
        <v>552</v>
      </c>
      <c r="J182" s="52" t="s">
        <v>140</v>
      </c>
      <c r="K182" s="52" t="s">
        <v>529</v>
      </c>
      <c r="L182" s="52" t="s">
        <v>542</v>
      </c>
      <c r="M182" s="52" t="s">
        <v>151</v>
      </c>
      <c r="N182" s="52" t="s">
        <v>562</v>
      </c>
      <c r="O182" s="52" t="s">
        <v>554</v>
      </c>
      <c r="P182" s="52" t="s">
        <v>534</v>
      </c>
      <c r="Q182" s="52" t="s">
        <v>544</v>
      </c>
      <c r="R182" s="52" t="s">
        <v>567</v>
      </c>
      <c r="S182" s="52" t="s">
        <v>565</v>
      </c>
      <c r="T182" s="52" t="s">
        <v>537</v>
      </c>
      <c r="U182" s="52" t="s">
        <v>538</v>
      </c>
      <c r="V182" s="52" t="s">
        <v>155</v>
      </c>
      <c r="W182" s="52" t="s">
        <v>549</v>
      </c>
      <c r="X182" s="104">
        <v>9</v>
      </c>
      <c r="Y182" s="104">
        <v>6</v>
      </c>
      <c r="Z182" s="104">
        <v>7</v>
      </c>
      <c r="AA182" s="104">
        <v>3</v>
      </c>
      <c r="AB182" s="104">
        <v>4</v>
      </c>
      <c r="AC182" s="104">
        <v>4</v>
      </c>
      <c r="AD182" s="104">
        <v>3</v>
      </c>
      <c r="AE182" s="104">
        <v>4</v>
      </c>
      <c r="AF182" s="104">
        <v>5</v>
      </c>
      <c r="AG182" s="104">
        <v>2</v>
      </c>
      <c r="AH182" s="104">
        <v>4</v>
      </c>
      <c r="AI182" s="104">
        <v>2</v>
      </c>
      <c r="AJ182" s="104">
        <v>3</v>
      </c>
      <c r="AK182" s="104">
        <v>6</v>
      </c>
      <c r="AL182" s="104">
        <v>6</v>
      </c>
      <c r="AM182" s="104">
        <v>3</v>
      </c>
      <c r="AN182" s="104">
        <v>6</v>
      </c>
      <c r="AO182" s="104">
        <v>4</v>
      </c>
      <c r="AP182" s="104">
        <v>3</v>
      </c>
      <c r="AQ182" s="104">
        <v>6</v>
      </c>
    </row>
    <row r="183" spans="1:43" x14ac:dyDescent="0.35">
      <c r="A183" s="52">
        <v>180</v>
      </c>
      <c r="B183" s="52" t="s">
        <v>1093</v>
      </c>
      <c r="C183" s="93"/>
      <c r="D183" s="52" t="s">
        <v>522</v>
      </c>
      <c r="E183" s="52" t="s">
        <v>523</v>
      </c>
      <c r="F183" s="52" t="s">
        <v>524</v>
      </c>
      <c r="G183" s="52" t="s">
        <v>138</v>
      </c>
      <c r="H183" s="52" t="s">
        <v>561</v>
      </c>
      <c r="I183" s="52" t="s">
        <v>527</v>
      </c>
      <c r="J183" s="52" t="s">
        <v>558</v>
      </c>
      <c r="K183" s="52" t="s">
        <v>529</v>
      </c>
      <c r="L183" s="52" t="s">
        <v>530</v>
      </c>
      <c r="M183" s="52" t="s">
        <v>553</v>
      </c>
      <c r="N183" s="52" t="s">
        <v>532</v>
      </c>
      <c r="O183" s="52" t="s">
        <v>554</v>
      </c>
      <c r="P183" s="52" t="s">
        <v>543</v>
      </c>
      <c r="Q183" s="52" t="s">
        <v>544</v>
      </c>
      <c r="R183" s="52" t="s">
        <v>567</v>
      </c>
      <c r="S183" s="52" t="s">
        <v>536</v>
      </c>
      <c r="T183" s="52" t="s">
        <v>547</v>
      </c>
      <c r="U183" s="52" t="s">
        <v>548</v>
      </c>
      <c r="V183" s="52" t="s">
        <v>155</v>
      </c>
      <c r="W183" s="52" t="s">
        <v>549</v>
      </c>
      <c r="X183" s="104">
        <v>5</v>
      </c>
      <c r="Y183" s="104">
        <v>7</v>
      </c>
      <c r="Z183" s="104">
        <v>5</v>
      </c>
      <c r="AA183" s="104">
        <v>1</v>
      </c>
      <c r="AB183" s="104">
        <v>4</v>
      </c>
      <c r="AC183" s="104">
        <v>3</v>
      </c>
      <c r="AD183" s="104">
        <v>4</v>
      </c>
      <c r="AE183" s="104">
        <v>5</v>
      </c>
      <c r="AF183" s="104">
        <v>6</v>
      </c>
      <c r="AG183" s="104">
        <v>5</v>
      </c>
      <c r="AH183" s="104">
        <v>6</v>
      </c>
      <c r="AI183" s="104">
        <v>2</v>
      </c>
      <c r="AJ183" s="104">
        <v>5</v>
      </c>
      <c r="AK183" s="104">
        <v>4</v>
      </c>
      <c r="AL183" s="104">
        <v>7</v>
      </c>
      <c r="AM183" s="104">
        <v>7</v>
      </c>
      <c r="AN183" s="104">
        <v>3</v>
      </c>
      <c r="AO183" s="104">
        <v>3</v>
      </c>
      <c r="AP183" s="104">
        <v>1</v>
      </c>
      <c r="AQ183" s="104">
        <v>7</v>
      </c>
    </row>
    <row r="184" spans="1:43" x14ac:dyDescent="0.35">
      <c r="A184" s="52">
        <v>181</v>
      </c>
      <c r="B184" s="52" t="s">
        <v>681</v>
      </c>
      <c r="C184" s="93"/>
      <c r="D184" s="102" t="s">
        <v>522</v>
      </c>
      <c r="E184" s="102" t="s">
        <v>523</v>
      </c>
      <c r="F184" s="102" t="s">
        <v>573</v>
      </c>
      <c r="G184" s="102" t="s">
        <v>570</v>
      </c>
      <c r="H184" s="102" t="s">
        <v>551</v>
      </c>
      <c r="I184" s="102" t="s">
        <v>552</v>
      </c>
      <c r="J184" s="102" t="s">
        <v>558</v>
      </c>
      <c r="K184" s="102" t="s">
        <v>529</v>
      </c>
      <c r="L184" s="102" t="s">
        <v>152</v>
      </c>
      <c r="M184" s="102" t="s">
        <v>553</v>
      </c>
      <c r="N184" s="102" t="s">
        <v>532</v>
      </c>
      <c r="O184" s="102" t="s">
        <v>554</v>
      </c>
      <c r="P184" s="102" t="s">
        <v>534</v>
      </c>
      <c r="Q184" s="102" t="s">
        <v>544</v>
      </c>
      <c r="R184" s="102" t="s">
        <v>545</v>
      </c>
      <c r="S184" s="102" t="s">
        <v>546</v>
      </c>
      <c r="T184" s="102" t="s">
        <v>547</v>
      </c>
      <c r="U184" s="102" t="s">
        <v>548</v>
      </c>
      <c r="V184" s="102" t="s">
        <v>155</v>
      </c>
      <c r="W184" s="102" t="s">
        <v>574</v>
      </c>
      <c r="X184" s="104">
        <v>4</v>
      </c>
      <c r="Y184" s="104">
        <v>7</v>
      </c>
      <c r="Z184" s="104">
        <v>8</v>
      </c>
      <c r="AA184" s="104">
        <v>5</v>
      </c>
      <c r="AB184" s="104">
        <v>6</v>
      </c>
      <c r="AC184" s="104">
        <v>4</v>
      </c>
      <c r="AD184" s="104">
        <v>4</v>
      </c>
      <c r="AE184" s="104">
        <v>4</v>
      </c>
      <c r="AF184" s="104">
        <v>2</v>
      </c>
      <c r="AG184" s="104">
        <v>5</v>
      </c>
      <c r="AH184" s="104">
        <v>5</v>
      </c>
      <c r="AI184" s="104">
        <v>2</v>
      </c>
      <c r="AJ184" s="104">
        <v>4</v>
      </c>
      <c r="AK184" s="104">
        <v>4</v>
      </c>
      <c r="AL184" s="104">
        <v>5</v>
      </c>
      <c r="AM184" s="104">
        <v>4</v>
      </c>
      <c r="AN184" s="104">
        <v>3</v>
      </c>
      <c r="AO184" s="104">
        <v>3</v>
      </c>
      <c r="AP184" s="104">
        <v>3</v>
      </c>
      <c r="AQ184" s="104">
        <v>8</v>
      </c>
    </row>
    <row r="185" spans="1:43" x14ac:dyDescent="0.35">
      <c r="A185" s="52">
        <v>182</v>
      </c>
      <c r="B185" s="52" t="s">
        <v>657</v>
      </c>
      <c r="C185" s="93"/>
      <c r="D185" s="102" t="s">
        <v>539</v>
      </c>
      <c r="E185" s="102" t="s">
        <v>523</v>
      </c>
      <c r="F185" s="102" t="s">
        <v>524</v>
      </c>
      <c r="G185" s="102" t="s">
        <v>570</v>
      </c>
      <c r="H185" s="102" t="s">
        <v>566</v>
      </c>
      <c r="I185" s="102" t="s">
        <v>572</v>
      </c>
      <c r="J185" s="102" t="s">
        <v>558</v>
      </c>
      <c r="K185" s="102" t="s">
        <v>529</v>
      </c>
      <c r="L185" s="102" t="s">
        <v>542</v>
      </c>
      <c r="M185" s="102" t="s">
        <v>531</v>
      </c>
      <c r="N185" s="102" t="s">
        <v>562</v>
      </c>
      <c r="O185" s="102" t="s">
        <v>571</v>
      </c>
      <c r="P185" s="102" t="s">
        <v>145</v>
      </c>
      <c r="Q185" s="102" t="s">
        <v>544</v>
      </c>
      <c r="R185" s="102" t="s">
        <v>545</v>
      </c>
      <c r="S185" s="102" t="s">
        <v>565</v>
      </c>
      <c r="T185" s="102" t="s">
        <v>547</v>
      </c>
      <c r="U185" s="102" t="s">
        <v>154</v>
      </c>
      <c r="V185" s="102" t="s">
        <v>155</v>
      </c>
      <c r="W185" s="102" t="s">
        <v>555</v>
      </c>
      <c r="X185" s="104">
        <v>7</v>
      </c>
      <c r="Y185" s="104">
        <v>6</v>
      </c>
      <c r="Z185" s="104">
        <v>7</v>
      </c>
      <c r="AA185" s="104">
        <v>5</v>
      </c>
      <c r="AB185" s="104">
        <v>5</v>
      </c>
      <c r="AC185" s="104">
        <v>8</v>
      </c>
      <c r="AD185" s="104">
        <v>4</v>
      </c>
      <c r="AE185" s="104">
        <v>6</v>
      </c>
      <c r="AF185" s="104">
        <v>4</v>
      </c>
      <c r="AG185" s="104">
        <v>7</v>
      </c>
      <c r="AH185" s="104">
        <v>3</v>
      </c>
      <c r="AI185" s="104">
        <v>4</v>
      </c>
      <c r="AJ185" s="104">
        <v>1</v>
      </c>
      <c r="AK185" s="104">
        <v>4</v>
      </c>
      <c r="AL185" s="104">
        <v>5</v>
      </c>
      <c r="AM185" s="104">
        <v>2</v>
      </c>
      <c r="AN185" s="104">
        <v>3</v>
      </c>
      <c r="AO185" s="104">
        <v>1</v>
      </c>
      <c r="AP185" s="104">
        <v>3</v>
      </c>
      <c r="AQ185" s="104">
        <v>5</v>
      </c>
    </row>
    <row r="186" spans="1:43" x14ac:dyDescent="0.35">
      <c r="A186" s="52">
        <v>183</v>
      </c>
      <c r="B186" s="52" t="s">
        <v>713</v>
      </c>
      <c r="C186" s="93"/>
      <c r="D186" s="102" t="s">
        <v>522</v>
      </c>
      <c r="E186" s="102" t="s">
        <v>523</v>
      </c>
      <c r="F186" s="102" t="s">
        <v>148</v>
      </c>
      <c r="G186" s="102" t="s">
        <v>556</v>
      </c>
      <c r="H186" s="102" t="s">
        <v>561</v>
      </c>
      <c r="I186" s="102" t="s">
        <v>541</v>
      </c>
      <c r="J186" s="102" t="s">
        <v>140</v>
      </c>
      <c r="K186" s="102" t="s">
        <v>529</v>
      </c>
      <c r="L186" s="102" t="s">
        <v>542</v>
      </c>
      <c r="M186" s="102" t="s">
        <v>553</v>
      </c>
      <c r="N186" s="102" t="s">
        <v>562</v>
      </c>
      <c r="O186" s="102" t="s">
        <v>554</v>
      </c>
      <c r="P186" s="102" t="s">
        <v>543</v>
      </c>
      <c r="Q186" s="102" t="s">
        <v>544</v>
      </c>
      <c r="R186" s="102" t="s">
        <v>545</v>
      </c>
      <c r="S186" s="102" t="s">
        <v>536</v>
      </c>
      <c r="T186" s="102" t="s">
        <v>547</v>
      </c>
      <c r="U186" s="102" t="s">
        <v>538</v>
      </c>
      <c r="V186" s="102" t="s">
        <v>155</v>
      </c>
      <c r="W186" s="102" t="s">
        <v>549</v>
      </c>
      <c r="X186" s="104">
        <v>5</v>
      </c>
      <c r="Y186" s="104">
        <v>5</v>
      </c>
      <c r="Z186" s="104">
        <v>3</v>
      </c>
      <c r="AA186" s="104">
        <v>3</v>
      </c>
      <c r="AB186" s="104">
        <v>4</v>
      </c>
      <c r="AC186" s="104">
        <v>6</v>
      </c>
      <c r="AD186" s="104">
        <v>2</v>
      </c>
      <c r="AE186" s="104">
        <v>5</v>
      </c>
      <c r="AF186" s="104">
        <v>4</v>
      </c>
      <c r="AG186" s="104">
        <v>5</v>
      </c>
      <c r="AH186" s="104">
        <v>4</v>
      </c>
      <c r="AI186" s="104">
        <v>3</v>
      </c>
      <c r="AJ186" s="104">
        <v>6</v>
      </c>
      <c r="AK186" s="104">
        <v>6</v>
      </c>
      <c r="AL186" s="104">
        <v>5</v>
      </c>
      <c r="AM186" s="104">
        <v>7</v>
      </c>
      <c r="AN186" s="104">
        <v>3</v>
      </c>
      <c r="AO186" s="104">
        <v>5</v>
      </c>
      <c r="AP186" s="104">
        <v>3</v>
      </c>
      <c r="AQ186" s="104">
        <v>6</v>
      </c>
    </row>
    <row r="187" spans="1:43" x14ac:dyDescent="0.35">
      <c r="A187" s="52">
        <v>184</v>
      </c>
      <c r="B187" s="52" t="s">
        <v>921</v>
      </c>
      <c r="C187" s="93"/>
      <c r="D187" s="52" t="s">
        <v>522</v>
      </c>
      <c r="E187" s="52" t="s">
        <v>569</v>
      </c>
      <c r="F187" s="52" t="s">
        <v>524</v>
      </c>
      <c r="G187" s="52" t="s">
        <v>570</v>
      </c>
      <c r="H187" s="52" t="s">
        <v>551</v>
      </c>
      <c r="I187" s="52" t="s">
        <v>552</v>
      </c>
      <c r="J187" s="52" t="s">
        <v>558</v>
      </c>
      <c r="K187" s="52" t="s">
        <v>529</v>
      </c>
      <c r="L187" s="52" t="s">
        <v>542</v>
      </c>
      <c r="M187" s="52" t="s">
        <v>553</v>
      </c>
      <c r="N187" s="52" t="s">
        <v>562</v>
      </c>
      <c r="O187" s="52" t="s">
        <v>579</v>
      </c>
      <c r="P187" s="52" t="s">
        <v>145</v>
      </c>
      <c r="Q187" s="52" t="s">
        <v>535</v>
      </c>
      <c r="R187" s="52" t="s">
        <v>545</v>
      </c>
      <c r="S187" s="52" t="s">
        <v>546</v>
      </c>
      <c r="T187" s="52" t="s">
        <v>537</v>
      </c>
      <c r="U187" s="52" t="s">
        <v>538</v>
      </c>
      <c r="V187" s="52" t="s">
        <v>155</v>
      </c>
      <c r="W187" s="52" t="s">
        <v>555</v>
      </c>
      <c r="X187" s="104">
        <v>4</v>
      </c>
      <c r="Y187" s="104">
        <v>9</v>
      </c>
      <c r="Z187" s="104">
        <v>5</v>
      </c>
      <c r="AA187" s="104">
        <v>5</v>
      </c>
      <c r="AB187" s="104">
        <v>7</v>
      </c>
      <c r="AC187" s="104">
        <v>4</v>
      </c>
      <c r="AD187" s="104">
        <v>5</v>
      </c>
      <c r="AE187" s="104">
        <v>4</v>
      </c>
      <c r="AF187" s="104">
        <v>5</v>
      </c>
      <c r="AG187" s="104">
        <v>4</v>
      </c>
      <c r="AH187" s="104">
        <v>3</v>
      </c>
      <c r="AI187" s="104">
        <v>6</v>
      </c>
      <c r="AJ187" s="104">
        <v>2</v>
      </c>
      <c r="AK187" s="104">
        <v>3</v>
      </c>
      <c r="AL187" s="104">
        <v>5</v>
      </c>
      <c r="AM187" s="104">
        <v>4</v>
      </c>
      <c r="AN187" s="104">
        <v>5</v>
      </c>
      <c r="AO187" s="104">
        <v>4</v>
      </c>
      <c r="AP187" s="104">
        <v>2</v>
      </c>
      <c r="AQ187" s="104">
        <v>4</v>
      </c>
    </row>
    <row r="188" spans="1:43" x14ac:dyDescent="0.35">
      <c r="A188" s="52">
        <v>185</v>
      </c>
      <c r="B188" s="52" t="s">
        <v>1188</v>
      </c>
      <c r="C188" s="93"/>
      <c r="D188" s="52" t="s">
        <v>522</v>
      </c>
      <c r="E188" s="52" t="s">
        <v>523</v>
      </c>
      <c r="F188" s="52" t="s">
        <v>573</v>
      </c>
      <c r="G188" s="52" t="s">
        <v>556</v>
      </c>
      <c r="H188" s="52" t="s">
        <v>526</v>
      </c>
      <c r="I188" s="52" t="s">
        <v>552</v>
      </c>
      <c r="J188" s="52" t="s">
        <v>558</v>
      </c>
      <c r="K188" s="52" t="s">
        <v>529</v>
      </c>
      <c r="L188" s="52" t="s">
        <v>542</v>
      </c>
      <c r="M188" s="52" t="s">
        <v>553</v>
      </c>
      <c r="N188" s="52" t="s">
        <v>532</v>
      </c>
      <c r="O188" s="52" t="s">
        <v>579</v>
      </c>
      <c r="P188" s="52" t="s">
        <v>543</v>
      </c>
      <c r="Q188" s="52" t="s">
        <v>544</v>
      </c>
      <c r="R188" s="52" t="s">
        <v>545</v>
      </c>
      <c r="S188" s="52" t="s">
        <v>546</v>
      </c>
      <c r="T188" s="52" t="s">
        <v>537</v>
      </c>
      <c r="U188" s="52" t="s">
        <v>548</v>
      </c>
      <c r="V188" s="52" t="s">
        <v>155</v>
      </c>
      <c r="W188" s="52" t="s">
        <v>549</v>
      </c>
      <c r="X188" s="104">
        <v>5</v>
      </c>
      <c r="Y188" s="104">
        <v>5</v>
      </c>
      <c r="Z188" s="104">
        <v>8</v>
      </c>
      <c r="AA188" s="104">
        <v>2</v>
      </c>
      <c r="AB188" s="104">
        <v>2</v>
      </c>
      <c r="AC188" s="104">
        <v>5</v>
      </c>
      <c r="AD188" s="104">
        <v>5</v>
      </c>
      <c r="AE188" s="104">
        <v>4</v>
      </c>
      <c r="AF188" s="104">
        <v>3</v>
      </c>
      <c r="AG188" s="104">
        <v>5</v>
      </c>
      <c r="AH188" s="104">
        <v>5</v>
      </c>
      <c r="AI188" s="104">
        <v>6</v>
      </c>
      <c r="AJ188" s="104">
        <v>6</v>
      </c>
      <c r="AK188" s="104">
        <v>5</v>
      </c>
      <c r="AL188" s="104">
        <v>4</v>
      </c>
      <c r="AM188" s="104">
        <v>5</v>
      </c>
      <c r="AN188" s="104">
        <v>4</v>
      </c>
      <c r="AO188" s="104">
        <v>2</v>
      </c>
      <c r="AP188" s="104">
        <v>2</v>
      </c>
      <c r="AQ188" s="104">
        <v>7</v>
      </c>
    </row>
    <row r="189" spans="1:43" x14ac:dyDescent="0.35">
      <c r="A189" s="52">
        <v>186</v>
      </c>
      <c r="B189" s="52" t="s">
        <v>709</v>
      </c>
      <c r="C189" s="93"/>
      <c r="D189" s="102" t="s">
        <v>522</v>
      </c>
      <c r="E189" s="102" t="s">
        <v>523</v>
      </c>
      <c r="F189" s="102" t="s">
        <v>524</v>
      </c>
      <c r="G189" s="102" t="s">
        <v>525</v>
      </c>
      <c r="H189" s="102" t="s">
        <v>551</v>
      </c>
      <c r="I189" s="102" t="s">
        <v>541</v>
      </c>
      <c r="J189" s="102" t="s">
        <v>140</v>
      </c>
      <c r="K189" s="102" t="s">
        <v>529</v>
      </c>
      <c r="L189" s="102" t="s">
        <v>152</v>
      </c>
      <c r="M189" s="102" t="s">
        <v>553</v>
      </c>
      <c r="N189" s="102" t="s">
        <v>142</v>
      </c>
      <c r="O189" s="102" t="s">
        <v>554</v>
      </c>
      <c r="P189" s="102" t="s">
        <v>534</v>
      </c>
      <c r="Q189" s="102" t="s">
        <v>544</v>
      </c>
      <c r="R189" s="102" t="s">
        <v>567</v>
      </c>
      <c r="S189" s="102" t="s">
        <v>536</v>
      </c>
      <c r="T189" s="102" t="s">
        <v>547</v>
      </c>
      <c r="U189" s="102" t="s">
        <v>154</v>
      </c>
      <c r="V189" s="102" t="s">
        <v>155</v>
      </c>
      <c r="W189" s="102" t="s">
        <v>549</v>
      </c>
      <c r="X189" s="104">
        <v>5</v>
      </c>
      <c r="Y189" s="104">
        <v>7</v>
      </c>
      <c r="Z189" s="104">
        <v>6</v>
      </c>
      <c r="AA189" s="104">
        <v>7</v>
      </c>
      <c r="AB189" s="104">
        <v>7</v>
      </c>
      <c r="AC189" s="104">
        <v>6</v>
      </c>
      <c r="AD189" s="104">
        <v>3</v>
      </c>
      <c r="AE189" s="104">
        <v>3</v>
      </c>
      <c r="AF189" s="104">
        <v>2</v>
      </c>
      <c r="AG189" s="104">
        <v>5</v>
      </c>
      <c r="AH189" s="104">
        <v>2</v>
      </c>
      <c r="AI189" s="104">
        <v>3</v>
      </c>
      <c r="AJ189" s="104">
        <v>3</v>
      </c>
      <c r="AK189" s="104">
        <v>5</v>
      </c>
      <c r="AL189" s="104">
        <v>6</v>
      </c>
      <c r="AM189" s="104">
        <v>7</v>
      </c>
      <c r="AN189" s="104">
        <v>3</v>
      </c>
      <c r="AO189" s="104">
        <v>1</v>
      </c>
      <c r="AP189" s="104">
        <v>3</v>
      </c>
      <c r="AQ189" s="104">
        <v>6</v>
      </c>
    </row>
    <row r="190" spans="1:43" x14ac:dyDescent="0.35">
      <c r="A190" s="52">
        <v>187</v>
      </c>
      <c r="B190" s="52" t="s">
        <v>930</v>
      </c>
      <c r="C190" s="93"/>
      <c r="D190" s="52" t="s">
        <v>522</v>
      </c>
      <c r="E190" s="52" t="s">
        <v>569</v>
      </c>
      <c r="F190" s="52" t="s">
        <v>148</v>
      </c>
      <c r="G190" s="52" t="s">
        <v>556</v>
      </c>
      <c r="H190" s="52" t="s">
        <v>551</v>
      </c>
      <c r="I190" s="52" t="s">
        <v>527</v>
      </c>
      <c r="J190" s="52" t="s">
        <v>140</v>
      </c>
      <c r="K190" s="52" t="s">
        <v>529</v>
      </c>
      <c r="L190" s="52" t="s">
        <v>542</v>
      </c>
      <c r="M190" s="52" t="s">
        <v>553</v>
      </c>
      <c r="N190" s="52" t="s">
        <v>532</v>
      </c>
      <c r="O190" s="52" t="s">
        <v>533</v>
      </c>
      <c r="P190" s="52" t="s">
        <v>534</v>
      </c>
      <c r="Q190" s="52" t="s">
        <v>544</v>
      </c>
      <c r="R190" s="52" t="s">
        <v>567</v>
      </c>
      <c r="S190" s="52" t="s">
        <v>568</v>
      </c>
      <c r="T190" s="52" t="s">
        <v>547</v>
      </c>
      <c r="U190" s="52" t="s">
        <v>154</v>
      </c>
      <c r="V190" s="52" t="s">
        <v>155</v>
      </c>
      <c r="W190" s="52" t="s">
        <v>549</v>
      </c>
      <c r="X190" s="104">
        <v>5</v>
      </c>
      <c r="Y190" s="104">
        <v>9</v>
      </c>
      <c r="Z190" s="104">
        <v>1</v>
      </c>
      <c r="AA190" s="104">
        <v>3</v>
      </c>
      <c r="AB190" s="104">
        <v>6</v>
      </c>
      <c r="AC190" s="104">
        <v>2</v>
      </c>
      <c r="AD190" s="104">
        <v>3</v>
      </c>
      <c r="AE190" s="104">
        <v>4</v>
      </c>
      <c r="AF190" s="104">
        <v>5</v>
      </c>
      <c r="AG190" s="104">
        <v>5</v>
      </c>
      <c r="AH190" s="104">
        <v>7</v>
      </c>
      <c r="AI190" s="104">
        <v>5</v>
      </c>
      <c r="AJ190" s="104">
        <v>4</v>
      </c>
      <c r="AK190" s="104">
        <v>5</v>
      </c>
      <c r="AL190" s="104">
        <v>6</v>
      </c>
      <c r="AM190" s="104">
        <v>8</v>
      </c>
      <c r="AN190" s="104">
        <v>2</v>
      </c>
      <c r="AO190" s="104">
        <v>1</v>
      </c>
      <c r="AP190" s="104">
        <v>3</v>
      </c>
      <c r="AQ190" s="104">
        <v>6</v>
      </c>
    </row>
    <row r="191" spans="1:43" x14ac:dyDescent="0.35">
      <c r="A191" s="52">
        <v>188</v>
      </c>
      <c r="B191" s="52" t="s">
        <v>1200</v>
      </c>
      <c r="C191" s="93"/>
      <c r="D191" s="52" t="s">
        <v>147</v>
      </c>
      <c r="E191" s="52" t="s">
        <v>523</v>
      </c>
      <c r="F191" s="52" t="s">
        <v>148</v>
      </c>
      <c r="G191" s="52" t="s">
        <v>525</v>
      </c>
      <c r="H191" s="52" t="s">
        <v>566</v>
      </c>
      <c r="I191" s="52" t="s">
        <v>541</v>
      </c>
      <c r="J191" s="52" t="s">
        <v>140</v>
      </c>
      <c r="K191" s="52" t="s">
        <v>529</v>
      </c>
      <c r="L191" s="52" t="s">
        <v>530</v>
      </c>
      <c r="M191" s="52" t="s">
        <v>531</v>
      </c>
      <c r="N191" s="52" t="s">
        <v>532</v>
      </c>
      <c r="O191" s="52" t="s">
        <v>579</v>
      </c>
      <c r="P191" s="52" t="s">
        <v>145</v>
      </c>
      <c r="Q191" s="52" t="s">
        <v>544</v>
      </c>
      <c r="R191" s="52" t="s">
        <v>545</v>
      </c>
      <c r="S191" s="52" t="s">
        <v>536</v>
      </c>
      <c r="T191" s="52" t="s">
        <v>547</v>
      </c>
      <c r="U191" s="52" t="s">
        <v>548</v>
      </c>
      <c r="V191" s="52" t="s">
        <v>155</v>
      </c>
      <c r="W191" s="52" t="s">
        <v>549</v>
      </c>
      <c r="X191" s="104">
        <v>1</v>
      </c>
      <c r="Y191" s="104">
        <v>7</v>
      </c>
      <c r="Z191" s="104">
        <v>3</v>
      </c>
      <c r="AA191" s="104">
        <v>6</v>
      </c>
      <c r="AB191" s="104">
        <v>5</v>
      </c>
      <c r="AC191" s="104">
        <v>6</v>
      </c>
      <c r="AD191" s="104">
        <v>3</v>
      </c>
      <c r="AE191" s="104">
        <v>4</v>
      </c>
      <c r="AF191" s="104">
        <v>7</v>
      </c>
      <c r="AG191" s="104">
        <v>7</v>
      </c>
      <c r="AH191" s="104">
        <v>8</v>
      </c>
      <c r="AI191" s="104">
        <v>6</v>
      </c>
      <c r="AJ191" s="104">
        <v>1</v>
      </c>
      <c r="AK191" s="104">
        <v>4</v>
      </c>
      <c r="AL191" s="104">
        <v>4</v>
      </c>
      <c r="AM191" s="104">
        <v>6</v>
      </c>
      <c r="AN191" s="104">
        <v>2</v>
      </c>
      <c r="AO191" s="104">
        <v>3</v>
      </c>
      <c r="AP191" s="104">
        <v>1</v>
      </c>
      <c r="AQ191" s="104">
        <v>6</v>
      </c>
    </row>
    <row r="192" spans="1:43" x14ac:dyDescent="0.35">
      <c r="A192" s="52">
        <v>189</v>
      </c>
      <c r="B192" s="52" t="s">
        <v>662</v>
      </c>
      <c r="C192" s="93"/>
      <c r="D192" s="102" t="s">
        <v>522</v>
      </c>
      <c r="E192" s="102" t="s">
        <v>540</v>
      </c>
      <c r="F192" s="102" t="s">
        <v>148</v>
      </c>
      <c r="G192" s="102" t="s">
        <v>556</v>
      </c>
      <c r="H192" s="102" t="s">
        <v>566</v>
      </c>
      <c r="I192" s="102" t="s">
        <v>552</v>
      </c>
      <c r="J192" s="102" t="s">
        <v>558</v>
      </c>
      <c r="K192" s="102" t="s">
        <v>529</v>
      </c>
      <c r="L192" s="102" t="s">
        <v>542</v>
      </c>
      <c r="M192" s="102" t="s">
        <v>553</v>
      </c>
      <c r="N192" s="102" t="s">
        <v>562</v>
      </c>
      <c r="O192" s="102" t="s">
        <v>554</v>
      </c>
      <c r="P192" s="102" t="s">
        <v>543</v>
      </c>
      <c r="Q192" s="102" t="s">
        <v>544</v>
      </c>
      <c r="R192" s="102" t="s">
        <v>567</v>
      </c>
      <c r="S192" s="102" t="s">
        <v>546</v>
      </c>
      <c r="T192" s="102" t="s">
        <v>547</v>
      </c>
      <c r="U192" s="102" t="s">
        <v>576</v>
      </c>
      <c r="V192" s="102" t="s">
        <v>155</v>
      </c>
      <c r="W192" s="102" t="s">
        <v>574</v>
      </c>
      <c r="X192" s="104">
        <v>5</v>
      </c>
      <c r="Y192" s="104">
        <v>4</v>
      </c>
      <c r="Z192" s="104">
        <v>3</v>
      </c>
      <c r="AA192" s="104">
        <v>2</v>
      </c>
      <c r="AB192" s="104">
        <v>5</v>
      </c>
      <c r="AC192" s="104">
        <v>5</v>
      </c>
      <c r="AD192" s="104">
        <v>5</v>
      </c>
      <c r="AE192" s="104">
        <v>5</v>
      </c>
      <c r="AF192" s="104">
        <v>3</v>
      </c>
      <c r="AG192" s="104">
        <v>3</v>
      </c>
      <c r="AH192" s="104">
        <v>3</v>
      </c>
      <c r="AI192" s="104">
        <v>3</v>
      </c>
      <c r="AJ192" s="104">
        <v>6</v>
      </c>
      <c r="AK192" s="104">
        <v>6</v>
      </c>
      <c r="AL192" s="104">
        <v>7</v>
      </c>
      <c r="AM192" s="104">
        <v>5</v>
      </c>
      <c r="AN192" s="104">
        <v>2</v>
      </c>
      <c r="AO192" s="104">
        <v>7</v>
      </c>
      <c r="AP192" s="104">
        <v>3</v>
      </c>
      <c r="AQ192" s="104">
        <v>8</v>
      </c>
    </row>
    <row r="193" spans="1:43" x14ac:dyDescent="0.35">
      <c r="A193" s="52">
        <v>190</v>
      </c>
      <c r="B193" s="52" t="s">
        <v>938</v>
      </c>
      <c r="C193" s="93"/>
      <c r="D193" s="52" t="s">
        <v>539</v>
      </c>
      <c r="E193" s="52" t="s">
        <v>523</v>
      </c>
      <c r="F193" s="52" t="s">
        <v>524</v>
      </c>
      <c r="G193" s="52" t="s">
        <v>525</v>
      </c>
      <c r="H193" s="52" t="s">
        <v>526</v>
      </c>
      <c r="I193" s="52" t="s">
        <v>527</v>
      </c>
      <c r="J193" s="52" t="s">
        <v>140</v>
      </c>
      <c r="K193" s="52" t="s">
        <v>529</v>
      </c>
      <c r="L193" s="52" t="s">
        <v>530</v>
      </c>
      <c r="M193" s="52" t="s">
        <v>553</v>
      </c>
      <c r="N193" s="52" t="s">
        <v>532</v>
      </c>
      <c r="O193" s="52" t="s">
        <v>554</v>
      </c>
      <c r="P193" s="52" t="s">
        <v>543</v>
      </c>
      <c r="Q193" s="52" t="s">
        <v>144</v>
      </c>
      <c r="R193" s="52" t="s">
        <v>567</v>
      </c>
      <c r="S193" s="52" t="s">
        <v>568</v>
      </c>
      <c r="T193" s="52" t="s">
        <v>557</v>
      </c>
      <c r="U193" s="52" t="s">
        <v>576</v>
      </c>
      <c r="V193" s="52" t="s">
        <v>155</v>
      </c>
      <c r="W193" s="52" t="s">
        <v>156</v>
      </c>
      <c r="X193" s="104">
        <v>6</v>
      </c>
      <c r="Y193" s="104">
        <v>5</v>
      </c>
      <c r="Z193" s="104">
        <v>5</v>
      </c>
      <c r="AA193" s="104">
        <v>6</v>
      </c>
      <c r="AB193" s="104">
        <v>3</v>
      </c>
      <c r="AC193" s="104">
        <v>3</v>
      </c>
      <c r="AD193" s="104">
        <v>2</v>
      </c>
      <c r="AE193" s="104">
        <v>3</v>
      </c>
      <c r="AF193" s="104">
        <v>6</v>
      </c>
      <c r="AG193" s="104">
        <v>3</v>
      </c>
      <c r="AH193" s="104">
        <v>7</v>
      </c>
      <c r="AI193" s="104">
        <v>3</v>
      </c>
      <c r="AJ193" s="104">
        <v>5</v>
      </c>
      <c r="AK193" s="104">
        <v>1</v>
      </c>
      <c r="AL193" s="104">
        <v>6</v>
      </c>
      <c r="AM193" s="104">
        <v>8</v>
      </c>
      <c r="AN193" s="104">
        <v>7</v>
      </c>
      <c r="AO193" s="104">
        <v>6</v>
      </c>
      <c r="AP193" s="104">
        <v>2</v>
      </c>
      <c r="AQ193" s="104">
        <v>3</v>
      </c>
    </row>
    <row r="194" spans="1:43" x14ac:dyDescent="0.35">
      <c r="A194" s="52">
        <v>191</v>
      </c>
      <c r="B194" s="52" t="s">
        <v>299</v>
      </c>
      <c r="C194" s="93"/>
      <c r="D194" s="102" t="s">
        <v>522</v>
      </c>
      <c r="E194" s="102" t="s">
        <v>523</v>
      </c>
      <c r="F194" s="102" t="s">
        <v>148</v>
      </c>
      <c r="G194" s="102" t="s">
        <v>559</v>
      </c>
      <c r="H194" s="102" t="s">
        <v>551</v>
      </c>
      <c r="I194" s="102" t="s">
        <v>541</v>
      </c>
      <c r="J194" s="102" t="s">
        <v>558</v>
      </c>
      <c r="K194" s="102" t="s">
        <v>529</v>
      </c>
      <c r="L194" s="102" t="s">
        <v>530</v>
      </c>
      <c r="M194" s="102" t="s">
        <v>553</v>
      </c>
      <c r="N194" s="102" t="s">
        <v>562</v>
      </c>
      <c r="O194" s="102" t="s">
        <v>150</v>
      </c>
      <c r="P194" s="102" t="s">
        <v>543</v>
      </c>
      <c r="Q194" s="102" t="s">
        <v>144</v>
      </c>
      <c r="R194" s="102" t="s">
        <v>545</v>
      </c>
      <c r="S194" s="102" t="s">
        <v>536</v>
      </c>
      <c r="T194" s="102" t="s">
        <v>146</v>
      </c>
      <c r="U194" s="102" t="s">
        <v>548</v>
      </c>
      <c r="V194" s="102" t="s">
        <v>81</v>
      </c>
      <c r="W194" s="102" t="s">
        <v>549</v>
      </c>
      <c r="X194" s="104">
        <v>3</v>
      </c>
      <c r="Y194" s="104">
        <v>7</v>
      </c>
      <c r="Z194" s="104">
        <v>3</v>
      </c>
      <c r="AA194" s="104">
        <v>9</v>
      </c>
      <c r="AB194" s="104">
        <v>6</v>
      </c>
      <c r="AC194" s="104">
        <v>6</v>
      </c>
      <c r="AD194" s="104">
        <v>4</v>
      </c>
      <c r="AE194" s="104">
        <v>4</v>
      </c>
      <c r="AF194" s="104">
        <v>6</v>
      </c>
      <c r="AG194" s="104">
        <v>4</v>
      </c>
      <c r="AH194" s="104">
        <v>4</v>
      </c>
      <c r="AI194" s="104">
        <v>1</v>
      </c>
      <c r="AJ194" s="104">
        <v>5</v>
      </c>
      <c r="AK194" s="104">
        <v>1</v>
      </c>
      <c r="AL194" s="104">
        <v>4</v>
      </c>
      <c r="AM194" s="104">
        <v>7</v>
      </c>
      <c r="AN194" s="104">
        <v>1</v>
      </c>
      <c r="AO194" s="104">
        <v>3</v>
      </c>
      <c r="AP194" s="104">
        <v>5</v>
      </c>
      <c r="AQ194" s="104">
        <v>7</v>
      </c>
    </row>
    <row r="195" spans="1:43" x14ac:dyDescent="0.35">
      <c r="A195" s="52">
        <v>192</v>
      </c>
      <c r="B195" s="52" t="s">
        <v>1184</v>
      </c>
      <c r="C195" s="93"/>
      <c r="D195" s="52" t="s">
        <v>522</v>
      </c>
      <c r="E195" s="52" t="s">
        <v>523</v>
      </c>
      <c r="F195" s="52" t="s">
        <v>148</v>
      </c>
      <c r="G195" s="52" t="s">
        <v>525</v>
      </c>
      <c r="H195" s="52" t="s">
        <v>551</v>
      </c>
      <c r="I195" s="52" t="s">
        <v>527</v>
      </c>
      <c r="J195" s="52" t="s">
        <v>558</v>
      </c>
      <c r="K195" s="52" t="s">
        <v>529</v>
      </c>
      <c r="L195" s="52" t="s">
        <v>542</v>
      </c>
      <c r="M195" s="52" t="s">
        <v>553</v>
      </c>
      <c r="N195" s="52" t="s">
        <v>142</v>
      </c>
      <c r="O195" s="52" t="s">
        <v>571</v>
      </c>
      <c r="P195" s="52" t="s">
        <v>543</v>
      </c>
      <c r="Q195" s="52" t="s">
        <v>544</v>
      </c>
      <c r="R195" s="52" t="s">
        <v>545</v>
      </c>
      <c r="S195" s="52" t="s">
        <v>565</v>
      </c>
      <c r="T195" s="52" t="s">
        <v>537</v>
      </c>
      <c r="U195" s="52" t="s">
        <v>548</v>
      </c>
      <c r="V195" s="52" t="s">
        <v>81</v>
      </c>
      <c r="W195" s="52" t="s">
        <v>574</v>
      </c>
      <c r="X195" s="104">
        <v>4</v>
      </c>
      <c r="Y195" s="104">
        <v>5</v>
      </c>
      <c r="Z195" s="104">
        <v>4</v>
      </c>
      <c r="AA195" s="104">
        <v>7</v>
      </c>
      <c r="AB195" s="104">
        <v>7</v>
      </c>
      <c r="AC195" s="104">
        <v>3</v>
      </c>
      <c r="AD195" s="104">
        <v>5</v>
      </c>
      <c r="AE195" s="104">
        <v>5</v>
      </c>
      <c r="AF195" s="104">
        <v>3</v>
      </c>
      <c r="AG195" s="104">
        <v>3</v>
      </c>
      <c r="AH195" s="104">
        <v>2</v>
      </c>
      <c r="AI195" s="104">
        <v>4</v>
      </c>
      <c r="AJ195" s="104">
        <v>5</v>
      </c>
      <c r="AK195" s="104">
        <v>4</v>
      </c>
      <c r="AL195" s="104">
        <v>5</v>
      </c>
      <c r="AM195" s="104">
        <v>3</v>
      </c>
      <c r="AN195" s="104">
        <v>4</v>
      </c>
      <c r="AO195" s="104">
        <v>3</v>
      </c>
      <c r="AP195" s="104">
        <v>6</v>
      </c>
      <c r="AQ195" s="104">
        <v>8</v>
      </c>
    </row>
    <row r="196" spans="1:43" x14ac:dyDescent="0.35">
      <c r="A196" s="52">
        <v>193</v>
      </c>
      <c r="B196" s="52" t="s">
        <v>1129</v>
      </c>
      <c r="C196" s="93"/>
      <c r="D196" s="52" t="s">
        <v>539</v>
      </c>
      <c r="E196" s="52" t="s">
        <v>569</v>
      </c>
      <c r="F196" s="52" t="s">
        <v>524</v>
      </c>
      <c r="G196" s="52" t="s">
        <v>525</v>
      </c>
      <c r="H196" s="52" t="s">
        <v>551</v>
      </c>
      <c r="I196" s="52" t="s">
        <v>572</v>
      </c>
      <c r="J196" s="52" t="s">
        <v>558</v>
      </c>
      <c r="K196" s="52" t="s">
        <v>529</v>
      </c>
      <c r="L196" s="52" t="s">
        <v>542</v>
      </c>
      <c r="M196" s="52" t="s">
        <v>531</v>
      </c>
      <c r="N196" s="52" t="s">
        <v>142</v>
      </c>
      <c r="O196" s="52" t="s">
        <v>571</v>
      </c>
      <c r="P196" s="52" t="s">
        <v>534</v>
      </c>
      <c r="Q196" s="52" t="s">
        <v>535</v>
      </c>
      <c r="R196" s="52" t="s">
        <v>545</v>
      </c>
      <c r="S196" s="52" t="s">
        <v>536</v>
      </c>
      <c r="T196" s="52" t="s">
        <v>146</v>
      </c>
      <c r="U196" s="52" t="s">
        <v>538</v>
      </c>
      <c r="V196" s="52" t="s">
        <v>155</v>
      </c>
      <c r="W196" s="52" t="s">
        <v>156</v>
      </c>
      <c r="X196" s="104">
        <v>6</v>
      </c>
      <c r="Y196" s="104">
        <v>8</v>
      </c>
      <c r="Z196" s="104">
        <v>7</v>
      </c>
      <c r="AA196" s="104">
        <v>7</v>
      </c>
      <c r="AB196" s="104">
        <v>7</v>
      </c>
      <c r="AC196" s="104">
        <v>8</v>
      </c>
      <c r="AD196" s="104">
        <v>6</v>
      </c>
      <c r="AE196" s="104">
        <v>4</v>
      </c>
      <c r="AF196" s="104">
        <v>3</v>
      </c>
      <c r="AG196" s="104">
        <v>6</v>
      </c>
      <c r="AH196" s="104">
        <v>1</v>
      </c>
      <c r="AI196" s="104">
        <v>4</v>
      </c>
      <c r="AJ196" s="104">
        <v>3</v>
      </c>
      <c r="AK196" s="104">
        <v>3</v>
      </c>
      <c r="AL196" s="104">
        <v>4</v>
      </c>
      <c r="AM196" s="104">
        <v>6</v>
      </c>
      <c r="AN196" s="104">
        <v>1</v>
      </c>
      <c r="AO196" s="104">
        <v>4</v>
      </c>
      <c r="AP196" s="104">
        <v>1</v>
      </c>
      <c r="AQ196" s="104">
        <v>1</v>
      </c>
    </row>
    <row r="197" spans="1:43" x14ac:dyDescent="0.35">
      <c r="A197" s="52">
        <v>194</v>
      </c>
      <c r="B197" s="52" t="s">
        <v>1182</v>
      </c>
      <c r="C197" s="93"/>
      <c r="D197" s="52" t="s">
        <v>539</v>
      </c>
      <c r="E197" s="52" t="s">
        <v>540</v>
      </c>
      <c r="F197" s="52" t="s">
        <v>573</v>
      </c>
      <c r="G197" s="52" t="s">
        <v>138</v>
      </c>
      <c r="H197" s="52" t="s">
        <v>561</v>
      </c>
      <c r="I197" s="52" t="s">
        <v>527</v>
      </c>
      <c r="J197" s="52" t="s">
        <v>140</v>
      </c>
      <c r="K197" s="52" t="s">
        <v>529</v>
      </c>
      <c r="L197" s="52" t="s">
        <v>530</v>
      </c>
      <c r="M197" s="52" t="s">
        <v>553</v>
      </c>
      <c r="N197" s="52" t="s">
        <v>532</v>
      </c>
      <c r="O197" s="52" t="s">
        <v>150</v>
      </c>
      <c r="P197" s="52" t="s">
        <v>543</v>
      </c>
      <c r="Q197" s="52" t="s">
        <v>544</v>
      </c>
      <c r="R197" s="52" t="s">
        <v>567</v>
      </c>
      <c r="S197" s="52" t="s">
        <v>546</v>
      </c>
      <c r="T197" s="52" t="s">
        <v>557</v>
      </c>
      <c r="U197" s="52" t="s">
        <v>154</v>
      </c>
      <c r="V197" s="52" t="s">
        <v>155</v>
      </c>
      <c r="W197" s="52" t="s">
        <v>549</v>
      </c>
      <c r="X197" s="104">
        <v>7</v>
      </c>
      <c r="Y197" s="104">
        <v>4</v>
      </c>
      <c r="Z197" s="104">
        <v>8</v>
      </c>
      <c r="AA197" s="104">
        <v>1</v>
      </c>
      <c r="AB197" s="104">
        <v>4</v>
      </c>
      <c r="AC197" s="104">
        <v>3</v>
      </c>
      <c r="AD197" s="104">
        <v>2</v>
      </c>
      <c r="AE197" s="104">
        <v>5</v>
      </c>
      <c r="AF197" s="104">
        <v>6</v>
      </c>
      <c r="AG197" s="104">
        <v>5</v>
      </c>
      <c r="AH197" s="104">
        <v>6</v>
      </c>
      <c r="AI197" s="104">
        <v>1</v>
      </c>
      <c r="AJ197" s="104">
        <v>6</v>
      </c>
      <c r="AK197" s="104">
        <v>5</v>
      </c>
      <c r="AL197" s="104">
        <v>6</v>
      </c>
      <c r="AM197" s="104">
        <v>4</v>
      </c>
      <c r="AN197" s="104">
        <v>7</v>
      </c>
      <c r="AO197" s="104">
        <v>1</v>
      </c>
      <c r="AP197" s="104">
        <v>3</v>
      </c>
      <c r="AQ197" s="104">
        <v>6</v>
      </c>
    </row>
    <row r="198" spans="1:43" x14ac:dyDescent="0.35">
      <c r="A198" s="52">
        <v>195</v>
      </c>
      <c r="B198" s="52" t="s">
        <v>714</v>
      </c>
      <c r="C198" s="93"/>
      <c r="D198" s="102" t="s">
        <v>522</v>
      </c>
      <c r="E198" s="102" t="s">
        <v>569</v>
      </c>
      <c r="F198" s="102" t="s">
        <v>573</v>
      </c>
      <c r="G198" s="102" t="s">
        <v>556</v>
      </c>
      <c r="H198" s="102" t="s">
        <v>526</v>
      </c>
      <c r="I198" s="102" t="s">
        <v>527</v>
      </c>
      <c r="J198" s="102" t="s">
        <v>558</v>
      </c>
      <c r="K198" s="102" t="s">
        <v>529</v>
      </c>
      <c r="L198" s="102" t="s">
        <v>542</v>
      </c>
      <c r="M198" s="102" t="s">
        <v>553</v>
      </c>
      <c r="N198" s="102" t="s">
        <v>532</v>
      </c>
      <c r="O198" s="102" t="s">
        <v>554</v>
      </c>
      <c r="P198" s="102" t="s">
        <v>534</v>
      </c>
      <c r="Q198" s="102" t="s">
        <v>544</v>
      </c>
      <c r="R198" s="102" t="s">
        <v>545</v>
      </c>
      <c r="S198" s="102" t="s">
        <v>536</v>
      </c>
      <c r="T198" s="102" t="s">
        <v>547</v>
      </c>
      <c r="U198" s="102" t="s">
        <v>576</v>
      </c>
      <c r="V198" s="102" t="s">
        <v>155</v>
      </c>
      <c r="W198" s="102" t="s">
        <v>555</v>
      </c>
      <c r="X198" s="104">
        <v>5</v>
      </c>
      <c r="Y198" s="104">
        <v>9</v>
      </c>
      <c r="Z198" s="104">
        <v>8</v>
      </c>
      <c r="AA198" s="104">
        <v>3</v>
      </c>
      <c r="AB198" s="104">
        <v>3</v>
      </c>
      <c r="AC198" s="104">
        <v>3</v>
      </c>
      <c r="AD198" s="104">
        <v>5</v>
      </c>
      <c r="AE198" s="104">
        <v>4</v>
      </c>
      <c r="AF198" s="104">
        <v>4</v>
      </c>
      <c r="AG198" s="104">
        <v>5</v>
      </c>
      <c r="AH198" s="104">
        <v>6</v>
      </c>
      <c r="AI198" s="104">
        <v>2</v>
      </c>
      <c r="AJ198" s="104">
        <v>3</v>
      </c>
      <c r="AK198" s="104">
        <v>5</v>
      </c>
      <c r="AL198" s="104">
        <v>5</v>
      </c>
      <c r="AM198" s="104">
        <v>6</v>
      </c>
      <c r="AN198" s="104">
        <v>2</v>
      </c>
      <c r="AO198" s="104">
        <v>6</v>
      </c>
      <c r="AP198" s="104">
        <v>2</v>
      </c>
      <c r="AQ198" s="104">
        <v>4</v>
      </c>
    </row>
    <row r="199" spans="1:43" x14ac:dyDescent="0.35">
      <c r="A199" s="52">
        <v>196</v>
      </c>
      <c r="B199" s="52" t="s">
        <v>971</v>
      </c>
      <c r="C199" s="93"/>
      <c r="D199" s="52" t="s">
        <v>539</v>
      </c>
      <c r="E199" s="52" t="s">
        <v>523</v>
      </c>
      <c r="F199" s="52" t="s">
        <v>524</v>
      </c>
      <c r="G199" s="52" t="s">
        <v>570</v>
      </c>
      <c r="H199" s="52" t="s">
        <v>561</v>
      </c>
      <c r="I199" s="52" t="s">
        <v>552</v>
      </c>
      <c r="J199" s="52" t="s">
        <v>140</v>
      </c>
      <c r="K199" s="52" t="s">
        <v>529</v>
      </c>
      <c r="L199" s="52" t="s">
        <v>530</v>
      </c>
      <c r="M199" s="52" t="s">
        <v>553</v>
      </c>
      <c r="N199" s="52" t="s">
        <v>562</v>
      </c>
      <c r="O199" s="52" t="s">
        <v>554</v>
      </c>
      <c r="P199" s="52" t="s">
        <v>563</v>
      </c>
      <c r="Q199" s="52" t="s">
        <v>544</v>
      </c>
      <c r="R199" s="52" t="s">
        <v>567</v>
      </c>
      <c r="S199" s="52" t="s">
        <v>546</v>
      </c>
      <c r="T199" s="52" t="s">
        <v>547</v>
      </c>
      <c r="U199" s="52" t="s">
        <v>538</v>
      </c>
      <c r="V199" s="52" t="s">
        <v>155</v>
      </c>
      <c r="W199" s="52" t="s">
        <v>555</v>
      </c>
      <c r="X199" s="104">
        <v>7</v>
      </c>
      <c r="Y199" s="104">
        <v>6</v>
      </c>
      <c r="Z199" s="104">
        <v>7</v>
      </c>
      <c r="AA199" s="104">
        <v>5</v>
      </c>
      <c r="AB199" s="104">
        <v>4</v>
      </c>
      <c r="AC199" s="104">
        <v>5</v>
      </c>
      <c r="AD199" s="104">
        <v>2</v>
      </c>
      <c r="AE199" s="104">
        <v>3</v>
      </c>
      <c r="AF199" s="104">
        <v>7</v>
      </c>
      <c r="AG199" s="104">
        <v>3</v>
      </c>
      <c r="AH199" s="104">
        <v>4</v>
      </c>
      <c r="AI199" s="104">
        <v>2</v>
      </c>
      <c r="AJ199" s="104">
        <v>7</v>
      </c>
      <c r="AK199" s="104">
        <v>4</v>
      </c>
      <c r="AL199" s="104">
        <v>6</v>
      </c>
      <c r="AM199" s="104">
        <v>5</v>
      </c>
      <c r="AN199" s="104">
        <v>3</v>
      </c>
      <c r="AO199" s="104">
        <v>4</v>
      </c>
      <c r="AP199" s="104">
        <v>2</v>
      </c>
      <c r="AQ199" s="104">
        <v>4</v>
      </c>
    </row>
    <row r="200" spans="1:43" x14ac:dyDescent="0.35">
      <c r="A200" s="52">
        <v>197</v>
      </c>
      <c r="B200" s="52" t="s">
        <v>276</v>
      </c>
      <c r="C200" s="93"/>
      <c r="D200" s="102" t="s">
        <v>539</v>
      </c>
      <c r="E200" s="102" t="s">
        <v>523</v>
      </c>
      <c r="F200" s="102" t="s">
        <v>524</v>
      </c>
      <c r="G200" s="102" t="s">
        <v>556</v>
      </c>
      <c r="H200" s="102" t="s">
        <v>526</v>
      </c>
      <c r="I200" s="102" t="s">
        <v>552</v>
      </c>
      <c r="J200" s="102" t="s">
        <v>140</v>
      </c>
      <c r="K200" s="102" t="s">
        <v>529</v>
      </c>
      <c r="L200" s="102" t="s">
        <v>152</v>
      </c>
      <c r="M200" s="102" t="s">
        <v>553</v>
      </c>
      <c r="N200" s="102" t="s">
        <v>532</v>
      </c>
      <c r="O200" s="102" t="s">
        <v>554</v>
      </c>
      <c r="P200" s="102" t="s">
        <v>563</v>
      </c>
      <c r="Q200" s="102" t="s">
        <v>544</v>
      </c>
      <c r="R200" s="102" t="s">
        <v>545</v>
      </c>
      <c r="S200" s="102" t="s">
        <v>546</v>
      </c>
      <c r="T200" s="102" t="s">
        <v>537</v>
      </c>
      <c r="U200" s="102" t="s">
        <v>538</v>
      </c>
      <c r="V200" s="102" t="s">
        <v>81</v>
      </c>
      <c r="W200" s="102" t="s">
        <v>549</v>
      </c>
      <c r="X200" s="104">
        <v>6</v>
      </c>
      <c r="Y200" s="104">
        <v>7</v>
      </c>
      <c r="Z200" s="104">
        <v>7</v>
      </c>
      <c r="AA200" s="104">
        <v>2</v>
      </c>
      <c r="AB200" s="104">
        <v>3</v>
      </c>
      <c r="AC200" s="104">
        <v>4</v>
      </c>
      <c r="AD200" s="104">
        <v>1</v>
      </c>
      <c r="AE200" s="104">
        <v>4</v>
      </c>
      <c r="AF200" s="104">
        <v>1</v>
      </c>
      <c r="AG200" s="104">
        <v>5</v>
      </c>
      <c r="AH200" s="104">
        <v>5</v>
      </c>
      <c r="AI200" s="104">
        <v>3</v>
      </c>
      <c r="AJ200" s="104">
        <v>7</v>
      </c>
      <c r="AK200" s="104">
        <v>5</v>
      </c>
      <c r="AL200" s="104">
        <v>4</v>
      </c>
      <c r="AM200" s="104">
        <v>5</v>
      </c>
      <c r="AN200" s="104">
        <v>6</v>
      </c>
      <c r="AO200" s="104">
        <v>4</v>
      </c>
      <c r="AP200" s="104">
        <v>4</v>
      </c>
      <c r="AQ200" s="104">
        <v>7</v>
      </c>
    </row>
    <row r="201" spans="1:43" x14ac:dyDescent="0.35">
      <c r="A201" s="52">
        <v>198</v>
      </c>
      <c r="B201" s="52" t="s">
        <v>247</v>
      </c>
      <c r="C201" s="93"/>
      <c r="D201" s="102" t="s">
        <v>539</v>
      </c>
      <c r="E201" s="102" t="s">
        <v>523</v>
      </c>
      <c r="F201" s="102" t="s">
        <v>148</v>
      </c>
      <c r="G201" s="102" t="s">
        <v>556</v>
      </c>
      <c r="H201" s="102" t="s">
        <v>566</v>
      </c>
      <c r="I201" s="102" t="s">
        <v>552</v>
      </c>
      <c r="J201" s="102" t="s">
        <v>140</v>
      </c>
      <c r="K201" s="102" t="s">
        <v>529</v>
      </c>
      <c r="L201" s="102" t="s">
        <v>542</v>
      </c>
      <c r="M201" s="102" t="s">
        <v>553</v>
      </c>
      <c r="N201" s="102" t="s">
        <v>142</v>
      </c>
      <c r="O201" s="102" t="s">
        <v>554</v>
      </c>
      <c r="P201" s="102" t="s">
        <v>563</v>
      </c>
      <c r="Q201" s="102" t="s">
        <v>544</v>
      </c>
      <c r="R201" s="102" t="s">
        <v>567</v>
      </c>
      <c r="S201" s="102" t="s">
        <v>536</v>
      </c>
      <c r="T201" s="102" t="s">
        <v>547</v>
      </c>
      <c r="U201" s="102" t="s">
        <v>538</v>
      </c>
      <c r="V201" s="102" t="s">
        <v>155</v>
      </c>
      <c r="W201" s="102" t="s">
        <v>549</v>
      </c>
      <c r="X201" s="104">
        <v>6</v>
      </c>
      <c r="Y201" s="104">
        <v>5</v>
      </c>
      <c r="Z201" s="104">
        <v>3</v>
      </c>
      <c r="AA201" s="104">
        <v>3</v>
      </c>
      <c r="AB201" s="104">
        <v>5</v>
      </c>
      <c r="AC201" s="104">
        <v>5</v>
      </c>
      <c r="AD201" s="104">
        <v>3</v>
      </c>
      <c r="AE201" s="104">
        <v>4</v>
      </c>
      <c r="AF201" s="104">
        <v>4</v>
      </c>
      <c r="AG201" s="104">
        <v>5</v>
      </c>
      <c r="AH201" s="104">
        <v>2</v>
      </c>
      <c r="AI201" s="104">
        <v>2</v>
      </c>
      <c r="AJ201" s="104">
        <v>8</v>
      </c>
      <c r="AK201" s="104">
        <v>6</v>
      </c>
      <c r="AL201" s="104">
        <v>6</v>
      </c>
      <c r="AM201" s="104">
        <v>6</v>
      </c>
      <c r="AN201" s="104">
        <v>3</v>
      </c>
      <c r="AO201" s="104">
        <v>5</v>
      </c>
      <c r="AP201" s="104">
        <v>2</v>
      </c>
      <c r="AQ201" s="104">
        <v>7</v>
      </c>
    </row>
    <row r="202" spans="1:43" x14ac:dyDescent="0.35">
      <c r="A202" s="52">
        <v>199</v>
      </c>
      <c r="B202" s="52" t="s">
        <v>266</v>
      </c>
      <c r="C202" s="93"/>
      <c r="D202" s="102" t="s">
        <v>539</v>
      </c>
      <c r="E202" s="102" t="s">
        <v>540</v>
      </c>
      <c r="F202" s="102" t="s">
        <v>524</v>
      </c>
      <c r="G202" s="102" t="s">
        <v>550</v>
      </c>
      <c r="H202" s="102" t="s">
        <v>566</v>
      </c>
      <c r="I202" s="102" t="s">
        <v>541</v>
      </c>
      <c r="J202" s="102" t="s">
        <v>140</v>
      </c>
      <c r="K202" s="102" t="s">
        <v>529</v>
      </c>
      <c r="L202" s="102" t="s">
        <v>542</v>
      </c>
      <c r="M202" s="102" t="s">
        <v>553</v>
      </c>
      <c r="N202" s="102" t="s">
        <v>562</v>
      </c>
      <c r="O202" s="102" t="s">
        <v>150</v>
      </c>
      <c r="P202" s="102" t="s">
        <v>563</v>
      </c>
      <c r="Q202" s="102" t="s">
        <v>544</v>
      </c>
      <c r="R202" s="102" t="s">
        <v>545</v>
      </c>
      <c r="S202" s="102" t="s">
        <v>536</v>
      </c>
      <c r="T202" s="102" t="s">
        <v>537</v>
      </c>
      <c r="U202" s="102" t="s">
        <v>576</v>
      </c>
      <c r="V202" s="102" t="s">
        <v>155</v>
      </c>
      <c r="W202" s="102" t="s">
        <v>549</v>
      </c>
      <c r="X202" s="104">
        <v>6</v>
      </c>
      <c r="Y202" s="104">
        <v>4</v>
      </c>
      <c r="Z202" s="104">
        <v>6</v>
      </c>
      <c r="AA202" s="104">
        <v>4</v>
      </c>
      <c r="AB202" s="104">
        <v>5</v>
      </c>
      <c r="AC202" s="104">
        <v>7</v>
      </c>
      <c r="AD202" s="104">
        <v>0</v>
      </c>
      <c r="AE202" s="104">
        <v>5</v>
      </c>
      <c r="AF202" s="104">
        <v>3</v>
      </c>
      <c r="AG202" s="104">
        <v>4</v>
      </c>
      <c r="AH202" s="104">
        <v>3</v>
      </c>
      <c r="AI202" s="104">
        <v>0</v>
      </c>
      <c r="AJ202" s="104">
        <v>8</v>
      </c>
      <c r="AK202" s="104">
        <v>5</v>
      </c>
      <c r="AL202" s="104">
        <v>4</v>
      </c>
      <c r="AM202" s="104">
        <v>7</v>
      </c>
      <c r="AN202" s="104">
        <v>5</v>
      </c>
      <c r="AO202" s="104">
        <v>6</v>
      </c>
      <c r="AP202" s="104">
        <v>2</v>
      </c>
      <c r="AQ202" s="104">
        <v>6</v>
      </c>
    </row>
    <row r="203" spans="1:43" x14ac:dyDescent="0.35">
      <c r="A203" s="52">
        <v>200</v>
      </c>
      <c r="B203" s="52" t="s">
        <v>932</v>
      </c>
      <c r="C203" s="93"/>
      <c r="D203" s="52" t="s">
        <v>539</v>
      </c>
      <c r="E203" s="52" t="s">
        <v>523</v>
      </c>
      <c r="F203" s="52" t="s">
        <v>573</v>
      </c>
      <c r="G203" s="52" t="s">
        <v>525</v>
      </c>
      <c r="H203" s="52" t="s">
        <v>561</v>
      </c>
      <c r="I203" s="52" t="s">
        <v>552</v>
      </c>
      <c r="J203" s="52" t="s">
        <v>140</v>
      </c>
      <c r="K203" s="52" t="s">
        <v>529</v>
      </c>
      <c r="L203" s="52" t="s">
        <v>152</v>
      </c>
      <c r="M203" s="52" t="s">
        <v>553</v>
      </c>
      <c r="N203" s="52" t="s">
        <v>562</v>
      </c>
      <c r="O203" s="52" t="s">
        <v>554</v>
      </c>
      <c r="P203" s="52" t="s">
        <v>543</v>
      </c>
      <c r="Q203" s="52" t="s">
        <v>544</v>
      </c>
      <c r="R203" s="52" t="s">
        <v>545</v>
      </c>
      <c r="S203" s="52" t="s">
        <v>536</v>
      </c>
      <c r="T203" s="52" t="s">
        <v>547</v>
      </c>
      <c r="U203" s="52" t="s">
        <v>538</v>
      </c>
      <c r="V203" s="52" t="s">
        <v>155</v>
      </c>
      <c r="W203" s="52" t="s">
        <v>555</v>
      </c>
      <c r="X203" s="104">
        <v>7</v>
      </c>
      <c r="Y203" s="104">
        <v>7</v>
      </c>
      <c r="Z203" s="104">
        <v>8</v>
      </c>
      <c r="AA203" s="104">
        <v>6</v>
      </c>
      <c r="AB203" s="104">
        <v>4</v>
      </c>
      <c r="AC203" s="104">
        <v>4</v>
      </c>
      <c r="AD203" s="104">
        <v>2</v>
      </c>
      <c r="AE203" s="104">
        <v>5</v>
      </c>
      <c r="AF203" s="104">
        <v>0</v>
      </c>
      <c r="AG203" s="104">
        <v>4</v>
      </c>
      <c r="AH203" s="104">
        <v>4</v>
      </c>
      <c r="AI203" s="104">
        <v>3</v>
      </c>
      <c r="AJ203" s="104">
        <v>5</v>
      </c>
      <c r="AK203" s="104">
        <v>5</v>
      </c>
      <c r="AL203" s="104">
        <v>5</v>
      </c>
      <c r="AM203" s="104">
        <v>6</v>
      </c>
      <c r="AN203" s="104">
        <v>2</v>
      </c>
      <c r="AO203" s="104">
        <v>5</v>
      </c>
      <c r="AP203" s="104">
        <v>3</v>
      </c>
      <c r="AQ203" s="104">
        <v>5</v>
      </c>
    </row>
    <row r="204" spans="1:43" x14ac:dyDescent="0.35">
      <c r="A204" s="52">
        <v>201</v>
      </c>
      <c r="B204" s="52" t="s">
        <v>1131</v>
      </c>
      <c r="C204" s="93"/>
      <c r="D204" s="52" t="s">
        <v>539</v>
      </c>
      <c r="E204" s="52" t="s">
        <v>523</v>
      </c>
      <c r="F204" s="52" t="s">
        <v>148</v>
      </c>
      <c r="G204" s="52" t="s">
        <v>570</v>
      </c>
      <c r="H204" s="52" t="s">
        <v>561</v>
      </c>
      <c r="I204" s="52" t="s">
        <v>541</v>
      </c>
      <c r="J204" s="52" t="s">
        <v>558</v>
      </c>
      <c r="K204" s="52" t="s">
        <v>529</v>
      </c>
      <c r="L204" s="52" t="s">
        <v>530</v>
      </c>
      <c r="M204" s="52" t="s">
        <v>553</v>
      </c>
      <c r="N204" s="52" t="s">
        <v>532</v>
      </c>
      <c r="O204" s="52" t="s">
        <v>554</v>
      </c>
      <c r="P204" s="52" t="s">
        <v>534</v>
      </c>
      <c r="Q204" s="52" t="s">
        <v>535</v>
      </c>
      <c r="R204" s="52" t="s">
        <v>567</v>
      </c>
      <c r="S204" s="52" t="s">
        <v>565</v>
      </c>
      <c r="T204" s="52" t="s">
        <v>547</v>
      </c>
      <c r="U204" s="52" t="s">
        <v>538</v>
      </c>
      <c r="V204" s="52" t="s">
        <v>155</v>
      </c>
      <c r="W204" s="52" t="s">
        <v>549</v>
      </c>
      <c r="X204" s="104">
        <v>7</v>
      </c>
      <c r="Y204" s="104">
        <v>6</v>
      </c>
      <c r="Z204" s="104">
        <v>3</v>
      </c>
      <c r="AA204" s="104">
        <v>5</v>
      </c>
      <c r="AB204" s="104">
        <v>4</v>
      </c>
      <c r="AC204" s="104">
        <v>7</v>
      </c>
      <c r="AD204" s="104">
        <v>5</v>
      </c>
      <c r="AE204" s="104">
        <v>3</v>
      </c>
      <c r="AF204" s="104">
        <v>8</v>
      </c>
      <c r="AG204" s="104">
        <v>5</v>
      </c>
      <c r="AH204" s="104">
        <v>5</v>
      </c>
      <c r="AI204" s="104">
        <v>2</v>
      </c>
      <c r="AJ204" s="104">
        <v>3</v>
      </c>
      <c r="AK204" s="104">
        <v>3</v>
      </c>
      <c r="AL204" s="104">
        <v>6</v>
      </c>
      <c r="AM204" s="104">
        <v>3</v>
      </c>
      <c r="AN204" s="104">
        <v>2</v>
      </c>
      <c r="AO204" s="104">
        <v>4</v>
      </c>
      <c r="AP204" s="104">
        <v>3</v>
      </c>
      <c r="AQ204" s="104">
        <v>6</v>
      </c>
    </row>
    <row r="205" spans="1:43" x14ac:dyDescent="0.35">
      <c r="A205" s="52">
        <v>202</v>
      </c>
      <c r="B205" s="52" t="s">
        <v>1486</v>
      </c>
      <c r="C205" s="93"/>
      <c r="D205" s="102" t="s">
        <v>539</v>
      </c>
      <c r="E205" s="102" t="s">
        <v>523</v>
      </c>
      <c r="F205" s="102" t="s">
        <v>524</v>
      </c>
      <c r="G205" s="102" t="s">
        <v>525</v>
      </c>
      <c r="H205" s="102" t="s">
        <v>560</v>
      </c>
      <c r="I205" s="102" t="s">
        <v>527</v>
      </c>
      <c r="J205" s="102" t="s">
        <v>140</v>
      </c>
      <c r="K205" s="102" t="s">
        <v>529</v>
      </c>
      <c r="L205" s="102" t="s">
        <v>542</v>
      </c>
      <c r="M205" s="102" t="s">
        <v>553</v>
      </c>
      <c r="N205" s="102" t="s">
        <v>532</v>
      </c>
      <c r="O205" s="102" t="s">
        <v>554</v>
      </c>
      <c r="P205" s="102" t="s">
        <v>563</v>
      </c>
      <c r="Q205" s="102" t="s">
        <v>535</v>
      </c>
      <c r="R205" s="102" t="s">
        <v>545</v>
      </c>
      <c r="S205" s="102" t="s">
        <v>546</v>
      </c>
      <c r="T205" s="102" t="s">
        <v>537</v>
      </c>
      <c r="U205" s="102" t="s">
        <v>548</v>
      </c>
      <c r="V205" s="102" t="s">
        <v>155</v>
      </c>
      <c r="W205" s="102" t="s">
        <v>549</v>
      </c>
      <c r="X205" s="104">
        <v>6</v>
      </c>
      <c r="Y205" s="104">
        <v>7</v>
      </c>
      <c r="Z205" s="104">
        <v>5</v>
      </c>
      <c r="AA205" s="104">
        <v>7</v>
      </c>
      <c r="AB205" s="104">
        <v>8</v>
      </c>
      <c r="AC205" s="104">
        <v>3</v>
      </c>
      <c r="AD205" s="104">
        <v>2</v>
      </c>
      <c r="AE205" s="104">
        <v>3</v>
      </c>
      <c r="AF205" s="104">
        <v>3</v>
      </c>
      <c r="AG205" s="104">
        <v>5</v>
      </c>
      <c r="AH205" s="104">
        <v>6</v>
      </c>
      <c r="AI205" s="104">
        <v>3</v>
      </c>
      <c r="AJ205" s="104">
        <v>7</v>
      </c>
      <c r="AK205" s="104">
        <v>2</v>
      </c>
      <c r="AL205" s="104">
        <v>4</v>
      </c>
      <c r="AM205" s="104">
        <v>4</v>
      </c>
      <c r="AN205" s="104">
        <v>4</v>
      </c>
      <c r="AO205" s="104">
        <v>2</v>
      </c>
      <c r="AP205" s="104">
        <v>3</v>
      </c>
      <c r="AQ205" s="104">
        <v>6</v>
      </c>
    </row>
    <row r="206" spans="1:43" x14ac:dyDescent="0.35">
      <c r="A206" s="52">
        <v>203</v>
      </c>
      <c r="B206" s="52" t="s">
        <v>973</v>
      </c>
      <c r="C206" s="93"/>
      <c r="D206" s="52" t="s">
        <v>578</v>
      </c>
      <c r="E206" s="52" t="s">
        <v>523</v>
      </c>
      <c r="F206" s="52" t="s">
        <v>524</v>
      </c>
      <c r="G206" s="52" t="s">
        <v>138</v>
      </c>
      <c r="H206" s="52" t="s">
        <v>561</v>
      </c>
      <c r="I206" s="52" t="s">
        <v>552</v>
      </c>
      <c r="J206" s="52" t="s">
        <v>140</v>
      </c>
      <c r="K206" s="52" t="s">
        <v>529</v>
      </c>
      <c r="L206" s="52" t="s">
        <v>530</v>
      </c>
      <c r="M206" s="52" t="s">
        <v>553</v>
      </c>
      <c r="N206" s="52" t="s">
        <v>562</v>
      </c>
      <c r="O206" s="52" t="s">
        <v>150</v>
      </c>
      <c r="P206" s="52" t="s">
        <v>543</v>
      </c>
      <c r="Q206" s="52" t="s">
        <v>544</v>
      </c>
      <c r="R206" s="52" t="s">
        <v>567</v>
      </c>
      <c r="S206" s="52" t="s">
        <v>546</v>
      </c>
      <c r="T206" s="52" t="s">
        <v>547</v>
      </c>
      <c r="U206" s="52" t="s">
        <v>538</v>
      </c>
      <c r="V206" s="52" t="s">
        <v>155</v>
      </c>
      <c r="W206" s="52" t="s">
        <v>549</v>
      </c>
      <c r="X206" s="104">
        <v>8</v>
      </c>
      <c r="Y206" s="104">
        <v>7</v>
      </c>
      <c r="Z206" s="104">
        <v>5</v>
      </c>
      <c r="AA206" s="104">
        <v>1</v>
      </c>
      <c r="AB206" s="104">
        <v>4</v>
      </c>
      <c r="AC206" s="104">
        <v>5</v>
      </c>
      <c r="AD206" s="104">
        <v>3</v>
      </c>
      <c r="AE206" s="104">
        <v>3</v>
      </c>
      <c r="AF206" s="104">
        <v>6</v>
      </c>
      <c r="AG206" s="104">
        <v>3</v>
      </c>
      <c r="AH206" s="104">
        <v>4</v>
      </c>
      <c r="AI206" s="104">
        <v>1</v>
      </c>
      <c r="AJ206" s="104">
        <v>6</v>
      </c>
      <c r="AK206" s="104">
        <v>6</v>
      </c>
      <c r="AL206" s="104">
        <v>7</v>
      </c>
      <c r="AM206" s="104">
        <v>4</v>
      </c>
      <c r="AN206" s="104">
        <v>3</v>
      </c>
      <c r="AO206" s="104">
        <v>5</v>
      </c>
      <c r="AP206" s="104">
        <v>2</v>
      </c>
      <c r="AQ206" s="104">
        <v>7</v>
      </c>
    </row>
    <row r="207" spans="1:43" x14ac:dyDescent="0.35">
      <c r="A207" s="52">
        <v>204</v>
      </c>
      <c r="B207" s="52" t="s">
        <v>702</v>
      </c>
      <c r="C207" s="93"/>
      <c r="D207" s="102" t="s">
        <v>522</v>
      </c>
      <c r="E207" s="102" t="s">
        <v>523</v>
      </c>
      <c r="F207" s="102" t="s">
        <v>524</v>
      </c>
      <c r="G207" s="102" t="s">
        <v>556</v>
      </c>
      <c r="H207" s="102" t="s">
        <v>526</v>
      </c>
      <c r="I207" s="102" t="s">
        <v>527</v>
      </c>
      <c r="J207" s="102" t="s">
        <v>140</v>
      </c>
      <c r="K207" s="102" t="s">
        <v>529</v>
      </c>
      <c r="L207" s="102" t="s">
        <v>542</v>
      </c>
      <c r="M207" s="102" t="s">
        <v>531</v>
      </c>
      <c r="N207" s="102" t="s">
        <v>532</v>
      </c>
      <c r="O207" s="102" t="s">
        <v>571</v>
      </c>
      <c r="P207" s="102" t="s">
        <v>534</v>
      </c>
      <c r="Q207" s="102" t="s">
        <v>544</v>
      </c>
      <c r="R207" s="102" t="s">
        <v>567</v>
      </c>
      <c r="S207" s="102" t="s">
        <v>565</v>
      </c>
      <c r="T207" s="102" t="s">
        <v>537</v>
      </c>
      <c r="U207" s="102" t="s">
        <v>548</v>
      </c>
      <c r="V207" s="102" t="s">
        <v>81</v>
      </c>
      <c r="W207" s="102" t="s">
        <v>549</v>
      </c>
      <c r="X207" s="104">
        <v>5</v>
      </c>
      <c r="Y207" s="104">
        <v>7</v>
      </c>
      <c r="Z207" s="104">
        <v>6</v>
      </c>
      <c r="AA207" s="104">
        <v>2</v>
      </c>
      <c r="AB207" s="104">
        <v>3</v>
      </c>
      <c r="AC207" s="104">
        <v>3</v>
      </c>
      <c r="AD207" s="104">
        <v>3</v>
      </c>
      <c r="AE207" s="104">
        <v>3</v>
      </c>
      <c r="AF207" s="104">
        <v>4</v>
      </c>
      <c r="AG207" s="104">
        <v>6</v>
      </c>
      <c r="AH207" s="104">
        <v>6</v>
      </c>
      <c r="AI207" s="104">
        <v>4</v>
      </c>
      <c r="AJ207" s="104">
        <v>4</v>
      </c>
      <c r="AK207" s="104">
        <v>6</v>
      </c>
      <c r="AL207" s="104">
        <v>6</v>
      </c>
      <c r="AM207" s="104">
        <v>3</v>
      </c>
      <c r="AN207" s="104">
        <v>5</v>
      </c>
      <c r="AO207" s="104">
        <v>2</v>
      </c>
      <c r="AP207" s="104">
        <v>5</v>
      </c>
      <c r="AQ207" s="104">
        <v>7</v>
      </c>
    </row>
    <row r="208" spans="1:43" x14ac:dyDescent="0.35">
      <c r="A208" s="52">
        <v>205</v>
      </c>
      <c r="B208" s="52" t="s">
        <v>297</v>
      </c>
      <c r="C208" s="93"/>
      <c r="D208" s="102" t="s">
        <v>539</v>
      </c>
      <c r="E208" s="102" t="s">
        <v>523</v>
      </c>
      <c r="F208" s="102" t="s">
        <v>148</v>
      </c>
      <c r="G208" s="102" t="s">
        <v>556</v>
      </c>
      <c r="H208" s="102" t="s">
        <v>149</v>
      </c>
      <c r="I208" s="102" t="s">
        <v>527</v>
      </c>
      <c r="J208" s="102" t="s">
        <v>558</v>
      </c>
      <c r="K208" s="102" t="s">
        <v>529</v>
      </c>
      <c r="L208" s="102" t="s">
        <v>530</v>
      </c>
      <c r="M208" s="102" t="s">
        <v>553</v>
      </c>
      <c r="N208" s="102" t="s">
        <v>532</v>
      </c>
      <c r="O208" s="102" t="s">
        <v>554</v>
      </c>
      <c r="P208" s="102" t="s">
        <v>534</v>
      </c>
      <c r="Q208" s="102" t="s">
        <v>544</v>
      </c>
      <c r="R208" s="102" t="s">
        <v>545</v>
      </c>
      <c r="S208" s="102" t="s">
        <v>536</v>
      </c>
      <c r="T208" s="102" t="s">
        <v>537</v>
      </c>
      <c r="U208" s="102" t="s">
        <v>538</v>
      </c>
      <c r="V208" s="102" t="s">
        <v>81</v>
      </c>
      <c r="W208" s="102" t="s">
        <v>549</v>
      </c>
      <c r="X208" s="104">
        <v>6</v>
      </c>
      <c r="Y208" s="104">
        <v>6</v>
      </c>
      <c r="Z208" s="104">
        <v>3</v>
      </c>
      <c r="AA208" s="104">
        <v>2</v>
      </c>
      <c r="AB208" s="104">
        <v>1</v>
      </c>
      <c r="AC208" s="104">
        <v>2</v>
      </c>
      <c r="AD208" s="104">
        <v>5</v>
      </c>
      <c r="AE208" s="104">
        <v>6</v>
      </c>
      <c r="AF208" s="104">
        <v>7</v>
      </c>
      <c r="AG208" s="104">
        <v>4</v>
      </c>
      <c r="AH208" s="104">
        <v>8</v>
      </c>
      <c r="AI208" s="104">
        <v>3</v>
      </c>
      <c r="AJ208" s="104">
        <v>3</v>
      </c>
      <c r="AK208" s="104">
        <v>4</v>
      </c>
      <c r="AL208" s="104">
        <v>5</v>
      </c>
      <c r="AM208" s="104">
        <v>6</v>
      </c>
      <c r="AN208" s="104">
        <v>4</v>
      </c>
      <c r="AO208" s="104">
        <v>4</v>
      </c>
      <c r="AP208" s="104">
        <v>5</v>
      </c>
      <c r="AQ208" s="104">
        <v>6</v>
      </c>
    </row>
    <row r="209" spans="1:43" x14ac:dyDescent="0.35">
      <c r="A209" s="52">
        <v>206</v>
      </c>
      <c r="B209" s="52" t="s">
        <v>336</v>
      </c>
      <c r="C209" s="93"/>
      <c r="D209" s="102" t="s">
        <v>539</v>
      </c>
      <c r="E209" s="102" t="s">
        <v>540</v>
      </c>
      <c r="F209" s="102" t="s">
        <v>524</v>
      </c>
      <c r="G209" s="102" t="s">
        <v>556</v>
      </c>
      <c r="H209" s="102" t="s">
        <v>551</v>
      </c>
      <c r="I209" s="102" t="s">
        <v>552</v>
      </c>
      <c r="J209" s="102" t="s">
        <v>140</v>
      </c>
      <c r="K209" s="102" t="s">
        <v>529</v>
      </c>
      <c r="L209" s="102" t="s">
        <v>542</v>
      </c>
      <c r="M209" s="102" t="s">
        <v>531</v>
      </c>
      <c r="N209" s="102" t="s">
        <v>532</v>
      </c>
      <c r="O209" s="102" t="s">
        <v>554</v>
      </c>
      <c r="P209" s="102" t="s">
        <v>543</v>
      </c>
      <c r="Q209" s="102" t="s">
        <v>544</v>
      </c>
      <c r="R209" s="102" t="s">
        <v>545</v>
      </c>
      <c r="S209" s="102" t="s">
        <v>536</v>
      </c>
      <c r="T209" s="102" t="s">
        <v>537</v>
      </c>
      <c r="U209" s="102" t="s">
        <v>548</v>
      </c>
      <c r="V209" s="102" t="s">
        <v>155</v>
      </c>
      <c r="W209" s="102" t="s">
        <v>555</v>
      </c>
      <c r="X209" s="104">
        <v>6</v>
      </c>
      <c r="Y209" s="104">
        <v>4</v>
      </c>
      <c r="Z209" s="104">
        <v>6</v>
      </c>
      <c r="AA209" s="104">
        <v>3</v>
      </c>
      <c r="AB209" s="104">
        <v>7</v>
      </c>
      <c r="AC209" s="104">
        <v>4</v>
      </c>
      <c r="AD209" s="104">
        <v>2</v>
      </c>
      <c r="AE209" s="104">
        <v>6</v>
      </c>
      <c r="AF209" s="104">
        <v>4</v>
      </c>
      <c r="AG209" s="104">
        <v>6</v>
      </c>
      <c r="AH209" s="104">
        <v>7</v>
      </c>
      <c r="AI209" s="104">
        <v>2</v>
      </c>
      <c r="AJ209" s="104">
        <v>5</v>
      </c>
      <c r="AK209" s="104">
        <v>5</v>
      </c>
      <c r="AL209" s="104">
        <v>4</v>
      </c>
      <c r="AM209" s="104">
        <v>6</v>
      </c>
      <c r="AN209" s="104">
        <v>5</v>
      </c>
      <c r="AO209" s="104">
        <v>2</v>
      </c>
      <c r="AP209" s="104">
        <v>2</v>
      </c>
      <c r="AQ209" s="104">
        <v>4</v>
      </c>
    </row>
    <row r="210" spans="1:43" x14ac:dyDescent="0.35">
      <c r="A210" s="52">
        <v>207</v>
      </c>
      <c r="B210" s="52" t="s">
        <v>680</v>
      </c>
      <c r="C210" s="93"/>
      <c r="D210" s="102" t="s">
        <v>147</v>
      </c>
      <c r="E210" s="102" t="s">
        <v>569</v>
      </c>
      <c r="F210" s="102" t="s">
        <v>524</v>
      </c>
      <c r="G210" s="102" t="s">
        <v>570</v>
      </c>
      <c r="H210" s="102" t="s">
        <v>551</v>
      </c>
      <c r="I210" s="102" t="s">
        <v>552</v>
      </c>
      <c r="J210" s="102" t="s">
        <v>140</v>
      </c>
      <c r="K210" s="102" t="s">
        <v>529</v>
      </c>
      <c r="L210" s="102" t="s">
        <v>530</v>
      </c>
      <c r="M210" s="102" t="s">
        <v>553</v>
      </c>
      <c r="N210" s="102" t="s">
        <v>142</v>
      </c>
      <c r="O210" s="102" t="s">
        <v>150</v>
      </c>
      <c r="P210" s="102" t="s">
        <v>534</v>
      </c>
      <c r="Q210" s="102" t="s">
        <v>535</v>
      </c>
      <c r="R210" s="102" t="s">
        <v>567</v>
      </c>
      <c r="S210" s="102" t="s">
        <v>536</v>
      </c>
      <c r="T210" s="102" t="s">
        <v>557</v>
      </c>
      <c r="U210" s="102" t="s">
        <v>538</v>
      </c>
      <c r="V210" s="102" t="s">
        <v>155</v>
      </c>
      <c r="W210" s="102" t="s">
        <v>549</v>
      </c>
      <c r="X210" s="104">
        <v>2</v>
      </c>
      <c r="Y210" s="104">
        <v>8</v>
      </c>
      <c r="Z210" s="104">
        <v>5</v>
      </c>
      <c r="AA210" s="104">
        <v>5</v>
      </c>
      <c r="AB210" s="104">
        <v>6</v>
      </c>
      <c r="AC210" s="104">
        <v>4</v>
      </c>
      <c r="AD210" s="104">
        <v>1</v>
      </c>
      <c r="AE210" s="104">
        <v>4</v>
      </c>
      <c r="AF210" s="104">
        <v>8</v>
      </c>
      <c r="AG210" s="104">
        <v>4</v>
      </c>
      <c r="AH210" s="104">
        <v>2</v>
      </c>
      <c r="AI210" s="104">
        <v>0</v>
      </c>
      <c r="AJ210" s="104">
        <v>4</v>
      </c>
      <c r="AK210" s="104">
        <v>3</v>
      </c>
      <c r="AL210" s="104">
        <v>6</v>
      </c>
      <c r="AM210" s="104">
        <v>6</v>
      </c>
      <c r="AN210" s="104">
        <v>8</v>
      </c>
      <c r="AO210" s="104">
        <v>5</v>
      </c>
      <c r="AP210" s="104">
        <v>2</v>
      </c>
      <c r="AQ210" s="104">
        <v>7</v>
      </c>
    </row>
    <row r="211" spans="1:43" x14ac:dyDescent="0.35">
      <c r="A211" s="52">
        <v>208</v>
      </c>
      <c r="B211" s="52" t="s">
        <v>356</v>
      </c>
      <c r="C211" s="93"/>
      <c r="D211" s="102" t="s">
        <v>539</v>
      </c>
      <c r="E211" s="102" t="s">
        <v>540</v>
      </c>
      <c r="F211" s="102" t="s">
        <v>148</v>
      </c>
      <c r="G211" s="102" t="s">
        <v>556</v>
      </c>
      <c r="H211" s="102" t="s">
        <v>551</v>
      </c>
      <c r="I211" s="102" t="s">
        <v>552</v>
      </c>
      <c r="J211" s="102" t="s">
        <v>140</v>
      </c>
      <c r="K211" s="102" t="s">
        <v>141</v>
      </c>
      <c r="L211" s="102" t="s">
        <v>542</v>
      </c>
      <c r="M211" s="102" t="s">
        <v>553</v>
      </c>
      <c r="N211" s="102" t="s">
        <v>532</v>
      </c>
      <c r="O211" s="102" t="s">
        <v>150</v>
      </c>
      <c r="P211" s="102" t="s">
        <v>563</v>
      </c>
      <c r="Q211" s="102" t="s">
        <v>544</v>
      </c>
      <c r="R211" s="102" t="s">
        <v>567</v>
      </c>
      <c r="S211" s="102" t="s">
        <v>546</v>
      </c>
      <c r="T211" s="102" t="s">
        <v>537</v>
      </c>
      <c r="U211" s="102" t="s">
        <v>538</v>
      </c>
      <c r="V211" s="102" t="s">
        <v>155</v>
      </c>
      <c r="W211" s="102" t="s">
        <v>574</v>
      </c>
      <c r="X211" s="104">
        <v>7</v>
      </c>
      <c r="Y211" s="104">
        <v>4</v>
      </c>
      <c r="Z211" s="104">
        <v>4</v>
      </c>
      <c r="AA211" s="104">
        <v>2</v>
      </c>
      <c r="AB211" s="104">
        <v>6</v>
      </c>
      <c r="AC211" s="104">
        <v>5</v>
      </c>
      <c r="AD211" s="104">
        <v>3</v>
      </c>
      <c r="AE211" s="104">
        <v>2</v>
      </c>
      <c r="AF211" s="104">
        <v>3</v>
      </c>
      <c r="AG211" s="104">
        <v>5</v>
      </c>
      <c r="AH211" s="104">
        <v>5</v>
      </c>
      <c r="AI211" s="104">
        <v>1</v>
      </c>
      <c r="AJ211" s="104">
        <v>8</v>
      </c>
      <c r="AK211" s="104">
        <v>5</v>
      </c>
      <c r="AL211" s="104">
        <v>6</v>
      </c>
      <c r="AM211" s="104">
        <v>4</v>
      </c>
      <c r="AN211" s="104">
        <v>5</v>
      </c>
      <c r="AO211" s="104">
        <v>4</v>
      </c>
      <c r="AP211" s="104">
        <v>3</v>
      </c>
      <c r="AQ211" s="104">
        <v>8</v>
      </c>
    </row>
    <row r="212" spans="1:43" x14ac:dyDescent="0.35">
      <c r="A212" s="52">
        <v>209</v>
      </c>
      <c r="B212" s="52" t="s">
        <v>1004</v>
      </c>
      <c r="C212" s="93"/>
      <c r="D212" s="52" t="s">
        <v>522</v>
      </c>
      <c r="E212" s="52" t="s">
        <v>569</v>
      </c>
      <c r="F212" s="52" t="s">
        <v>148</v>
      </c>
      <c r="G212" s="52" t="s">
        <v>525</v>
      </c>
      <c r="H212" s="52" t="s">
        <v>561</v>
      </c>
      <c r="I212" s="52" t="s">
        <v>139</v>
      </c>
      <c r="J212" s="52" t="s">
        <v>140</v>
      </c>
      <c r="K212" s="52" t="s">
        <v>529</v>
      </c>
      <c r="L212" s="52" t="s">
        <v>542</v>
      </c>
      <c r="M212" s="52" t="s">
        <v>553</v>
      </c>
      <c r="N212" s="52" t="s">
        <v>532</v>
      </c>
      <c r="O212" s="52" t="s">
        <v>554</v>
      </c>
      <c r="P212" s="52" t="s">
        <v>543</v>
      </c>
      <c r="Q212" s="52" t="s">
        <v>535</v>
      </c>
      <c r="R212" s="52" t="s">
        <v>545</v>
      </c>
      <c r="S212" s="52" t="s">
        <v>568</v>
      </c>
      <c r="T212" s="52" t="s">
        <v>537</v>
      </c>
      <c r="U212" s="52" t="s">
        <v>538</v>
      </c>
      <c r="V212" s="52" t="s">
        <v>155</v>
      </c>
      <c r="W212" s="52" t="s">
        <v>574</v>
      </c>
      <c r="X212" s="104">
        <v>4</v>
      </c>
      <c r="Y212" s="104">
        <v>8</v>
      </c>
      <c r="Z212" s="104">
        <v>3</v>
      </c>
      <c r="AA212" s="104">
        <v>7</v>
      </c>
      <c r="AB212" s="104">
        <v>4</v>
      </c>
      <c r="AC212" s="104">
        <v>1</v>
      </c>
      <c r="AD212" s="104">
        <v>2</v>
      </c>
      <c r="AE212" s="104">
        <v>4</v>
      </c>
      <c r="AF212" s="104">
        <v>4</v>
      </c>
      <c r="AG212" s="104">
        <v>4</v>
      </c>
      <c r="AH212" s="104">
        <v>6</v>
      </c>
      <c r="AI212" s="104">
        <v>3</v>
      </c>
      <c r="AJ212" s="104">
        <v>5</v>
      </c>
      <c r="AK212" s="104">
        <v>2</v>
      </c>
      <c r="AL212" s="104">
        <v>4</v>
      </c>
      <c r="AM212" s="104">
        <v>8</v>
      </c>
      <c r="AN212" s="104">
        <v>6</v>
      </c>
      <c r="AO212" s="104">
        <v>5</v>
      </c>
      <c r="AP212" s="104">
        <v>2</v>
      </c>
      <c r="AQ212" s="104">
        <v>8</v>
      </c>
    </row>
    <row r="213" spans="1:43" x14ac:dyDescent="0.35">
      <c r="A213" s="52">
        <v>210</v>
      </c>
      <c r="B213" s="52" t="s">
        <v>255</v>
      </c>
      <c r="C213" s="93"/>
      <c r="D213" s="102" t="s">
        <v>539</v>
      </c>
      <c r="E213" s="102" t="s">
        <v>540</v>
      </c>
      <c r="F213" s="102" t="s">
        <v>524</v>
      </c>
      <c r="G213" s="102" t="s">
        <v>556</v>
      </c>
      <c r="H213" s="102" t="s">
        <v>566</v>
      </c>
      <c r="I213" s="102" t="s">
        <v>552</v>
      </c>
      <c r="J213" s="102" t="s">
        <v>558</v>
      </c>
      <c r="K213" s="102" t="s">
        <v>529</v>
      </c>
      <c r="L213" s="102" t="s">
        <v>542</v>
      </c>
      <c r="M213" s="102" t="s">
        <v>553</v>
      </c>
      <c r="N213" s="102" t="s">
        <v>532</v>
      </c>
      <c r="O213" s="102" t="s">
        <v>571</v>
      </c>
      <c r="P213" s="102" t="s">
        <v>563</v>
      </c>
      <c r="Q213" s="102" t="s">
        <v>544</v>
      </c>
      <c r="R213" s="102" t="s">
        <v>545</v>
      </c>
      <c r="S213" s="102" t="s">
        <v>546</v>
      </c>
      <c r="T213" s="102" t="s">
        <v>537</v>
      </c>
      <c r="U213" s="102" t="s">
        <v>548</v>
      </c>
      <c r="V213" s="102" t="s">
        <v>155</v>
      </c>
      <c r="W213" s="102" t="s">
        <v>549</v>
      </c>
      <c r="X213" s="104">
        <v>7</v>
      </c>
      <c r="Y213" s="104">
        <v>4</v>
      </c>
      <c r="Z213" s="104">
        <v>7</v>
      </c>
      <c r="AA213" s="104">
        <v>2</v>
      </c>
      <c r="AB213" s="104">
        <v>5</v>
      </c>
      <c r="AC213" s="104">
        <v>4</v>
      </c>
      <c r="AD213" s="104">
        <v>4</v>
      </c>
      <c r="AE213" s="104">
        <v>3</v>
      </c>
      <c r="AF213" s="104">
        <v>4</v>
      </c>
      <c r="AG213" s="104">
        <v>3</v>
      </c>
      <c r="AH213" s="104">
        <v>5</v>
      </c>
      <c r="AI213" s="104">
        <v>4</v>
      </c>
      <c r="AJ213" s="104">
        <v>7</v>
      </c>
      <c r="AK213" s="104">
        <v>5</v>
      </c>
      <c r="AL213" s="104">
        <v>5</v>
      </c>
      <c r="AM213" s="104">
        <v>5</v>
      </c>
      <c r="AN213" s="104">
        <v>6</v>
      </c>
      <c r="AO213" s="104">
        <v>2</v>
      </c>
      <c r="AP213" s="104">
        <v>2</v>
      </c>
      <c r="AQ213" s="104">
        <v>6</v>
      </c>
    </row>
    <row r="214" spans="1:43" x14ac:dyDescent="0.35">
      <c r="A214" s="52">
        <v>211</v>
      </c>
      <c r="B214" s="52" t="s">
        <v>1073</v>
      </c>
      <c r="C214" s="93"/>
      <c r="D214" s="52" t="s">
        <v>522</v>
      </c>
      <c r="E214" s="52" t="s">
        <v>523</v>
      </c>
      <c r="F214" s="52" t="s">
        <v>524</v>
      </c>
      <c r="G214" s="52" t="s">
        <v>525</v>
      </c>
      <c r="H214" s="52" t="s">
        <v>526</v>
      </c>
      <c r="I214" s="52" t="s">
        <v>552</v>
      </c>
      <c r="J214" s="52" t="s">
        <v>558</v>
      </c>
      <c r="K214" s="52" t="s">
        <v>529</v>
      </c>
      <c r="L214" s="52" t="s">
        <v>542</v>
      </c>
      <c r="M214" s="52" t="s">
        <v>553</v>
      </c>
      <c r="N214" s="52" t="s">
        <v>532</v>
      </c>
      <c r="O214" s="52" t="s">
        <v>579</v>
      </c>
      <c r="P214" s="52" t="s">
        <v>534</v>
      </c>
      <c r="Q214" s="52" t="s">
        <v>535</v>
      </c>
      <c r="R214" s="52" t="s">
        <v>545</v>
      </c>
      <c r="S214" s="52" t="s">
        <v>536</v>
      </c>
      <c r="T214" s="52" t="s">
        <v>547</v>
      </c>
      <c r="U214" s="52" t="s">
        <v>548</v>
      </c>
      <c r="V214" s="52" t="s">
        <v>81</v>
      </c>
      <c r="W214" s="52" t="s">
        <v>555</v>
      </c>
      <c r="X214" s="104">
        <v>5</v>
      </c>
      <c r="Y214" s="104">
        <v>5</v>
      </c>
      <c r="Z214" s="104">
        <v>6</v>
      </c>
      <c r="AA214" s="104">
        <v>6</v>
      </c>
      <c r="AB214" s="104">
        <v>2</v>
      </c>
      <c r="AC214" s="104">
        <v>5</v>
      </c>
      <c r="AD214" s="104">
        <v>5</v>
      </c>
      <c r="AE214" s="104">
        <v>3</v>
      </c>
      <c r="AF214" s="104">
        <v>4</v>
      </c>
      <c r="AG214" s="104">
        <v>4</v>
      </c>
      <c r="AH214" s="104">
        <v>7</v>
      </c>
      <c r="AI214" s="104">
        <v>6</v>
      </c>
      <c r="AJ214" s="104">
        <v>3</v>
      </c>
      <c r="AK214" s="104">
        <v>3</v>
      </c>
      <c r="AL214" s="104">
        <v>5</v>
      </c>
      <c r="AM214" s="104">
        <v>6</v>
      </c>
      <c r="AN214" s="104">
        <v>3</v>
      </c>
      <c r="AO214" s="104">
        <v>3</v>
      </c>
      <c r="AP214" s="104">
        <v>4</v>
      </c>
      <c r="AQ214" s="104">
        <v>5</v>
      </c>
    </row>
    <row r="215" spans="1:43" x14ac:dyDescent="0.35">
      <c r="A215" s="52">
        <v>212</v>
      </c>
      <c r="B215" s="52" t="s">
        <v>934</v>
      </c>
      <c r="C215" s="93"/>
      <c r="D215" s="52" t="s">
        <v>522</v>
      </c>
      <c r="E215" s="52" t="s">
        <v>523</v>
      </c>
      <c r="F215" s="52" t="s">
        <v>148</v>
      </c>
      <c r="G215" s="52" t="s">
        <v>556</v>
      </c>
      <c r="H215" s="52" t="s">
        <v>551</v>
      </c>
      <c r="I215" s="52" t="s">
        <v>541</v>
      </c>
      <c r="J215" s="52" t="s">
        <v>558</v>
      </c>
      <c r="K215" s="52" t="s">
        <v>141</v>
      </c>
      <c r="L215" s="52" t="s">
        <v>152</v>
      </c>
      <c r="M215" s="52" t="s">
        <v>151</v>
      </c>
      <c r="N215" s="52" t="s">
        <v>532</v>
      </c>
      <c r="O215" s="52" t="s">
        <v>533</v>
      </c>
      <c r="P215" s="52" t="s">
        <v>543</v>
      </c>
      <c r="Q215" s="52" t="s">
        <v>544</v>
      </c>
      <c r="R215" s="52" t="s">
        <v>143</v>
      </c>
      <c r="S215" s="52" t="s">
        <v>536</v>
      </c>
      <c r="T215" s="52" t="s">
        <v>537</v>
      </c>
      <c r="U215" s="52" t="s">
        <v>538</v>
      </c>
      <c r="V215" s="52" t="s">
        <v>81</v>
      </c>
      <c r="W215" s="52" t="s">
        <v>574</v>
      </c>
      <c r="X215" s="104">
        <v>4</v>
      </c>
      <c r="Y215" s="104">
        <v>5</v>
      </c>
      <c r="Z215" s="104">
        <v>4</v>
      </c>
      <c r="AA215" s="104">
        <v>3</v>
      </c>
      <c r="AB215" s="104">
        <v>6</v>
      </c>
      <c r="AC215" s="104">
        <v>7</v>
      </c>
      <c r="AD215" s="104">
        <v>5</v>
      </c>
      <c r="AE215" s="104">
        <v>2</v>
      </c>
      <c r="AF215" s="104">
        <v>2</v>
      </c>
      <c r="AG215" s="104">
        <v>1</v>
      </c>
      <c r="AH215" s="104">
        <v>6</v>
      </c>
      <c r="AI215" s="104">
        <v>5</v>
      </c>
      <c r="AJ215" s="104">
        <v>6</v>
      </c>
      <c r="AK215" s="104">
        <v>4</v>
      </c>
      <c r="AL215" s="104">
        <v>3</v>
      </c>
      <c r="AM215" s="104">
        <v>6</v>
      </c>
      <c r="AN215" s="104">
        <v>4</v>
      </c>
      <c r="AO215" s="104">
        <v>5</v>
      </c>
      <c r="AP215" s="104">
        <v>4</v>
      </c>
      <c r="AQ215" s="104">
        <v>8</v>
      </c>
    </row>
    <row r="216" spans="1:43" x14ac:dyDescent="0.35">
      <c r="A216" s="52">
        <v>213</v>
      </c>
      <c r="B216" s="52" t="s">
        <v>666</v>
      </c>
      <c r="C216" s="93"/>
      <c r="D216" s="102" t="s">
        <v>522</v>
      </c>
      <c r="E216" s="102" t="s">
        <v>523</v>
      </c>
      <c r="F216" s="102" t="s">
        <v>148</v>
      </c>
      <c r="G216" s="102" t="s">
        <v>556</v>
      </c>
      <c r="H216" s="102" t="s">
        <v>526</v>
      </c>
      <c r="I216" s="102" t="s">
        <v>527</v>
      </c>
      <c r="J216" s="102" t="s">
        <v>140</v>
      </c>
      <c r="K216" s="102" t="s">
        <v>529</v>
      </c>
      <c r="L216" s="102" t="s">
        <v>542</v>
      </c>
      <c r="M216" s="102" t="s">
        <v>531</v>
      </c>
      <c r="N216" s="102" t="s">
        <v>532</v>
      </c>
      <c r="O216" s="102" t="s">
        <v>150</v>
      </c>
      <c r="P216" s="102" t="s">
        <v>563</v>
      </c>
      <c r="Q216" s="102" t="s">
        <v>564</v>
      </c>
      <c r="R216" s="102" t="s">
        <v>545</v>
      </c>
      <c r="S216" s="102" t="s">
        <v>536</v>
      </c>
      <c r="T216" s="102" t="s">
        <v>547</v>
      </c>
      <c r="U216" s="102" t="s">
        <v>576</v>
      </c>
      <c r="V216" s="102" t="s">
        <v>155</v>
      </c>
      <c r="W216" s="102" t="s">
        <v>549</v>
      </c>
      <c r="X216" s="104">
        <v>4</v>
      </c>
      <c r="Y216" s="104">
        <v>7</v>
      </c>
      <c r="Z216" s="104">
        <v>4</v>
      </c>
      <c r="AA216" s="104">
        <v>3</v>
      </c>
      <c r="AB216" s="104">
        <v>3</v>
      </c>
      <c r="AC216" s="104">
        <v>2</v>
      </c>
      <c r="AD216" s="104">
        <v>2</v>
      </c>
      <c r="AE216" s="104">
        <v>3</v>
      </c>
      <c r="AF216" s="104">
        <v>3</v>
      </c>
      <c r="AG216" s="104">
        <v>6</v>
      </c>
      <c r="AH216" s="104">
        <v>7</v>
      </c>
      <c r="AI216" s="104">
        <v>1</v>
      </c>
      <c r="AJ216" s="104">
        <v>7</v>
      </c>
      <c r="AK216" s="104">
        <v>7</v>
      </c>
      <c r="AL216" s="104">
        <v>5</v>
      </c>
      <c r="AM216" s="104">
        <v>7</v>
      </c>
      <c r="AN216" s="104">
        <v>2</v>
      </c>
      <c r="AO216" s="104">
        <v>7</v>
      </c>
      <c r="AP216" s="104">
        <v>3</v>
      </c>
      <c r="AQ216" s="104">
        <v>7</v>
      </c>
    </row>
    <row r="217" spans="1:43" x14ac:dyDescent="0.35">
      <c r="A217" s="52">
        <v>214</v>
      </c>
      <c r="B217" s="52" t="s">
        <v>344</v>
      </c>
      <c r="C217" s="93"/>
      <c r="D217" s="102" t="s">
        <v>522</v>
      </c>
      <c r="E217" s="102" t="s">
        <v>523</v>
      </c>
      <c r="F217" s="102" t="s">
        <v>148</v>
      </c>
      <c r="G217" s="102" t="s">
        <v>550</v>
      </c>
      <c r="H217" s="102" t="s">
        <v>526</v>
      </c>
      <c r="I217" s="102" t="s">
        <v>552</v>
      </c>
      <c r="J217" s="102" t="s">
        <v>140</v>
      </c>
      <c r="K217" s="102" t="s">
        <v>529</v>
      </c>
      <c r="L217" s="102" t="s">
        <v>530</v>
      </c>
      <c r="M217" s="102" t="s">
        <v>531</v>
      </c>
      <c r="N217" s="102" t="s">
        <v>532</v>
      </c>
      <c r="O217" s="102" t="s">
        <v>533</v>
      </c>
      <c r="P217" s="102" t="s">
        <v>543</v>
      </c>
      <c r="Q217" s="102" t="s">
        <v>544</v>
      </c>
      <c r="R217" s="102" t="s">
        <v>545</v>
      </c>
      <c r="S217" s="102" t="s">
        <v>565</v>
      </c>
      <c r="T217" s="102" t="s">
        <v>557</v>
      </c>
      <c r="U217" s="102" t="s">
        <v>538</v>
      </c>
      <c r="V217" s="102" t="s">
        <v>155</v>
      </c>
      <c r="W217" s="102" t="s">
        <v>574</v>
      </c>
      <c r="X217" s="104">
        <v>5</v>
      </c>
      <c r="Y217" s="104">
        <v>5</v>
      </c>
      <c r="Z217" s="104">
        <v>3</v>
      </c>
      <c r="AA217" s="104">
        <v>4</v>
      </c>
      <c r="AB217" s="104">
        <v>3</v>
      </c>
      <c r="AC217" s="104">
        <v>4</v>
      </c>
      <c r="AD217" s="104">
        <v>2</v>
      </c>
      <c r="AE217" s="104">
        <v>4</v>
      </c>
      <c r="AF217" s="104">
        <v>6</v>
      </c>
      <c r="AG217" s="104">
        <v>6</v>
      </c>
      <c r="AH217" s="104">
        <v>6</v>
      </c>
      <c r="AI217" s="104">
        <v>5</v>
      </c>
      <c r="AJ217" s="104">
        <v>5</v>
      </c>
      <c r="AK217" s="104">
        <v>4</v>
      </c>
      <c r="AL217" s="104">
        <v>4</v>
      </c>
      <c r="AM217" s="104">
        <v>2</v>
      </c>
      <c r="AN217" s="104">
        <v>7</v>
      </c>
      <c r="AO217" s="104">
        <v>4</v>
      </c>
      <c r="AP217" s="104">
        <v>3</v>
      </c>
      <c r="AQ217" s="104">
        <v>8</v>
      </c>
    </row>
    <row r="218" spans="1:43" x14ac:dyDescent="0.35">
      <c r="A218" s="52">
        <v>215</v>
      </c>
      <c r="B218" s="52" t="s">
        <v>661</v>
      </c>
      <c r="C218" s="93"/>
      <c r="D218" s="102" t="s">
        <v>539</v>
      </c>
      <c r="E218" s="102" t="s">
        <v>523</v>
      </c>
      <c r="F218" s="102" t="s">
        <v>524</v>
      </c>
      <c r="G218" s="102" t="s">
        <v>556</v>
      </c>
      <c r="H218" s="102" t="s">
        <v>526</v>
      </c>
      <c r="I218" s="102" t="s">
        <v>552</v>
      </c>
      <c r="J218" s="102" t="s">
        <v>140</v>
      </c>
      <c r="K218" s="102" t="s">
        <v>529</v>
      </c>
      <c r="L218" s="102" t="s">
        <v>542</v>
      </c>
      <c r="M218" s="102" t="s">
        <v>553</v>
      </c>
      <c r="N218" s="102" t="s">
        <v>562</v>
      </c>
      <c r="O218" s="102" t="s">
        <v>554</v>
      </c>
      <c r="P218" s="102" t="s">
        <v>543</v>
      </c>
      <c r="Q218" s="102" t="s">
        <v>564</v>
      </c>
      <c r="R218" s="102" t="s">
        <v>143</v>
      </c>
      <c r="S218" s="102" t="s">
        <v>536</v>
      </c>
      <c r="T218" s="102" t="s">
        <v>537</v>
      </c>
      <c r="U218" s="102" t="s">
        <v>548</v>
      </c>
      <c r="V218" s="102" t="s">
        <v>155</v>
      </c>
      <c r="W218" s="102" t="s">
        <v>555</v>
      </c>
      <c r="X218" s="104">
        <v>6</v>
      </c>
      <c r="Y218" s="104">
        <v>7</v>
      </c>
      <c r="Z218" s="104">
        <v>7</v>
      </c>
      <c r="AA218" s="104">
        <v>3</v>
      </c>
      <c r="AB218" s="104">
        <v>3</v>
      </c>
      <c r="AC218" s="104">
        <v>5</v>
      </c>
      <c r="AD218" s="104">
        <v>3</v>
      </c>
      <c r="AE218" s="104">
        <v>4</v>
      </c>
      <c r="AF218" s="104">
        <v>3</v>
      </c>
      <c r="AG218" s="104">
        <v>5</v>
      </c>
      <c r="AH218" s="104">
        <v>4</v>
      </c>
      <c r="AI218" s="104">
        <v>3</v>
      </c>
      <c r="AJ218" s="104">
        <v>5</v>
      </c>
      <c r="AK218" s="104">
        <v>7</v>
      </c>
      <c r="AL218" s="104">
        <v>3</v>
      </c>
      <c r="AM218" s="104">
        <v>7</v>
      </c>
      <c r="AN218" s="104">
        <v>4</v>
      </c>
      <c r="AO218" s="104">
        <v>3</v>
      </c>
      <c r="AP218" s="104">
        <v>3</v>
      </c>
      <c r="AQ218" s="104">
        <v>5</v>
      </c>
    </row>
    <row r="219" spans="1:43" x14ac:dyDescent="0.35">
      <c r="A219" s="52">
        <v>216</v>
      </c>
      <c r="B219" s="52" t="s">
        <v>242</v>
      </c>
      <c r="C219" s="93"/>
      <c r="D219" s="102" t="s">
        <v>522</v>
      </c>
      <c r="E219" s="102" t="s">
        <v>523</v>
      </c>
      <c r="F219" s="102" t="s">
        <v>524</v>
      </c>
      <c r="G219" s="102" t="s">
        <v>550</v>
      </c>
      <c r="H219" s="102" t="s">
        <v>551</v>
      </c>
      <c r="I219" s="102" t="s">
        <v>552</v>
      </c>
      <c r="J219" s="102" t="s">
        <v>140</v>
      </c>
      <c r="K219" s="102" t="s">
        <v>529</v>
      </c>
      <c r="L219" s="102" t="s">
        <v>530</v>
      </c>
      <c r="M219" s="102" t="s">
        <v>553</v>
      </c>
      <c r="N219" s="102" t="s">
        <v>532</v>
      </c>
      <c r="O219" s="102" t="s">
        <v>554</v>
      </c>
      <c r="P219" s="102" t="s">
        <v>543</v>
      </c>
      <c r="Q219" s="102" t="s">
        <v>544</v>
      </c>
      <c r="R219" s="102" t="s">
        <v>545</v>
      </c>
      <c r="S219" s="102" t="s">
        <v>546</v>
      </c>
      <c r="T219" s="102" t="s">
        <v>537</v>
      </c>
      <c r="U219" s="102" t="s">
        <v>538</v>
      </c>
      <c r="V219" s="102" t="s">
        <v>155</v>
      </c>
      <c r="W219" s="102" t="s">
        <v>555</v>
      </c>
      <c r="X219" s="105">
        <v>4</v>
      </c>
      <c r="Y219" s="105">
        <v>5</v>
      </c>
      <c r="Z219" s="105">
        <v>5</v>
      </c>
      <c r="AA219" s="105">
        <v>4</v>
      </c>
      <c r="AB219" s="105">
        <v>6</v>
      </c>
      <c r="AC219" s="105">
        <v>4</v>
      </c>
      <c r="AD219" s="105">
        <v>0</v>
      </c>
      <c r="AE219" s="105">
        <v>3</v>
      </c>
      <c r="AF219" s="105">
        <v>7</v>
      </c>
      <c r="AG219" s="105">
        <v>5</v>
      </c>
      <c r="AH219" s="105">
        <v>8</v>
      </c>
      <c r="AI219" s="105">
        <v>2</v>
      </c>
      <c r="AJ219" s="105">
        <v>5</v>
      </c>
      <c r="AK219" s="105">
        <v>6</v>
      </c>
      <c r="AL219" s="105">
        <v>5</v>
      </c>
      <c r="AM219" s="105">
        <v>5</v>
      </c>
      <c r="AN219" s="105">
        <v>5</v>
      </c>
      <c r="AO219" s="105">
        <v>4</v>
      </c>
      <c r="AP219" s="105">
        <v>2</v>
      </c>
      <c r="AQ219" s="105">
        <v>5</v>
      </c>
    </row>
    <row r="220" spans="1:43" x14ac:dyDescent="0.35">
      <c r="A220" s="52">
        <v>217</v>
      </c>
      <c r="B220" s="52" t="s">
        <v>354</v>
      </c>
      <c r="C220" s="93"/>
      <c r="D220" s="102" t="s">
        <v>539</v>
      </c>
      <c r="E220" s="102" t="s">
        <v>523</v>
      </c>
      <c r="F220" s="102" t="s">
        <v>524</v>
      </c>
      <c r="G220" s="102" t="s">
        <v>525</v>
      </c>
      <c r="H220" s="102" t="s">
        <v>561</v>
      </c>
      <c r="I220" s="102" t="s">
        <v>527</v>
      </c>
      <c r="J220" s="102" t="s">
        <v>140</v>
      </c>
      <c r="K220" s="102" t="s">
        <v>141</v>
      </c>
      <c r="L220" s="102" t="s">
        <v>152</v>
      </c>
      <c r="M220" s="102" t="s">
        <v>553</v>
      </c>
      <c r="N220" s="102" t="s">
        <v>532</v>
      </c>
      <c r="O220" s="102" t="s">
        <v>533</v>
      </c>
      <c r="P220" s="102" t="s">
        <v>534</v>
      </c>
      <c r="Q220" s="102" t="s">
        <v>544</v>
      </c>
      <c r="R220" s="102" t="s">
        <v>567</v>
      </c>
      <c r="S220" s="102" t="s">
        <v>546</v>
      </c>
      <c r="T220" s="102" t="s">
        <v>537</v>
      </c>
      <c r="U220" s="102" t="s">
        <v>538</v>
      </c>
      <c r="V220" s="102" t="s">
        <v>155</v>
      </c>
      <c r="W220" s="102" t="s">
        <v>555</v>
      </c>
      <c r="X220" s="104">
        <v>7</v>
      </c>
      <c r="Y220" s="104">
        <v>7</v>
      </c>
      <c r="Z220" s="104">
        <v>7</v>
      </c>
      <c r="AA220" s="104">
        <v>7</v>
      </c>
      <c r="AB220" s="104">
        <v>4</v>
      </c>
      <c r="AC220" s="104">
        <v>3</v>
      </c>
      <c r="AD220" s="104">
        <v>2</v>
      </c>
      <c r="AE220" s="104">
        <v>2</v>
      </c>
      <c r="AF220" s="104">
        <v>2</v>
      </c>
      <c r="AG220" s="104">
        <v>4</v>
      </c>
      <c r="AH220" s="104">
        <v>5</v>
      </c>
      <c r="AI220" s="104">
        <v>5</v>
      </c>
      <c r="AJ220" s="104">
        <v>4</v>
      </c>
      <c r="AK220" s="104">
        <v>4</v>
      </c>
      <c r="AL220" s="104">
        <v>6</v>
      </c>
      <c r="AM220" s="104">
        <v>5</v>
      </c>
      <c r="AN220" s="104">
        <v>5</v>
      </c>
      <c r="AO220" s="104">
        <v>4</v>
      </c>
      <c r="AP220" s="104">
        <v>2</v>
      </c>
      <c r="AQ220" s="104">
        <v>5</v>
      </c>
    </row>
    <row r="221" spans="1:43" x14ac:dyDescent="0.35">
      <c r="A221" s="52">
        <v>218</v>
      </c>
      <c r="B221" s="52" t="s">
        <v>273</v>
      </c>
      <c r="C221" s="93"/>
      <c r="D221" s="102" t="s">
        <v>522</v>
      </c>
      <c r="E221" s="102" t="s">
        <v>523</v>
      </c>
      <c r="F221" s="102" t="s">
        <v>524</v>
      </c>
      <c r="G221" s="102" t="s">
        <v>556</v>
      </c>
      <c r="H221" s="102" t="s">
        <v>566</v>
      </c>
      <c r="I221" s="102" t="s">
        <v>552</v>
      </c>
      <c r="J221" s="102" t="s">
        <v>140</v>
      </c>
      <c r="K221" s="102" t="s">
        <v>529</v>
      </c>
      <c r="L221" s="102" t="s">
        <v>542</v>
      </c>
      <c r="M221" s="102" t="s">
        <v>553</v>
      </c>
      <c r="N221" s="102" t="s">
        <v>532</v>
      </c>
      <c r="O221" s="102" t="s">
        <v>554</v>
      </c>
      <c r="P221" s="102" t="s">
        <v>543</v>
      </c>
      <c r="Q221" s="102" t="s">
        <v>544</v>
      </c>
      <c r="R221" s="102" t="s">
        <v>143</v>
      </c>
      <c r="S221" s="102" t="s">
        <v>536</v>
      </c>
      <c r="T221" s="102" t="s">
        <v>547</v>
      </c>
      <c r="U221" s="102" t="s">
        <v>538</v>
      </c>
      <c r="V221" s="102" t="s">
        <v>155</v>
      </c>
      <c r="W221" s="102" t="s">
        <v>549</v>
      </c>
      <c r="X221" s="104">
        <v>4</v>
      </c>
      <c r="Y221" s="104">
        <v>6</v>
      </c>
      <c r="Z221" s="104">
        <v>5</v>
      </c>
      <c r="AA221" s="104">
        <v>3</v>
      </c>
      <c r="AB221" s="104">
        <v>5</v>
      </c>
      <c r="AC221" s="104">
        <v>5</v>
      </c>
      <c r="AD221" s="104">
        <v>3</v>
      </c>
      <c r="AE221" s="104">
        <v>6</v>
      </c>
      <c r="AF221" s="104">
        <v>3</v>
      </c>
      <c r="AG221" s="104">
        <v>5</v>
      </c>
      <c r="AH221" s="104">
        <v>7</v>
      </c>
      <c r="AI221" s="104">
        <v>3</v>
      </c>
      <c r="AJ221" s="104">
        <v>5</v>
      </c>
      <c r="AK221" s="104">
        <v>5</v>
      </c>
      <c r="AL221" s="104">
        <v>3</v>
      </c>
      <c r="AM221" s="104">
        <v>6</v>
      </c>
      <c r="AN221" s="104">
        <v>2</v>
      </c>
      <c r="AO221" s="104">
        <v>5</v>
      </c>
      <c r="AP221" s="104">
        <v>3</v>
      </c>
      <c r="AQ221" s="104">
        <v>6</v>
      </c>
    </row>
    <row r="222" spans="1:43" x14ac:dyDescent="0.35">
      <c r="A222" s="52">
        <v>219</v>
      </c>
      <c r="B222" s="52" t="s">
        <v>1239</v>
      </c>
      <c r="C222" s="93"/>
      <c r="D222" s="52" t="s">
        <v>522</v>
      </c>
      <c r="E222" s="52" t="s">
        <v>540</v>
      </c>
      <c r="F222" s="52" t="s">
        <v>524</v>
      </c>
      <c r="G222" s="52" t="s">
        <v>550</v>
      </c>
      <c r="H222" s="52" t="s">
        <v>551</v>
      </c>
      <c r="I222" s="52" t="s">
        <v>527</v>
      </c>
      <c r="J222" s="52" t="s">
        <v>140</v>
      </c>
      <c r="K222" s="52" t="s">
        <v>529</v>
      </c>
      <c r="L222" s="52" t="s">
        <v>530</v>
      </c>
      <c r="M222" s="52" t="s">
        <v>553</v>
      </c>
      <c r="N222" s="52" t="s">
        <v>532</v>
      </c>
      <c r="O222" s="52" t="s">
        <v>554</v>
      </c>
      <c r="P222" s="52" t="s">
        <v>543</v>
      </c>
      <c r="Q222" s="52" t="s">
        <v>544</v>
      </c>
      <c r="R222" s="52" t="s">
        <v>545</v>
      </c>
      <c r="S222" s="52" t="s">
        <v>546</v>
      </c>
      <c r="T222" s="52" t="s">
        <v>537</v>
      </c>
      <c r="U222" s="52" t="s">
        <v>538</v>
      </c>
      <c r="V222" s="52" t="s">
        <v>155</v>
      </c>
      <c r="W222" s="52" t="s">
        <v>555</v>
      </c>
      <c r="X222" s="104">
        <v>5</v>
      </c>
      <c r="Y222" s="104">
        <v>4</v>
      </c>
      <c r="Z222" s="104">
        <v>7</v>
      </c>
      <c r="AA222" s="104">
        <v>4</v>
      </c>
      <c r="AB222" s="104">
        <v>6</v>
      </c>
      <c r="AC222" s="104">
        <v>3</v>
      </c>
      <c r="AD222" s="104">
        <v>2</v>
      </c>
      <c r="AE222" s="104">
        <v>6</v>
      </c>
      <c r="AF222" s="104">
        <v>6</v>
      </c>
      <c r="AG222" s="104">
        <v>4</v>
      </c>
      <c r="AH222" s="104">
        <v>5</v>
      </c>
      <c r="AI222" s="104">
        <v>2</v>
      </c>
      <c r="AJ222" s="104">
        <v>5</v>
      </c>
      <c r="AK222" s="104">
        <v>6</v>
      </c>
      <c r="AL222" s="104">
        <v>5</v>
      </c>
      <c r="AM222" s="104">
        <v>5</v>
      </c>
      <c r="AN222" s="104">
        <v>5</v>
      </c>
      <c r="AO222" s="104">
        <v>4</v>
      </c>
      <c r="AP222" s="104">
        <v>1</v>
      </c>
      <c r="AQ222" s="104">
        <v>5</v>
      </c>
    </row>
    <row r="223" spans="1:43" x14ac:dyDescent="0.35">
      <c r="A223" s="52">
        <v>220</v>
      </c>
      <c r="B223" s="52" t="s">
        <v>257</v>
      </c>
      <c r="C223" s="93"/>
      <c r="D223" s="102" t="s">
        <v>539</v>
      </c>
      <c r="E223" s="102" t="s">
        <v>523</v>
      </c>
      <c r="F223" s="102" t="s">
        <v>524</v>
      </c>
      <c r="G223" s="102" t="s">
        <v>559</v>
      </c>
      <c r="H223" s="102" t="s">
        <v>560</v>
      </c>
      <c r="I223" s="102" t="s">
        <v>541</v>
      </c>
      <c r="J223" s="102" t="s">
        <v>558</v>
      </c>
      <c r="K223" s="102" t="s">
        <v>529</v>
      </c>
      <c r="L223" s="102" t="s">
        <v>152</v>
      </c>
      <c r="M223" s="102" t="s">
        <v>151</v>
      </c>
      <c r="N223" s="102" t="s">
        <v>142</v>
      </c>
      <c r="O223" s="102" t="s">
        <v>571</v>
      </c>
      <c r="P223" s="102" t="s">
        <v>543</v>
      </c>
      <c r="Q223" s="102" t="s">
        <v>535</v>
      </c>
      <c r="R223" s="102" t="s">
        <v>567</v>
      </c>
      <c r="S223" s="102" t="s">
        <v>536</v>
      </c>
      <c r="T223" s="102" t="s">
        <v>547</v>
      </c>
      <c r="U223" s="102" t="s">
        <v>538</v>
      </c>
      <c r="V223" s="102" t="s">
        <v>155</v>
      </c>
      <c r="W223" s="102" t="s">
        <v>555</v>
      </c>
      <c r="X223" s="104">
        <v>6</v>
      </c>
      <c r="Y223" s="104">
        <v>6</v>
      </c>
      <c r="Z223" s="104">
        <v>6</v>
      </c>
      <c r="AA223" s="104">
        <v>8</v>
      </c>
      <c r="AB223" s="104">
        <v>8</v>
      </c>
      <c r="AC223" s="104">
        <v>7</v>
      </c>
      <c r="AD223" s="104">
        <v>4</v>
      </c>
      <c r="AE223" s="104">
        <v>3</v>
      </c>
      <c r="AF223" s="104">
        <v>2</v>
      </c>
      <c r="AG223" s="104">
        <v>2</v>
      </c>
      <c r="AH223" s="104">
        <v>1</v>
      </c>
      <c r="AI223" s="104">
        <v>4</v>
      </c>
      <c r="AJ223" s="104">
        <v>5</v>
      </c>
      <c r="AK223" s="104">
        <v>3</v>
      </c>
      <c r="AL223" s="104">
        <v>6</v>
      </c>
      <c r="AM223" s="104">
        <v>6</v>
      </c>
      <c r="AN223" s="104">
        <v>2</v>
      </c>
      <c r="AO223" s="104">
        <v>4</v>
      </c>
      <c r="AP223" s="104">
        <v>2</v>
      </c>
      <c r="AQ223" s="104">
        <v>5</v>
      </c>
    </row>
    <row r="224" spans="1:43" x14ac:dyDescent="0.35">
      <c r="A224" s="52">
        <v>221</v>
      </c>
      <c r="B224" s="52" t="s">
        <v>719</v>
      </c>
      <c r="C224" s="93"/>
      <c r="D224" s="102" t="s">
        <v>522</v>
      </c>
      <c r="E224" s="102" t="s">
        <v>569</v>
      </c>
      <c r="F224" s="102" t="s">
        <v>524</v>
      </c>
      <c r="G224" s="102" t="s">
        <v>550</v>
      </c>
      <c r="H224" s="102" t="s">
        <v>566</v>
      </c>
      <c r="I224" s="102" t="s">
        <v>541</v>
      </c>
      <c r="J224" s="102" t="s">
        <v>558</v>
      </c>
      <c r="K224" s="102" t="s">
        <v>529</v>
      </c>
      <c r="L224" s="102" t="s">
        <v>152</v>
      </c>
      <c r="M224" s="102" t="s">
        <v>553</v>
      </c>
      <c r="N224" s="102" t="s">
        <v>532</v>
      </c>
      <c r="O224" s="102" t="s">
        <v>533</v>
      </c>
      <c r="P224" s="102" t="s">
        <v>145</v>
      </c>
      <c r="Q224" s="102" t="s">
        <v>144</v>
      </c>
      <c r="R224" s="102" t="s">
        <v>545</v>
      </c>
      <c r="S224" s="102" t="s">
        <v>536</v>
      </c>
      <c r="T224" s="102" t="s">
        <v>537</v>
      </c>
      <c r="U224" s="102" t="s">
        <v>548</v>
      </c>
      <c r="V224" s="102" t="s">
        <v>81</v>
      </c>
      <c r="W224" s="102" t="s">
        <v>156</v>
      </c>
      <c r="X224" s="104">
        <v>4</v>
      </c>
      <c r="Y224" s="104">
        <v>9</v>
      </c>
      <c r="Z224" s="104">
        <v>5</v>
      </c>
      <c r="AA224" s="104">
        <v>4</v>
      </c>
      <c r="AB224" s="104">
        <v>5</v>
      </c>
      <c r="AC224" s="104">
        <v>6</v>
      </c>
      <c r="AD224" s="104">
        <v>5</v>
      </c>
      <c r="AE224" s="104">
        <v>3</v>
      </c>
      <c r="AF224" s="104">
        <v>2</v>
      </c>
      <c r="AG224" s="104">
        <v>5</v>
      </c>
      <c r="AH224" s="104">
        <v>6</v>
      </c>
      <c r="AI224" s="104">
        <v>5</v>
      </c>
      <c r="AJ224" s="104">
        <v>2</v>
      </c>
      <c r="AK224" s="104">
        <v>1</v>
      </c>
      <c r="AL224" s="104">
        <v>5</v>
      </c>
      <c r="AM224" s="104">
        <v>7</v>
      </c>
      <c r="AN224" s="104">
        <v>4</v>
      </c>
      <c r="AO224" s="104">
        <v>3</v>
      </c>
      <c r="AP224" s="104">
        <v>6</v>
      </c>
      <c r="AQ224" s="104">
        <v>3</v>
      </c>
    </row>
    <row r="225" spans="1:43" x14ac:dyDescent="0.35">
      <c r="A225" s="52">
        <v>222</v>
      </c>
      <c r="B225" s="52" t="s">
        <v>990</v>
      </c>
      <c r="C225" s="93"/>
      <c r="D225" s="52" t="s">
        <v>539</v>
      </c>
      <c r="E225" s="52" t="s">
        <v>540</v>
      </c>
      <c r="F225" s="52" t="s">
        <v>148</v>
      </c>
      <c r="G225" s="52" t="s">
        <v>550</v>
      </c>
      <c r="H225" s="52" t="s">
        <v>560</v>
      </c>
      <c r="I225" s="52" t="s">
        <v>552</v>
      </c>
      <c r="J225" s="52" t="s">
        <v>558</v>
      </c>
      <c r="K225" s="52" t="s">
        <v>529</v>
      </c>
      <c r="L225" s="52" t="s">
        <v>152</v>
      </c>
      <c r="M225" s="52" t="s">
        <v>553</v>
      </c>
      <c r="N225" s="52" t="s">
        <v>532</v>
      </c>
      <c r="O225" s="52" t="s">
        <v>554</v>
      </c>
      <c r="P225" s="52" t="s">
        <v>543</v>
      </c>
      <c r="Q225" s="52" t="s">
        <v>544</v>
      </c>
      <c r="R225" s="52" t="s">
        <v>567</v>
      </c>
      <c r="S225" s="52" t="s">
        <v>568</v>
      </c>
      <c r="T225" s="52" t="s">
        <v>547</v>
      </c>
      <c r="U225" s="52" t="s">
        <v>538</v>
      </c>
      <c r="V225" s="52" t="s">
        <v>155</v>
      </c>
      <c r="W225" s="52" t="s">
        <v>555</v>
      </c>
      <c r="X225" s="104">
        <v>6</v>
      </c>
      <c r="Y225" s="104">
        <v>4</v>
      </c>
      <c r="Z225" s="104">
        <v>4</v>
      </c>
      <c r="AA225" s="104">
        <v>4</v>
      </c>
      <c r="AB225" s="104">
        <v>8</v>
      </c>
      <c r="AC225" s="104">
        <v>4</v>
      </c>
      <c r="AD225" s="104">
        <v>4</v>
      </c>
      <c r="AE225" s="104">
        <v>4</v>
      </c>
      <c r="AF225" s="104">
        <v>2</v>
      </c>
      <c r="AG225" s="104">
        <v>5</v>
      </c>
      <c r="AH225" s="104">
        <v>6</v>
      </c>
      <c r="AI225" s="104">
        <v>3</v>
      </c>
      <c r="AJ225" s="104">
        <v>5</v>
      </c>
      <c r="AK225" s="104">
        <v>5</v>
      </c>
      <c r="AL225" s="104">
        <v>6</v>
      </c>
      <c r="AM225" s="104">
        <v>8</v>
      </c>
      <c r="AN225" s="104">
        <v>3</v>
      </c>
      <c r="AO225" s="104">
        <v>4</v>
      </c>
      <c r="AP225" s="104">
        <v>1</v>
      </c>
      <c r="AQ225" s="104">
        <v>4</v>
      </c>
    </row>
    <row r="226" spans="1:43" x14ac:dyDescent="0.35">
      <c r="A226" s="52">
        <v>223</v>
      </c>
      <c r="B226" s="52" t="s">
        <v>992</v>
      </c>
      <c r="C226" s="93"/>
      <c r="D226" s="52" t="s">
        <v>539</v>
      </c>
      <c r="E226" s="52" t="s">
        <v>523</v>
      </c>
      <c r="F226" s="52" t="s">
        <v>524</v>
      </c>
      <c r="G226" s="52" t="s">
        <v>138</v>
      </c>
      <c r="H226" s="52" t="s">
        <v>526</v>
      </c>
      <c r="I226" s="52" t="s">
        <v>552</v>
      </c>
      <c r="J226" s="52" t="s">
        <v>140</v>
      </c>
      <c r="K226" s="52" t="s">
        <v>529</v>
      </c>
      <c r="L226" s="52" t="s">
        <v>542</v>
      </c>
      <c r="M226" s="52" t="s">
        <v>531</v>
      </c>
      <c r="N226" s="52" t="s">
        <v>562</v>
      </c>
      <c r="O226" s="52" t="s">
        <v>571</v>
      </c>
      <c r="P226" s="52" t="s">
        <v>563</v>
      </c>
      <c r="Q226" s="52" t="s">
        <v>544</v>
      </c>
      <c r="R226" s="52" t="s">
        <v>545</v>
      </c>
      <c r="S226" s="52" t="s">
        <v>546</v>
      </c>
      <c r="T226" s="52" t="s">
        <v>537</v>
      </c>
      <c r="U226" s="52" t="s">
        <v>548</v>
      </c>
      <c r="V226" s="52" t="s">
        <v>155</v>
      </c>
      <c r="W226" s="52" t="s">
        <v>574</v>
      </c>
      <c r="X226" s="104">
        <v>6</v>
      </c>
      <c r="Y226" s="104">
        <v>7</v>
      </c>
      <c r="Z226" s="104">
        <v>5</v>
      </c>
      <c r="AA226" s="104">
        <v>1</v>
      </c>
      <c r="AB226" s="104">
        <v>2</v>
      </c>
      <c r="AC226" s="104">
        <v>5</v>
      </c>
      <c r="AD226" s="104">
        <v>2</v>
      </c>
      <c r="AE226" s="104">
        <v>4</v>
      </c>
      <c r="AF226" s="104">
        <v>4</v>
      </c>
      <c r="AG226" s="104">
        <v>6</v>
      </c>
      <c r="AH226" s="104">
        <v>3</v>
      </c>
      <c r="AI226" s="104">
        <v>4</v>
      </c>
      <c r="AJ226" s="104">
        <v>7</v>
      </c>
      <c r="AK226" s="104">
        <v>6</v>
      </c>
      <c r="AL226" s="104">
        <v>5</v>
      </c>
      <c r="AM226" s="104">
        <v>5</v>
      </c>
      <c r="AN226" s="104">
        <v>5</v>
      </c>
      <c r="AO226" s="104">
        <v>2</v>
      </c>
      <c r="AP226" s="104">
        <v>3</v>
      </c>
      <c r="AQ226" s="104">
        <v>8</v>
      </c>
    </row>
    <row r="227" spans="1:43" x14ac:dyDescent="0.35">
      <c r="A227" s="52">
        <v>224</v>
      </c>
      <c r="B227" s="52" t="s">
        <v>1156</v>
      </c>
      <c r="C227" s="93"/>
      <c r="D227" s="52" t="s">
        <v>539</v>
      </c>
      <c r="E227" s="52" t="s">
        <v>523</v>
      </c>
      <c r="F227" s="52" t="s">
        <v>573</v>
      </c>
      <c r="G227" s="52" t="s">
        <v>556</v>
      </c>
      <c r="H227" s="52" t="s">
        <v>526</v>
      </c>
      <c r="I227" s="52" t="s">
        <v>527</v>
      </c>
      <c r="J227" s="52" t="s">
        <v>140</v>
      </c>
      <c r="K227" s="52" t="s">
        <v>529</v>
      </c>
      <c r="L227" s="52" t="s">
        <v>152</v>
      </c>
      <c r="M227" s="52" t="s">
        <v>553</v>
      </c>
      <c r="N227" s="52" t="s">
        <v>532</v>
      </c>
      <c r="O227" s="52" t="s">
        <v>533</v>
      </c>
      <c r="P227" s="52" t="s">
        <v>543</v>
      </c>
      <c r="Q227" s="52" t="s">
        <v>544</v>
      </c>
      <c r="R227" s="52" t="s">
        <v>567</v>
      </c>
      <c r="S227" s="52" t="s">
        <v>546</v>
      </c>
      <c r="T227" s="52" t="s">
        <v>537</v>
      </c>
      <c r="U227" s="52" t="s">
        <v>538</v>
      </c>
      <c r="V227" s="52" t="s">
        <v>155</v>
      </c>
      <c r="W227" s="52" t="s">
        <v>555</v>
      </c>
      <c r="X227" s="104">
        <v>6</v>
      </c>
      <c r="Y227" s="104">
        <v>6</v>
      </c>
      <c r="Z227" s="104">
        <v>8</v>
      </c>
      <c r="AA227" s="104">
        <v>2</v>
      </c>
      <c r="AB227" s="104">
        <v>3</v>
      </c>
      <c r="AC227" s="104">
        <v>2</v>
      </c>
      <c r="AD227" s="104">
        <v>3</v>
      </c>
      <c r="AE227" s="104">
        <v>5</v>
      </c>
      <c r="AF227" s="104">
        <v>1</v>
      </c>
      <c r="AG227" s="104">
        <v>5</v>
      </c>
      <c r="AH227" s="104">
        <v>6</v>
      </c>
      <c r="AI227" s="104">
        <v>5</v>
      </c>
      <c r="AJ227" s="104">
        <v>6</v>
      </c>
      <c r="AK227" s="104">
        <v>5</v>
      </c>
      <c r="AL227" s="104">
        <v>6</v>
      </c>
      <c r="AM227" s="104">
        <v>5</v>
      </c>
      <c r="AN227" s="104">
        <v>4</v>
      </c>
      <c r="AO227" s="104">
        <v>4</v>
      </c>
      <c r="AP227" s="104">
        <v>3</v>
      </c>
      <c r="AQ227" s="104">
        <v>5</v>
      </c>
    </row>
    <row r="228" spans="1:43" x14ac:dyDescent="0.35">
      <c r="A228" s="52">
        <v>225</v>
      </c>
      <c r="B228" s="52" t="s">
        <v>940</v>
      </c>
      <c r="C228" s="93"/>
      <c r="D228" s="52" t="s">
        <v>539</v>
      </c>
      <c r="E228" s="52" t="s">
        <v>523</v>
      </c>
      <c r="F228" s="52" t="s">
        <v>524</v>
      </c>
      <c r="G228" s="52" t="s">
        <v>556</v>
      </c>
      <c r="H228" s="52" t="s">
        <v>526</v>
      </c>
      <c r="I228" s="52" t="s">
        <v>527</v>
      </c>
      <c r="J228" s="52" t="s">
        <v>140</v>
      </c>
      <c r="K228" s="52" t="s">
        <v>529</v>
      </c>
      <c r="L228" s="52" t="s">
        <v>152</v>
      </c>
      <c r="M228" s="52" t="s">
        <v>531</v>
      </c>
      <c r="N228" s="52" t="s">
        <v>532</v>
      </c>
      <c r="O228" s="52" t="s">
        <v>554</v>
      </c>
      <c r="P228" s="52" t="s">
        <v>543</v>
      </c>
      <c r="Q228" s="52" t="s">
        <v>544</v>
      </c>
      <c r="R228" s="52" t="s">
        <v>545</v>
      </c>
      <c r="S228" s="52" t="s">
        <v>565</v>
      </c>
      <c r="T228" s="52" t="s">
        <v>557</v>
      </c>
      <c r="U228" s="52" t="s">
        <v>548</v>
      </c>
      <c r="V228" s="52" t="s">
        <v>81</v>
      </c>
      <c r="W228" s="52" t="s">
        <v>549</v>
      </c>
      <c r="X228" s="104">
        <v>7</v>
      </c>
      <c r="Y228" s="104">
        <v>5</v>
      </c>
      <c r="Z228" s="104">
        <v>6</v>
      </c>
      <c r="AA228" s="104">
        <v>3</v>
      </c>
      <c r="AB228" s="104">
        <v>3</v>
      </c>
      <c r="AC228" s="104">
        <v>2</v>
      </c>
      <c r="AD228" s="104">
        <v>3</v>
      </c>
      <c r="AE228" s="104">
        <v>5</v>
      </c>
      <c r="AF228" s="104">
        <v>2</v>
      </c>
      <c r="AG228" s="104">
        <v>8</v>
      </c>
      <c r="AH228" s="104">
        <v>6</v>
      </c>
      <c r="AI228" s="104">
        <v>3</v>
      </c>
      <c r="AJ228" s="104">
        <v>6</v>
      </c>
      <c r="AK228" s="104">
        <v>4</v>
      </c>
      <c r="AL228" s="104">
        <v>4</v>
      </c>
      <c r="AM228" s="104">
        <v>3</v>
      </c>
      <c r="AN228" s="104">
        <v>7</v>
      </c>
      <c r="AO228" s="104">
        <v>2</v>
      </c>
      <c r="AP228" s="104">
        <v>4</v>
      </c>
      <c r="AQ228" s="104">
        <v>7</v>
      </c>
    </row>
    <row r="229" spans="1:43" x14ac:dyDescent="0.35">
      <c r="A229" s="52">
        <v>226</v>
      </c>
      <c r="B229" s="52" t="s">
        <v>1006</v>
      </c>
      <c r="C229" s="93"/>
      <c r="D229" s="52" t="s">
        <v>578</v>
      </c>
      <c r="E229" s="52" t="s">
        <v>523</v>
      </c>
      <c r="F229" s="52" t="s">
        <v>524</v>
      </c>
      <c r="G229" s="52" t="s">
        <v>138</v>
      </c>
      <c r="H229" s="52" t="s">
        <v>561</v>
      </c>
      <c r="I229" s="52" t="s">
        <v>552</v>
      </c>
      <c r="J229" s="52" t="s">
        <v>558</v>
      </c>
      <c r="K229" s="52" t="s">
        <v>529</v>
      </c>
      <c r="L229" s="52" t="s">
        <v>152</v>
      </c>
      <c r="M229" s="52" t="s">
        <v>553</v>
      </c>
      <c r="N229" s="52" t="s">
        <v>142</v>
      </c>
      <c r="O229" s="52" t="s">
        <v>571</v>
      </c>
      <c r="P229" s="52" t="s">
        <v>563</v>
      </c>
      <c r="Q229" s="52" t="s">
        <v>544</v>
      </c>
      <c r="R229" s="52" t="s">
        <v>577</v>
      </c>
      <c r="S229" s="52" t="s">
        <v>565</v>
      </c>
      <c r="T229" s="52" t="s">
        <v>547</v>
      </c>
      <c r="U229" s="52" t="s">
        <v>548</v>
      </c>
      <c r="V229" s="52" t="s">
        <v>155</v>
      </c>
      <c r="W229" s="52" t="s">
        <v>549</v>
      </c>
      <c r="X229" s="104">
        <v>8</v>
      </c>
      <c r="Y229" s="104">
        <v>5</v>
      </c>
      <c r="Z229" s="104">
        <v>7</v>
      </c>
      <c r="AA229" s="104">
        <v>1</v>
      </c>
      <c r="AB229" s="104">
        <v>4</v>
      </c>
      <c r="AC229" s="104">
        <v>5</v>
      </c>
      <c r="AD229" s="104">
        <v>5</v>
      </c>
      <c r="AE229" s="104">
        <v>5</v>
      </c>
      <c r="AF229" s="104">
        <v>2</v>
      </c>
      <c r="AG229" s="104">
        <v>5</v>
      </c>
      <c r="AH229" s="104">
        <v>1</v>
      </c>
      <c r="AI229" s="104">
        <v>4</v>
      </c>
      <c r="AJ229" s="104">
        <v>7</v>
      </c>
      <c r="AK229" s="104">
        <v>5</v>
      </c>
      <c r="AL229" s="104">
        <v>8</v>
      </c>
      <c r="AM229" s="104">
        <v>3</v>
      </c>
      <c r="AN229" s="104">
        <v>3</v>
      </c>
      <c r="AO229" s="104">
        <v>3</v>
      </c>
      <c r="AP229" s="104">
        <v>3</v>
      </c>
      <c r="AQ229" s="104">
        <v>6</v>
      </c>
    </row>
    <row r="230" spans="1:43" x14ac:dyDescent="0.35">
      <c r="A230" s="52">
        <v>227</v>
      </c>
      <c r="B230" s="52" t="s">
        <v>695</v>
      </c>
      <c r="C230" s="93"/>
      <c r="D230" s="102" t="s">
        <v>539</v>
      </c>
      <c r="E230" s="102" t="s">
        <v>523</v>
      </c>
      <c r="F230" s="102" t="s">
        <v>148</v>
      </c>
      <c r="G230" s="102" t="s">
        <v>570</v>
      </c>
      <c r="H230" s="102" t="s">
        <v>526</v>
      </c>
      <c r="I230" s="102" t="s">
        <v>552</v>
      </c>
      <c r="J230" s="102" t="s">
        <v>558</v>
      </c>
      <c r="K230" s="102" t="s">
        <v>529</v>
      </c>
      <c r="L230" s="102" t="s">
        <v>542</v>
      </c>
      <c r="M230" s="102" t="s">
        <v>531</v>
      </c>
      <c r="N230" s="102" t="s">
        <v>562</v>
      </c>
      <c r="O230" s="102" t="s">
        <v>571</v>
      </c>
      <c r="P230" s="102" t="s">
        <v>543</v>
      </c>
      <c r="Q230" s="102" t="s">
        <v>544</v>
      </c>
      <c r="R230" s="102" t="s">
        <v>567</v>
      </c>
      <c r="S230" s="102" t="s">
        <v>568</v>
      </c>
      <c r="T230" s="102" t="s">
        <v>537</v>
      </c>
      <c r="U230" s="102" t="s">
        <v>548</v>
      </c>
      <c r="V230" s="102" t="s">
        <v>155</v>
      </c>
      <c r="W230" s="102" t="s">
        <v>549</v>
      </c>
      <c r="X230" s="104">
        <v>6</v>
      </c>
      <c r="Y230" s="104">
        <v>6</v>
      </c>
      <c r="Z230" s="104">
        <v>4</v>
      </c>
      <c r="AA230" s="104">
        <v>5</v>
      </c>
      <c r="AB230" s="104">
        <v>2</v>
      </c>
      <c r="AC230" s="104">
        <v>4</v>
      </c>
      <c r="AD230" s="104">
        <v>5</v>
      </c>
      <c r="AE230" s="104">
        <v>3</v>
      </c>
      <c r="AF230" s="104">
        <v>3</v>
      </c>
      <c r="AG230" s="104">
        <v>6</v>
      </c>
      <c r="AH230" s="104">
        <v>3</v>
      </c>
      <c r="AI230" s="104">
        <v>4</v>
      </c>
      <c r="AJ230" s="104">
        <v>5</v>
      </c>
      <c r="AK230" s="104">
        <v>4</v>
      </c>
      <c r="AL230" s="104">
        <v>6</v>
      </c>
      <c r="AM230" s="104">
        <v>8</v>
      </c>
      <c r="AN230" s="104">
        <v>4</v>
      </c>
      <c r="AO230" s="104">
        <v>3</v>
      </c>
      <c r="AP230" s="104">
        <v>3</v>
      </c>
      <c r="AQ230" s="104">
        <v>6</v>
      </c>
    </row>
    <row r="231" spans="1:43" x14ac:dyDescent="0.35">
      <c r="A231" s="52">
        <v>228</v>
      </c>
      <c r="B231" s="52" t="s">
        <v>282</v>
      </c>
      <c r="C231" s="93"/>
      <c r="D231" s="102" t="s">
        <v>578</v>
      </c>
      <c r="E231" s="102" t="s">
        <v>523</v>
      </c>
      <c r="F231" s="102" t="s">
        <v>148</v>
      </c>
      <c r="G231" s="102" t="s">
        <v>556</v>
      </c>
      <c r="H231" s="102" t="s">
        <v>561</v>
      </c>
      <c r="I231" s="102" t="s">
        <v>527</v>
      </c>
      <c r="J231" s="102" t="s">
        <v>558</v>
      </c>
      <c r="K231" s="102" t="s">
        <v>529</v>
      </c>
      <c r="L231" s="102" t="s">
        <v>542</v>
      </c>
      <c r="M231" s="102" t="s">
        <v>553</v>
      </c>
      <c r="N231" s="102" t="s">
        <v>562</v>
      </c>
      <c r="O231" s="102" t="s">
        <v>150</v>
      </c>
      <c r="P231" s="102" t="s">
        <v>563</v>
      </c>
      <c r="Q231" s="102" t="s">
        <v>544</v>
      </c>
      <c r="R231" s="102" t="s">
        <v>577</v>
      </c>
      <c r="S231" s="102" t="s">
        <v>536</v>
      </c>
      <c r="T231" s="102" t="s">
        <v>547</v>
      </c>
      <c r="U231" s="102" t="s">
        <v>548</v>
      </c>
      <c r="V231" s="102" t="s">
        <v>155</v>
      </c>
      <c r="W231" s="102" t="s">
        <v>549</v>
      </c>
      <c r="X231" s="104">
        <v>9</v>
      </c>
      <c r="Y231" s="104">
        <v>7</v>
      </c>
      <c r="Z231" s="104">
        <v>4</v>
      </c>
      <c r="AA231" s="104">
        <v>2</v>
      </c>
      <c r="AB231" s="104">
        <v>4</v>
      </c>
      <c r="AC231" s="104">
        <v>3</v>
      </c>
      <c r="AD231" s="104">
        <v>4</v>
      </c>
      <c r="AE231" s="104">
        <v>5</v>
      </c>
      <c r="AF231" s="104">
        <v>5</v>
      </c>
      <c r="AG231" s="104">
        <v>3</v>
      </c>
      <c r="AH231" s="104">
        <v>3</v>
      </c>
      <c r="AI231" s="104">
        <v>1</v>
      </c>
      <c r="AJ231" s="104">
        <v>7</v>
      </c>
      <c r="AK231" s="104">
        <v>4</v>
      </c>
      <c r="AL231" s="104">
        <v>8</v>
      </c>
      <c r="AM231" s="104">
        <v>7</v>
      </c>
      <c r="AN231" s="104">
        <v>2</v>
      </c>
      <c r="AO231" s="104">
        <v>3</v>
      </c>
      <c r="AP231" s="104">
        <v>3</v>
      </c>
      <c r="AQ231" s="104">
        <v>6</v>
      </c>
    </row>
    <row r="232" spans="1:43" x14ac:dyDescent="0.35">
      <c r="A232" s="52">
        <v>229</v>
      </c>
      <c r="B232" s="52" t="s">
        <v>653</v>
      </c>
      <c r="C232" s="93"/>
      <c r="D232" s="102" t="s">
        <v>539</v>
      </c>
      <c r="E232" s="102" t="s">
        <v>523</v>
      </c>
      <c r="F232" s="102" t="s">
        <v>524</v>
      </c>
      <c r="G232" s="102" t="s">
        <v>550</v>
      </c>
      <c r="H232" s="102" t="s">
        <v>566</v>
      </c>
      <c r="I232" s="102" t="s">
        <v>541</v>
      </c>
      <c r="J232" s="102" t="s">
        <v>140</v>
      </c>
      <c r="K232" s="102" t="s">
        <v>575</v>
      </c>
      <c r="L232" s="102" t="s">
        <v>152</v>
      </c>
      <c r="M232" s="102" t="s">
        <v>553</v>
      </c>
      <c r="N232" s="102" t="s">
        <v>562</v>
      </c>
      <c r="O232" s="102" t="s">
        <v>150</v>
      </c>
      <c r="P232" s="102" t="s">
        <v>145</v>
      </c>
      <c r="Q232" s="102" t="s">
        <v>544</v>
      </c>
      <c r="R232" s="102" t="s">
        <v>545</v>
      </c>
      <c r="S232" s="102" t="s">
        <v>546</v>
      </c>
      <c r="T232" s="102" t="s">
        <v>547</v>
      </c>
      <c r="U232" s="102" t="s">
        <v>538</v>
      </c>
      <c r="V232" s="102" t="s">
        <v>155</v>
      </c>
      <c r="W232" s="102" t="s">
        <v>549</v>
      </c>
      <c r="X232" s="104">
        <v>7</v>
      </c>
      <c r="Y232" s="104">
        <v>7</v>
      </c>
      <c r="Z232" s="104">
        <v>7</v>
      </c>
      <c r="AA232" s="104">
        <v>4</v>
      </c>
      <c r="AB232" s="104">
        <v>5</v>
      </c>
      <c r="AC232" s="104">
        <v>6</v>
      </c>
      <c r="AD232" s="104">
        <v>3</v>
      </c>
      <c r="AE232" s="104">
        <v>7</v>
      </c>
      <c r="AF232" s="104">
        <v>2</v>
      </c>
      <c r="AG232" s="104">
        <v>5</v>
      </c>
      <c r="AH232" s="104">
        <v>3</v>
      </c>
      <c r="AI232" s="104">
        <v>1</v>
      </c>
      <c r="AJ232" s="104">
        <v>2</v>
      </c>
      <c r="AK232" s="104">
        <v>5</v>
      </c>
      <c r="AL232" s="104">
        <v>5</v>
      </c>
      <c r="AM232" s="104">
        <v>5</v>
      </c>
      <c r="AN232" s="104">
        <v>3</v>
      </c>
      <c r="AO232" s="104">
        <v>4</v>
      </c>
      <c r="AP232" s="104">
        <v>3</v>
      </c>
      <c r="AQ232" s="104">
        <v>6</v>
      </c>
    </row>
    <row r="233" spans="1:43" x14ac:dyDescent="0.35">
      <c r="A233" s="52">
        <v>230</v>
      </c>
      <c r="B233" s="52" t="s">
        <v>953</v>
      </c>
      <c r="C233" s="93"/>
      <c r="D233" s="52" t="s">
        <v>539</v>
      </c>
      <c r="E233" s="52" t="s">
        <v>523</v>
      </c>
      <c r="F233" s="52" t="s">
        <v>524</v>
      </c>
      <c r="G233" s="52" t="s">
        <v>550</v>
      </c>
      <c r="H233" s="52" t="s">
        <v>566</v>
      </c>
      <c r="I233" s="52" t="s">
        <v>552</v>
      </c>
      <c r="J233" s="52" t="s">
        <v>558</v>
      </c>
      <c r="K233" s="52" t="s">
        <v>529</v>
      </c>
      <c r="L233" s="52" t="s">
        <v>530</v>
      </c>
      <c r="M233" s="52" t="s">
        <v>553</v>
      </c>
      <c r="N233" s="52" t="s">
        <v>562</v>
      </c>
      <c r="O233" s="52" t="s">
        <v>554</v>
      </c>
      <c r="P233" s="52" t="s">
        <v>543</v>
      </c>
      <c r="Q233" s="52" t="s">
        <v>535</v>
      </c>
      <c r="R233" s="52" t="s">
        <v>545</v>
      </c>
      <c r="S233" s="52" t="s">
        <v>546</v>
      </c>
      <c r="T233" s="52" t="s">
        <v>557</v>
      </c>
      <c r="U233" s="52" t="s">
        <v>538</v>
      </c>
      <c r="V233" s="52" t="s">
        <v>155</v>
      </c>
      <c r="W233" s="52" t="s">
        <v>555</v>
      </c>
      <c r="X233" s="104">
        <v>6</v>
      </c>
      <c r="Y233" s="104">
        <v>5</v>
      </c>
      <c r="Z233" s="104">
        <v>5</v>
      </c>
      <c r="AA233" s="104">
        <v>4</v>
      </c>
      <c r="AB233" s="104">
        <v>5</v>
      </c>
      <c r="AC233" s="104">
        <v>5</v>
      </c>
      <c r="AD233" s="104">
        <v>4</v>
      </c>
      <c r="AE233" s="104">
        <v>4</v>
      </c>
      <c r="AF233" s="104">
        <v>8</v>
      </c>
      <c r="AG233" s="104">
        <v>3</v>
      </c>
      <c r="AH233" s="104">
        <v>4</v>
      </c>
      <c r="AI233" s="104">
        <v>3</v>
      </c>
      <c r="AJ233" s="104">
        <v>5</v>
      </c>
      <c r="AK233" s="104">
        <v>3</v>
      </c>
      <c r="AL233" s="104">
        <v>4</v>
      </c>
      <c r="AM233" s="104">
        <v>5</v>
      </c>
      <c r="AN233" s="104">
        <v>7</v>
      </c>
      <c r="AO233" s="104">
        <v>4</v>
      </c>
      <c r="AP233" s="104">
        <v>2</v>
      </c>
      <c r="AQ233" s="104">
        <v>4</v>
      </c>
    </row>
    <row r="234" spans="1:43" x14ac:dyDescent="0.35">
      <c r="A234" s="52">
        <v>231</v>
      </c>
      <c r="B234" s="52" t="s">
        <v>967</v>
      </c>
      <c r="C234" s="93"/>
      <c r="D234" s="52" t="s">
        <v>539</v>
      </c>
      <c r="E234" s="52" t="s">
        <v>523</v>
      </c>
      <c r="F234" s="52" t="s">
        <v>524</v>
      </c>
      <c r="G234" s="52" t="s">
        <v>559</v>
      </c>
      <c r="H234" s="52" t="s">
        <v>551</v>
      </c>
      <c r="I234" s="52" t="s">
        <v>552</v>
      </c>
      <c r="J234" s="52" t="s">
        <v>558</v>
      </c>
      <c r="K234" s="52" t="s">
        <v>529</v>
      </c>
      <c r="L234" s="52" t="s">
        <v>542</v>
      </c>
      <c r="M234" s="52" t="s">
        <v>553</v>
      </c>
      <c r="N234" s="52" t="s">
        <v>562</v>
      </c>
      <c r="O234" s="52" t="s">
        <v>571</v>
      </c>
      <c r="P234" s="52" t="s">
        <v>543</v>
      </c>
      <c r="Q234" s="52" t="s">
        <v>144</v>
      </c>
      <c r="R234" s="52" t="s">
        <v>545</v>
      </c>
      <c r="S234" s="52" t="s">
        <v>568</v>
      </c>
      <c r="T234" s="52" t="s">
        <v>547</v>
      </c>
      <c r="U234" s="52" t="s">
        <v>538</v>
      </c>
      <c r="V234" s="52" t="s">
        <v>155</v>
      </c>
      <c r="W234" s="52" t="s">
        <v>156</v>
      </c>
      <c r="X234" s="104">
        <v>7</v>
      </c>
      <c r="Y234" s="104">
        <v>5</v>
      </c>
      <c r="Z234" s="104">
        <v>5</v>
      </c>
      <c r="AA234" s="104">
        <v>8</v>
      </c>
      <c r="AB234" s="104">
        <v>6</v>
      </c>
      <c r="AC234" s="104">
        <v>4</v>
      </c>
      <c r="AD234" s="104">
        <v>6</v>
      </c>
      <c r="AE234" s="104">
        <v>6</v>
      </c>
      <c r="AF234" s="104">
        <v>5</v>
      </c>
      <c r="AG234" s="104">
        <v>3</v>
      </c>
      <c r="AH234" s="104">
        <v>3</v>
      </c>
      <c r="AI234" s="104">
        <v>4</v>
      </c>
      <c r="AJ234" s="104">
        <v>5</v>
      </c>
      <c r="AK234" s="104">
        <v>1</v>
      </c>
      <c r="AL234" s="104">
        <v>4</v>
      </c>
      <c r="AM234" s="104">
        <v>8</v>
      </c>
      <c r="AN234" s="104">
        <v>3</v>
      </c>
      <c r="AO234" s="104">
        <v>4</v>
      </c>
      <c r="AP234" s="104">
        <v>2</v>
      </c>
      <c r="AQ234" s="104">
        <v>1</v>
      </c>
    </row>
    <row r="235" spans="1:43" x14ac:dyDescent="0.35">
      <c r="A235" s="52">
        <v>232</v>
      </c>
      <c r="B235" s="52" t="s">
        <v>994</v>
      </c>
      <c r="C235" s="93"/>
      <c r="D235" s="52" t="s">
        <v>522</v>
      </c>
      <c r="E235" s="52" t="s">
        <v>523</v>
      </c>
      <c r="F235" s="52" t="s">
        <v>524</v>
      </c>
      <c r="G235" s="52" t="s">
        <v>556</v>
      </c>
      <c r="H235" s="52" t="s">
        <v>526</v>
      </c>
      <c r="I235" s="52" t="s">
        <v>541</v>
      </c>
      <c r="J235" s="52" t="s">
        <v>558</v>
      </c>
      <c r="K235" s="52" t="s">
        <v>529</v>
      </c>
      <c r="L235" s="52" t="s">
        <v>542</v>
      </c>
      <c r="M235" s="52" t="s">
        <v>553</v>
      </c>
      <c r="N235" s="52" t="s">
        <v>532</v>
      </c>
      <c r="O235" s="52" t="s">
        <v>554</v>
      </c>
      <c r="P235" s="52" t="s">
        <v>543</v>
      </c>
      <c r="Q235" s="52" t="s">
        <v>544</v>
      </c>
      <c r="R235" s="52" t="s">
        <v>545</v>
      </c>
      <c r="S235" s="52" t="s">
        <v>568</v>
      </c>
      <c r="T235" s="52" t="s">
        <v>537</v>
      </c>
      <c r="U235" s="52" t="s">
        <v>548</v>
      </c>
      <c r="V235" s="52" t="s">
        <v>155</v>
      </c>
      <c r="W235" s="52" t="s">
        <v>555</v>
      </c>
      <c r="X235" s="104">
        <v>5</v>
      </c>
      <c r="Y235" s="104">
        <v>5</v>
      </c>
      <c r="Z235" s="104">
        <v>7</v>
      </c>
      <c r="AA235" s="104">
        <v>2</v>
      </c>
      <c r="AB235" s="104">
        <v>3</v>
      </c>
      <c r="AC235" s="104">
        <v>6</v>
      </c>
      <c r="AD235" s="104">
        <v>4</v>
      </c>
      <c r="AE235" s="104">
        <v>4</v>
      </c>
      <c r="AF235" s="104">
        <v>4</v>
      </c>
      <c r="AG235" s="104">
        <v>5</v>
      </c>
      <c r="AH235" s="104">
        <v>6</v>
      </c>
      <c r="AI235" s="104">
        <v>2</v>
      </c>
      <c r="AJ235" s="104">
        <v>5</v>
      </c>
      <c r="AK235" s="104">
        <v>4</v>
      </c>
      <c r="AL235" s="104">
        <v>5</v>
      </c>
      <c r="AM235" s="104">
        <v>8</v>
      </c>
      <c r="AN235" s="104">
        <v>4</v>
      </c>
      <c r="AO235" s="104">
        <v>3</v>
      </c>
      <c r="AP235" s="104">
        <v>3</v>
      </c>
      <c r="AQ235" s="104">
        <v>5</v>
      </c>
    </row>
    <row r="236" spans="1:43" x14ac:dyDescent="0.35">
      <c r="A236" s="52">
        <v>233</v>
      </c>
      <c r="B236" s="52" t="s">
        <v>720</v>
      </c>
      <c r="C236" s="93"/>
      <c r="D236" s="102" t="s">
        <v>539</v>
      </c>
      <c r="E236" s="102" t="s">
        <v>523</v>
      </c>
      <c r="F236" s="102" t="s">
        <v>148</v>
      </c>
      <c r="G236" s="102" t="s">
        <v>556</v>
      </c>
      <c r="H236" s="102" t="s">
        <v>551</v>
      </c>
      <c r="I236" s="102" t="s">
        <v>552</v>
      </c>
      <c r="J236" s="102" t="s">
        <v>140</v>
      </c>
      <c r="K236" s="102" t="s">
        <v>529</v>
      </c>
      <c r="L236" s="102" t="s">
        <v>542</v>
      </c>
      <c r="M236" s="102" t="s">
        <v>553</v>
      </c>
      <c r="N236" s="102" t="s">
        <v>562</v>
      </c>
      <c r="O236" s="102" t="s">
        <v>571</v>
      </c>
      <c r="P236" s="102" t="s">
        <v>563</v>
      </c>
      <c r="Q236" s="102" t="s">
        <v>544</v>
      </c>
      <c r="R236" s="102" t="s">
        <v>545</v>
      </c>
      <c r="S236" s="102" t="s">
        <v>536</v>
      </c>
      <c r="T236" s="102" t="s">
        <v>537</v>
      </c>
      <c r="U236" s="102" t="s">
        <v>548</v>
      </c>
      <c r="V236" s="102" t="s">
        <v>155</v>
      </c>
      <c r="W236" s="102" t="s">
        <v>549</v>
      </c>
      <c r="X236" s="104">
        <v>6</v>
      </c>
      <c r="Y236" s="104">
        <v>5</v>
      </c>
      <c r="Z236" s="104">
        <v>4</v>
      </c>
      <c r="AA236" s="104">
        <v>3</v>
      </c>
      <c r="AB236" s="104">
        <v>6</v>
      </c>
      <c r="AC236" s="104">
        <v>5</v>
      </c>
      <c r="AD236" s="104">
        <v>3</v>
      </c>
      <c r="AE236" s="104">
        <v>3</v>
      </c>
      <c r="AF236" s="104">
        <v>4</v>
      </c>
      <c r="AG236" s="104">
        <v>3</v>
      </c>
      <c r="AH236" s="104">
        <v>4</v>
      </c>
      <c r="AI236" s="104">
        <v>4</v>
      </c>
      <c r="AJ236" s="104">
        <v>8</v>
      </c>
      <c r="AK236" s="104">
        <v>4</v>
      </c>
      <c r="AL236" s="104">
        <v>4</v>
      </c>
      <c r="AM236" s="104">
        <v>7</v>
      </c>
      <c r="AN236" s="104">
        <v>6</v>
      </c>
      <c r="AO236" s="104">
        <v>3</v>
      </c>
      <c r="AP236" s="104">
        <v>2</v>
      </c>
      <c r="AQ236" s="104">
        <v>6</v>
      </c>
    </row>
    <row r="237" spans="1:43" x14ac:dyDescent="0.35">
      <c r="A237" s="52">
        <v>234</v>
      </c>
      <c r="B237" s="52" t="s">
        <v>1022</v>
      </c>
      <c r="C237" s="93"/>
      <c r="D237" s="52" t="s">
        <v>539</v>
      </c>
      <c r="E237" s="52" t="s">
        <v>569</v>
      </c>
      <c r="F237" s="52" t="s">
        <v>148</v>
      </c>
      <c r="G237" s="52" t="s">
        <v>138</v>
      </c>
      <c r="H237" s="52" t="s">
        <v>561</v>
      </c>
      <c r="I237" s="52" t="s">
        <v>552</v>
      </c>
      <c r="J237" s="52" t="s">
        <v>528</v>
      </c>
      <c r="K237" s="52" t="s">
        <v>141</v>
      </c>
      <c r="L237" s="52" t="s">
        <v>542</v>
      </c>
      <c r="M237" s="52" t="s">
        <v>553</v>
      </c>
      <c r="N237" s="52" t="s">
        <v>562</v>
      </c>
      <c r="O237" s="52" t="s">
        <v>150</v>
      </c>
      <c r="P237" s="52" t="s">
        <v>534</v>
      </c>
      <c r="Q237" s="52" t="s">
        <v>535</v>
      </c>
      <c r="R237" s="52" t="s">
        <v>567</v>
      </c>
      <c r="S237" s="52" t="s">
        <v>546</v>
      </c>
      <c r="T237" s="52" t="s">
        <v>537</v>
      </c>
      <c r="U237" s="52" t="s">
        <v>576</v>
      </c>
      <c r="V237" s="52" t="s">
        <v>155</v>
      </c>
      <c r="W237" s="52" t="s">
        <v>574</v>
      </c>
      <c r="X237" s="104">
        <v>7</v>
      </c>
      <c r="Y237" s="104">
        <v>8</v>
      </c>
      <c r="Z237" s="104">
        <v>4</v>
      </c>
      <c r="AA237" s="104">
        <v>1</v>
      </c>
      <c r="AB237" s="104">
        <v>4</v>
      </c>
      <c r="AC237" s="104">
        <v>5</v>
      </c>
      <c r="AD237" s="104">
        <v>8</v>
      </c>
      <c r="AE237" s="104">
        <v>2</v>
      </c>
      <c r="AF237" s="104">
        <v>3</v>
      </c>
      <c r="AG237" s="104">
        <v>4</v>
      </c>
      <c r="AH237" s="104">
        <v>4</v>
      </c>
      <c r="AI237" s="104">
        <v>1</v>
      </c>
      <c r="AJ237" s="104">
        <v>4</v>
      </c>
      <c r="AK237" s="104">
        <v>2</v>
      </c>
      <c r="AL237" s="104">
        <v>6</v>
      </c>
      <c r="AM237" s="104">
        <v>4</v>
      </c>
      <c r="AN237" s="104">
        <v>5</v>
      </c>
      <c r="AO237" s="104">
        <v>7</v>
      </c>
      <c r="AP237" s="104">
        <v>3</v>
      </c>
      <c r="AQ237" s="104">
        <v>8</v>
      </c>
    </row>
    <row r="238" spans="1:43" x14ac:dyDescent="0.35">
      <c r="A238" s="52">
        <v>235</v>
      </c>
      <c r="B238" s="52" t="s">
        <v>1095</v>
      </c>
      <c r="C238" s="93"/>
      <c r="D238" s="52" t="s">
        <v>522</v>
      </c>
      <c r="E238" s="52" t="s">
        <v>523</v>
      </c>
      <c r="F238" s="52" t="s">
        <v>524</v>
      </c>
      <c r="G238" s="52" t="s">
        <v>550</v>
      </c>
      <c r="H238" s="52" t="s">
        <v>526</v>
      </c>
      <c r="I238" s="52" t="s">
        <v>527</v>
      </c>
      <c r="J238" s="52" t="s">
        <v>140</v>
      </c>
      <c r="K238" s="52" t="s">
        <v>529</v>
      </c>
      <c r="L238" s="52" t="s">
        <v>542</v>
      </c>
      <c r="M238" s="52" t="s">
        <v>553</v>
      </c>
      <c r="N238" s="52" t="s">
        <v>532</v>
      </c>
      <c r="O238" s="52" t="s">
        <v>571</v>
      </c>
      <c r="P238" s="52" t="s">
        <v>534</v>
      </c>
      <c r="Q238" s="52" t="s">
        <v>544</v>
      </c>
      <c r="R238" s="52" t="s">
        <v>545</v>
      </c>
      <c r="S238" s="52" t="s">
        <v>546</v>
      </c>
      <c r="T238" s="52" t="s">
        <v>557</v>
      </c>
      <c r="U238" s="52" t="s">
        <v>538</v>
      </c>
      <c r="V238" s="52" t="s">
        <v>81</v>
      </c>
      <c r="W238" s="52" t="s">
        <v>549</v>
      </c>
      <c r="X238" s="104">
        <v>3</v>
      </c>
      <c r="Y238" s="104">
        <v>5</v>
      </c>
      <c r="Z238" s="104">
        <v>7</v>
      </c>
      <c r="AA238" s="104">
        <v>4</v>
      </c>
      <c r="AB238" s="104">
        <v>3</v>
      </c>
      <c r="AC238" s="104">
        <v>3</v>
      </c>
      <c r="AD238" s="104">
        <v>3</v>
      </c>
      <c r="AE238" s="104">
        <v>5</v>
      </c>
      <c r="AF238" s="104">
        <v>5</v>
      </c>
      <c r="AG238" s="104">
        <v>4</v>
      </c>
      <c r="AH238" s="104">
        <v>5</v>
      </c>
      <c r="AI238" s="104">
        <v>4</v>
      </c>
      <c r="AJ238" s="104">
        <v>4</v>
      </c>
      <c r="AK238" s="104">
        <v>5</v>
      </c>
      <c r="AL238" s="104">
        <v>4</v>
      </c>
      <c r="AM238" s="104">
        <v>4</v>
      </c>
      <c r="AN238" s="104">
        <v>7</v>
      </c>
      <c r="AO238" s="104">
        <v>4</v>
      </c>
      <c r="AP238" s="104">
        <v>4</v>
      </c>
      <c r="AQ238" s="104">
        <v>7</v>
      </c>
    </row>
    <row r="239" spans="1:43" x14ac:dyDescent="0.35">
      <c r="A239" s="52">
        <v>236</v>
      </c>
      <c r="B239" s="52" t="s">
        <v>712</v>
      </c>
      <c r="C239" s="93"/>
      <c r="D239" s="102" t="s">
        <v>522</v>
      </c>
      <c r="E239" s="102" t="s">
        <v>569</v>
      </c>
      <c r="F239" s="102" t="s">
        <v>524</v>
      </c>
      <c r="G239" s="102" t="s">
        <v>570</v>
      </c>
      <c r="H239" s="102" t="s">
        <v>526</v>
      </c>
      <c r="I239" s="102" t="s">
        <v>572</v>
      </c>
      <c r="J239" s="102" t="s">
        <v>140</v>
      </c>
      <c r="K239" s="102" t="s">
        <v>529</v>
      </c>
      <c r="L239" s="102" t="s">
        <v>542</v>
      </c>
      <c r="M239" s="102" t="s">
        <v>553</v>
      </c>
      <c r="N239" s="102" t="s">
        <v>562</v>
      </c>
      <c r="O239" s="102" t="s">
        <v>554</v>
      </c>
      <c r="P239" s="102" t="s">
        <v>145</v>
      </c>
      <c r="Q239" s="102" t="s">
        <v>535</v>
      </c>
      <c r="R239" s="102" t="s">
        <v>567</v>
      </c>
      <c r="S239" s="102" t="s">
        <v>568</v>
      </c>
      <c r="T239" s="102" t="s">
        <v>547</v>
      </c>
      <c r="U239" s="102" t="s">
        <v>548</v>
      </c>
      <c r="V239" s="102" t="s">
        <v>155</v>
      </c>
      <c r="W239" s="102" t="s">
        <v>549</v>
      </c>
      <c r="X239" s="104">
        <v>3</v>
      </c>
      <c r="Y239" s="104">
        <v>8</v>
      </c>
      <c r="Z239" s="104">
        <v>7</v>
      </c>
      <c r="AA239" s="104">
        <v>5</v>
      </c>
      <c r="AB239" s="104">
        <v>3</v>
      </c>
      <c r="AC239" s="104">
        <v>8</v>
      </c>
      <c r="AD239" s="104">
        <v>3</v>
      </c>
      <c r="AE239" s="104">
        <v>4</v>
      </c>
      <c r="AF239" s="104">
        <v>4</v>
      </c>
      <c r="AG239" s="104">
        <v>4</v>
      </c>
      <c r="AH239" s="104">
        <v>4</v>
      </c>
      <c r="AI239" s="104">
        <v>3</v>
      </c>
      <c r="AJ239" s="104">
        <v>2</v>
      </c>
      <c r="AK239" s="104">
        <v>3</v>
      </c>
      <c r="AL239" s="104">
        <v>6</v>
      </c>
      <c r="AM239" s="104">
        <v>8</v>
      </c>
      <c r="AN239" s="104">
        <v>2</v>
      </c>
      <c r="AO239" s="104">
        <v>3</v>
      </c>
      <c r="AP239" s="104">
        <v>3</v>
      </c>
      <c r="AQ239" s="104">
        <v>7</v>
      </c>
    </row>
    <row r="240" spans="1:43" x14ac:dyDescent="0.35">
      <c r="A240" s="52">
        <v>237</v>
      </c>
      <c r="B240" s="52" t="s">
        <v>1475</v>
      </c>
      <c r="C240" s="93"/>
      <c r="D240" s="52" t="s">
        <v>522</v>
      </c>
      <c r="E240" s="52" t="s">
        <v>523</v>
      </c>
      <c r="F240" s="52" t="s">
        <v>148</v>
      </c>
      <c r="G240" s="52" t="s">
        <v>570</v>
      </c>
      <c r="H240" s="52" t="s">
        <v>566</v>
      </c>
      <c r="I240" s="52" t="s">
        <v>552</v>
      </c>
      <c r="J240" s="52" t="s">
        <v>558</v>
      </c>
      <c r="K240" s="52" t="s">
        <v>529</v>
      </c>
      <c r="L240" s="52" t="s">
        <v>152</v>
      </c>
      <c r="M240" s="52" t="s">
        <v>553</v>
      </c>
      <c r="N240" s="52" t="s">
        <v>142</v>
      </c>
      <c r="O240" s="52" t="s">
        <v>150</v>
      </c>
      <c r="P240" s="52" t="s">
        <v>534</v>
      </c>
      <c r="Q240" s="52" t="s">
        <v>544</v>
      </c>
      <c r="R240" s="52" t="s">
        <v>567</v>
      </c>
      <c r="S240" s="52" t="s">
        <v>536</v>
      </c>
      <c r="T240" s="52" t="s">
        <v>547</v>
      </c>
      <c r="U240" s="52" t="s">
        <v>538</v>
      </c>
      <c r="V240" s="52" t="s">
        <v>81</v>
      </c>
      <c r="W240" s="52" t="s">
        <v>574</v>
      </c>
      <c r="X240" s="104">
        <v>4</v>
      </c>
      <c r="Y240" s="104">
        <v>5</v>
      </c>
      <c r="Z240" s="104">
        <v>4</v>
      </c>
      <c r="AA240" s="104">
        <v>5</v>
      </c>
      <c r="AB240" s="104">
        <v>5</v>
      </c>
      <c r="AC240" s="104">
        <v>5</v>
      </c>
      <c r="AD240" s="104">
        <v>5</v>
      </c>
      <c r="AE240" s="104">
        <v>5</v>
      </c>
      <c r="AF240" s="104">
        <v>2</v>
      </c>
      <c r="AG240" s="104">
        <v>4</v>
      </c>
      <c r="AH240" s="104">
        <v>2</v>
      </c>
      <c r="AI240" s="104">
        <v>1</v>
      </c>
      <c r="AJ240" s="104">
        <v>4</v>
      </c>
      <c r="AK240" s="104">
        <v>5</v>
      </c>
      <c r="AL240" s="104">
        <v>6</v>
      </c>
      <c r="AM240" s="104">
        <v>7</v>
      </c>
      <c r="AN240" s="104">
        <v>3</v>
      </c>
      <c r="AO240" s="104">
        <v>4</v>
      </c>
      <c r="AP240" s="104">
        <v>5</v>
      </c>
      <c r="AQ240" s="104">
        <v>9</v>
      </c>
    </row>
    <row r="241" spans="1:43" x14ac:dyDescent="0.35">
      <c r="A241" s="52">
        <v>238</v>
      </c>
      <c r="B241" s="52" t="s">
        <v>342</v>
      </c>
      <c r="C241" s="93"/>
      <c r="D241" s="102" t="s">
        <v>522</v>
      </c>
      <c r="E241" s="102" t="s">
        <v>569</v>
      </c>
      <c r="F241" s="102" t="s">
        <v>148</v>
      </c>
      <c r="G241" s="102" t="s">
        <v>556</v>
      </c>
      <c r="H241" s="102" t="s">
        <v>526</v>
      </c>
      <c r="I241" s="102" t="s">
        <v>527</v>
      </c>
      <c r="J241" s="102" t="s">
        <v>140</v>
      </c>
      <c r="K241" s="102" t="s">
        <v>529</v>
      </c>
      <c r="L241" s="102" t="s">
        <v>530</v>
      </c>
      <c r="M241" s="102" t="s">
        <v>553</v>
      </c>
      <c r="N241" s="102" t="s">
        <v>532</v>
      </c>
      <c r="O241" s="102" t="s">
        <v>579</v>
      </c>
      <c r="P241" s="102" t="s">
        <v>534</v>
      </c>
      <c r="Q241" s="102" t="s">
        <v>544</v>
      </c>
      <c r="R241" s="102" t="s">
        <v>567</v>
      </c>
      <c r="S241" s="102" t="s">
        <v>536</v>
      </c>
      <c r="T241" s="102" t="s">
        <v>537</v>
      </c>
      <c r="U241" s="102" t="s">
        <v>548</v>
      </c>
      <c r="V241" s="102" t="s">
        <v>155</v>
      </c>
      <c r="W241" s="102" t="s">
        <v>549</v>
      </c>
      <c r="X241" s="104">
        <v>4</v>
      </c>
      <c r="Y241" s="104">
        <v>8</v>
      </c>
      <c r="Z241" s="104">
        <v>3</v>
      </c>
      <c r="AA241" s="104">
        <v>2</v>
      </c>
      <c r="AB241" s="104">
        <v>2</v>
      </c>
      <c r="AC241" s="104">
        <v>2</v>
      </c>
      <c r="AD241" s="104">
        <v>2</v>
      </c>
      <c r="AE241" s="104">
        <v>3</v>
      </c>
      <c r="AF241" s="104">
        <v>7</v>
      </c>
      <c r="AG241" s="104">
        <v>5</v>
      </c>
      <c r="AH241" s="104">
        <v>8</v>
      </c>
      <c r="AI241" s="104">
        <v>6</v>
      </c>
      <c r="AJ241" s="104">
        <v>3</v>
      </c>
      <c r="AK241" s="104">
        <v>5</v>
      </c>
      <c r="AL241" s="104">
        <v>6</v>
      </c>
      <c r="AM241" s="104">
        <v>7</v>
      </c>
      <c r="AN241" s="104">
        <v>6</v>
      </c>
      <c r="AO241" s="104">
        <v>2</v>
      </c>
      <c r="AP241" s="104">
        <v>2</v>
      </c>
      <c r="AQ241" s="104">
        <v>7</v>
      </c>
    </row>
    <row r="242" spans="1:43" x14ac:dyDescent="0.35">
      <c r="A242" s="52">
        <v>239</v>
      </c>
      <c r="B242" s="52" t="s">
        <v>682</v>
      </c>
      <c r="C242" s="93"/>
      <c r="D242" s="102" t="s">
        <v>522</v>
      </c>
      <c r="E242" s="102" t="s">
        <v>523</v>
      </c>
      <c r="F242" s="102" t="s">
        <v>148</v>
      </c>
      <c r="G242" s="102" t="s">
        <v>556</v>
      </c>
      <c r="H242" s="102" t="s">
        <v>561</v>
      </c>
      <c r="I242" s="102" t="s">
        <v>552</v>
      </c>
      <c r="J242" s="102" t="s">
        <v>558</v>
      </c>
      <c r="K242" s="102" t="s">
        <v>141</v>
      </c>
      <c r="L242" s="102" t="s">
        <v>530</v>
      </c>
      <c r="M242" s="102" t="s">
        <v>553</v>
      </c>
      <c r="N242" s="102" t="s">
        <v>532</v>
      </c>
      <c r="O242" s="102" t="s">
        <v>554</v>
      </c>
      <c r="P242" s="102" t="s">
        <v>534</v>
      </c>
      <c r="Q242" s="102" t="s">
        <v>544</v>
      </c>
      <c r="R242" s="102" t="s">
        <v>143</v>
      </c>
      <c r="S242" s="102" t="s">
        <v>565</v>
      </c>
      <c r="T242" s="102" t="s">
        <v>537</v>
      </c>
      <c r="U242" s="102" t="s">
        <v>576</v>
      </c>
      <c r="V242" s="102" t="s">
        <v>155</v>
      </c>
      <c r="W242" s="102" t="s">
        <v>549</v>
      </c>
      <c r="X242" s="104">
        <v>5</v>
      </c>
      <c r="Y242" s="104">
        <v>7</v>
      </c>
      <c r="Z242" s="104">
        <v>4</v>
      </c>
      <c r="AA242" s="104">
        <v>2</v>
      </c>
      <c r="AB242" s="104">
        <v>4</v>
      </c>
      <c r="AC242" s="104">
        <v>4</v>
      </c>
      <c r="AD242" s="104">
        <v>6</v>
      </c>
      <c r="AE242" s="104">
        <v>2</v>
      </c>
      <c r="AF242" s="104">
        <v>7</v>
      </c>
      <c r="AG242" s="104">
        <v>5</v>
      </c>
      <c r="AH242" s="104">
        <v>7</v>
      </c>
      <c r="AI242" s="104">
        <v>2</v>
      </c>
      <c r="AJ242" s="104">
        <v>4</v>
      </c>
      <c r="AK242" s="104">
        <v>6</v>
      </c>
      <c r="AL242" s="104">
        <v>3</v>
      </c>
      <c r="AM242" s="104">
        <v>3</v>
      </c>
      <c r="AN242" s="104">
        <v>4</v>
      </c>
      <c r="AO242" s="104">
        <v>7</v>
      </c>
      <c r="AP242" s="104">
        <v>2</v>
      </c>
      <c r="AQ242" s="104">
        <v>6</v>
      </c>
    </row>
    <row r="243" spans="1:43" x14ac:dyDescent="0.35">
      <c r="A243" s="52">
        <v>240</v>
      </c>
      <c r="B243" s="52" t="s">
        <v>694</v>
      </c>
      <c r="C243" s="93"/>
      <c r="D243" s="102" t="s">
        <v>522</v>
      </c>
      <c r="E243" s="102" t="s">
        <v>523</v>
      </c>
      <c r="F243" s="102" t="s">
        <v>148</v>
      </c>
      <c r="G243" s="102" t="s">
        <v>556</v>
      </c>
      <c r="H243" s="102" t="s">
        <v>526</v>
      </c>
      <c r="I243" s="102" t="s">
        <v>527</v>
      </c>
      <c r="J243" s="102" t="s">
        <v>140</v>
      </c>
      <c r="K243" s="102" t="s">
        <v>529</v>
      </c>
      <c r="L243" s="102" t="s">
        <v>530</v>
      </c>
      <c r="M243" s="102" t="s">
        <v>553</v>
      </c>
      <c r="N243" s="102" t="s">
        <v>532</v>
      </c>
      <c r="O243" s="102" t="s">
        <v>554</v>
      </c>
      <c r="P243" s="102" t="s">
        <v>534</v>
      </c>
      <c r="Q243" s="102" t="s">
        <v>544</v>
      </c>
      <c r="R243" s="102" t="s">
        <v>545</v>
      </c>
      <c r="S243" s="102" t="s">
        <v>536</v>
      </c>
      <c r="T243" s="102" t="s">
        <v>557</v>
      </c>
      <c r="U243" s="102" t="s">
        <v>538</v>
      </c>
      <c r="V243" s="102" t="s">
        <v>81</v>
      </c>
      <c r="W243" s="102" t="s">
        <v>574</v>
      </c>
      <c r="X243" s="104">
        <v>3</v>
      </c>
      <c r="Y243" s="104">
        <v>6</v>
      </c>
      <c r="Z243" s="104">
        <v>3</v>
      </c>
      <c r="AA243" s="104">
        <v>3</v>
      </c>
      <c r="AB243" s="104">
        <v>2</v>
      </c>
      <c r="AC243" s="104">
        <v>3</v>
      </c>
      <c r="AD243" s="104">
        <v>3</v>
      </c>
      <c r="AE243" s="104">
        <v>3</v>
      </c>
      <c r="AF243" s="104">
        <v>6</v>
      </c>
      <c r="AG243" s="104">
        <v>3</v>
      </c>
      <c r="AH243" s="104">
        <v>7</v>
      </c>
      <c r="AI243" s="104">
        <v>3</v>
      </c>
      <c r="AJ243" s="104">
        <v>4</v>
      </c>
      <c r="AK243" s="104">
        <v>4</v>
      </c>
      <c r="AL243" s="104">
        <v>4</v>
      </c>
      <c r="AM243" s="104">
        <v>6</v>
      </c>
      <c r="AN243" s="104">
        <v>8</v>
      </c>
      <c r="AO243" s="104">
        <v>4</v>
      </c>
      <c r="AP243" s="104">
        <v>6</v>
      </c>
      <c r="AQ243" s="104">
        <v>9</v>
      </c>
    </row>
    <row r="244" spans="1:43" x14ac:dyDescent="0.35">
      <c r="A244" s="52">
        <v>241</v>
      </c>
      <c r="B244" s="52" t="s">
        <v>996</v>
      </c>
      <c r="C244" s="93"/>
      <c r="D244" s="52" t="s">
        <v>522</v>
      </c>
      <c r="E244" s="52" t="s">
        <v>540</v>
      </c>
      <c r="F244" s="52" t="s">
        <v>524</v>
      </c>
      <c r="G244" s="52" t="s">
        <v>570</v>
      </c>
      <c r="H244" s="52" t="s">
        <v>560</v>
      </c>
      <c r="I244" s="52" t="s">
        <v>552</v>
      </c>
      <c r="J244" s="52" t="s">
        <v>558</v>
      </c>
      <c r="K244" s="52" t="s">
        <v>529</v>
      </c>
      <c r="L244" s="52" t="s">
        <v>152</v>
      </c>
      <c r="M244" s="52" t="s">
        <v>553</v>
      </c>
      <c r="N244" s="52" t="s">
        <v>562</v>
      </c>
      <c r="O244" s="52" t="s">
        <v>554</v>
      </c>
      <c r="P244" s="52" t="s">
        <v>534</v>
      </c>
      <c r="Q244" s="52" t="s">
        <v>544</v>
      </c>
      <c r="R244" s="52" t="s">
        <v>545</v>
      </c>
      <c r="S244" s="52" t="s">
        <v>536</v>
      </c>
      <c r="T244" s="52" t="s">
        <v>537</v>
      </c>
      <c r="U244" s="52" t="s">
        <v>576</v>
      </c>
      <c r="V244" s="52" t="s">
        <v>155</v>
      </c>
      <c r="W244" s="52" t="s">
        <v>549</v>
      </c>
      <c r="X244" s="104">
        <v>3</v>
      </c>
      <c r="Y244" s="104">
        <v>4</v>
      </c>
      <c r="Z244" s="104">
        <v>5</v>
      </c>
      <c r="AA244" s="104">
        <v>5</v>
      </c>
      <c r="AB244" s="104">
        <v>8</v>
      </c>
      <c r="AC244" s="104">
        <v>4</v>
      </c>
      <c r="AD244" s="104">
        <v>5</v>
      </c>
      <c r="AE244" s="104">
        <v>5</v>
      </c>
      <c r="AF244" s="104">
        <v>2</v>
      </c>
      <c r="AG244" s="104">
        <v>4</v>
      </c>
      <c r="AH244" s="104">
        <v>4</v>
      </c>
      <c r="AI244" s="104">
        <v>3</v>
      </c>
      <c r="AJ244" s="104">
        <v>4</v>
      </c>
      <c r="AK244" s="104">
        <v>6</v>
      </c>
      <c r="AL244" s="104">
        <v>4</v>
      </c>
      <c r="AM244" s="104">
        <v>7</v>
      </c>
      <c r="AN244" s="104">
        <v>4</v>
      </c>
      <c r="AO244" s="104">
        <v>6</v>
      </c>
      <c r="AP244" s="104">
        <v>1</v>
      </c>
      <c r="AQ244" s="104">
        <v>6</v>
      </c>
    </row>
    <row r="245" spans="1:43" x14ac:dyDescent="0.35">
      <c r="A245" s="52">
        <v>242</v>
      </c>
      <c r="B245" s="52" t="s">
        <v>715</v>
      </c>
      <c r="C245" s="93"/>
      <c r="D245" s="102" t="s">
        <v>522</v>
      </c>
      <c r="E245" s="102" t="s">
        <v>540</v>
      </c>
      <c r="F245" s="102" t="s">
        <v>524</v>
      </c>
      <c r="G245" s="102" t="s">
        <v>550</v>
      </c>
      <c r="H245" s="102" t="s">
        <v>526</v>
      </c>
      <c r="I245" s="102" t="s">
        <v>572</v>
      </c>
      <c r="J245" s="102" t="s">
        <v>558</v>
      </c>
      <c r="K245" s="102" t="s">
        <v>529</v>
      </c>
      <c r="L245" s="102" t="s">
        <v>542</v>
      </c>
      <c r="M245" s="102" t="s">
        <v>531</v>
      </c>
      <c r="N245" s="102" t="s">
        <v>532</v>
      </c>
      <c r="O245" s="102" t="s">
        <v>554</v>
      </c>
      <c r="P245" s="102" t="s">
        <v>534</v>
      </c>
      <c r="Q245" s="102" t="s">
        <v>544</v>
      </c>
      <c r="R245" s="102" t="s">
        <v>545</v>
      </c>
      <c r="S245" s="102" t="s">
        <v>568</v>
      </c>
      <c r="T245" s="102" t="s">
        <v>547</v>
      </c>
      <c r="U245" s="102" t="s">
        <v>548</v>
      </c>
      <c r="V245" s="102" t="s">
        <v>155</v>
      </c>
      <c r="W245" s="102" t="s">
        <v>549</v>
      </c>
      <c r="X245" s="104">
        <v>4</v>
      </c>
      <c r="Y245" s="104">
        <v>4</v>
      </c>
      <c r="Z245" s="104">
        <v>5</v>
      </c>
      <c r="AA245" s="104">
        <v>4</v>
      </c>
      <c r="AB245" s="104">
        <v>3</v>
      </c>
      <c r="AC245" s="104">
        <v>8</v>
      </c>
      <c r="AD245" s="104">
        <v>5</v>
      </c>
      <c r="AE245" s="104">
        <v>3</v>
      </c>
      <c r="AF245" s="104">
        <v>4</v>
      </c>
      <c r="AG245" s="104">
        <v>6</v>
      </c>
      <c r="AH245" s="104">
        <v>6</v>
      </c>
      <c r="AI245" s="104">
        <v>3</v>
      </c>
      <c r="AJ245" s="104">
        <v>3</v>
      </c>
      <c r="AK245" s="104">
        <v>5</v>
      </c>
      <c r="AL245" s="104">
        <v>5</v>
      </c>
      <c r="AM245" s="104">
        <v>8</v>
      </c>
      <c r="AN245" s="104">
        <v>2</v>
      </c>
      <c r="AO245" s="104">
        <v>2</v>
      </c>
      <c r="AP245" s="104">
        <v>3</v>
      </c>
      <c r="AQ245" s="104">
        <v>7</v>
      </c>
    </row>
    <row r="246" spans="1:43" x14ac:dyDescent="0.35">
      <c r="A246" s="52">
        <v>243</v>
      </c>
      <c r="B246" s="52" t="s">
        <v>975</v>
      </c>
      <c r="C246" s="93"/>
      <c r="D246" s="52" t="s">
        <v>539</v>
      </c>
      <c r="E246" s="52" t="s">
        <v>523</v>
      </c>
      <c r="F246" s="52" t="s">
        <v>148</v>
      </c>
      <c r="G246" s="52" t="s">
        <v>556</v>
      </c>
      <c r="H246" s="52" t="s">
        <v>526</v>
      </c>
      <c r="I246" s="52" t="s">
        <v>541</v>
      </c>
      <c r="J246" s="52" t="s">
        <v>140</v>
      </c>
      <c r="K246" s="52" t="s">
        <v>529</v>
      </c>
      <c r="L246" s="52" t="s">
        <v>530</v>
      </c>
      <c r="M246" s="52" t="s">
        <v>553</v>
      </c>
      <c r="N246" s="52" t="s">
        <v>532</v>
      </c>
      <c r="O246" s="52" t="s">
        <v>554</v>
      </c>
      <c r="P246" s="52" t="s">
        <v>543</v>
      </c>
      <c r="Q246" s="52" t="s">
        <v>544</v>
      </c>
      <c r="R246" s="52" t="s">
        <v>143</v>
      </c>
      <c r="S246" s="52" t="s">
        <v>536</v>
      </c>
      <c r="T246" s="52" t="s">
        <v>537</v>
      </c>
      <c r="U246" s="52" t="s">
        <v>538</v>
      </c>
      <c r="V246" s="52" t="s">
        <v>155</v>
      </c>
      <c r="W246" s="52" t="s">
        <v>555</v>
      </c>
      <c r="X246" s="104">
        <v>7</v>
      </c>
      <c r="Y246" s="104">
        <v>7</v>
      </c>
      <c r="Z246" s="104">
        <v>4</v>
      </c>
      <c r="AA246" s="104">
        <v>3</v>
      </c>
      <c r="AB246" s="104">
        <v>3</v>
      </c>
      <c r="AC246" s="104">
        <v>6</v>
      </c>
      <c r="AD246" s="104">
        <v>2</v>
      </c>
      <c r="AE246" s="104">
        <v>4</v>
      </c>
      <c r="AF246" s="104">
        <v>7</v>
      </c>
      <c r="AG246" s="104">
        <v>4</v>
      </c>
      <c r="AH246" s="104">
        <v>6</v>
      </c>
      <c r="AI246" s="104">
        <v>2</v>
      </c>
      <c r="AJ246" s="104">
        <v>5</v>
      </c>
      <c r="AK246" s="104">
        <v>4</v>
      </c>
      <c r="AL246" s="104">
        <v>3</v>
      </c>
      <c r="AM246" s="104">
        <v>6</v>
      </c>
      <c r="AN246" s="104">
        <v>5</v>
      </c>
      <c r="AO246" s="104">
        <v>4</v>
      </c>
      <c r="AP246" s="104">
        <v>3</v>
      </c>
      <c r="AQ246" s="104">
        <v>5</v>
      </c>
    </row>
    <row r="247" spans="1:43" x14ac:dyDescent="0.35">
      <c r="A247" s="52">
        <v>244</v>
      </c>
      <c r="B247" s="52" t="s">
        <v>686</v>
      </c>
      <c r="C247" s="93"/>
      <c r="D247" s="102" t="s">
        <v>522</v>
      </c>
      <c r="E247" s="102" t="s">
        <v>523</v>
      </c>
      <c r="F247" s="102" t="s">
        <v>524</v>
      </c>
      <c r="G247" s="102" t="s">
        <v>556</v>
      </c>
      <c r="H247" s="102" t="s">
        <v>566</v>
      </c>
      <c r="I247" s="102" t="s">
        <v>552</v>
      </c>
      <c r="J247" s="102" t="s">
        <v>140</v>
      </c>
      <c r="K247" s="102" t="s">
        <v>529</v>
      </c>
      <c r="L247" s="102" t="s">
        <v>542</v>
      </c>
      <c r="M247" s="102" t="s">
        <v>553</v>
      </c>
      <c r="N247" s="102" t="s">
        <v>532</v>
      </c>
      <c r="O247" s="102" t="s">
        <v>554</v>
      </c>
      <c r="P247" s="102" t="s">
        <v>534</v>
      </c>
      <c r="Q247" s="102" t="s">
        <v>544</v>
      </c>
      <c r="R247" s="102" t="s">
        <v>545</v>
      </c>
      <c r="S247" s="102" t="s">
        <v>546</v>
      </c>
      <c r="T247" s="102" t="s">
        <v>537</v>
      </c>
      <c r="U247" s="102" t="s">
        <v>576</v>
      </c>
      <c r="V247" s="102" t="s">
        <v>155</v>
      </c>
      <c r="W247" s="102" t="s">
        <v>549</v>
      </c>
      <c r="X247" s="104">
        <v>4</v>
      </c>
      <c r="Y247" s="104">
        <v>6</v>
      </c>
      <c r="Z247" s="104">
        <v>5</v>
      </c>
      <c r="AA247" s="104">
        <v>2</v>
      </c>
      <c r="AB247" s="104">
        <v>5</v>
      </c>
      <c r="AC247" s="104">
        <v>5</v>
      </c>
      <c r="AD247" s="104">
        <v>3</v>
      </c>
      <c r="AE247" s="104">
        <v>6</v>
      </c>
      <c r="AF247" s="104">
        <v>3</v>
      </c>
      <c r="AG247" s="104">
        <v>5</v>
      </c>
      <c r="AH247" s="104">
        <v>5</v>
      </c>
      <c r="AI247" s="104">
        <v>2</v>
      </c>
      <c r="AJ247" s="104">
        <v>3</v>
      </c>
      <c r="AK247" s="104">
        <v>6</v>
      </c>
      <c r="AL247" s="104">
        <v>5</v>
      </c>
      <c r="AM247" s="104">
        <v>5</v>
      </c>
      <c r="AN247" s="104">
        <v>4</v>
      </c>
      <c r="AO247" s="104">
        <v>6</v>
      </c>
      <c r="AP247" s="104">
        <v>3</v>
      </c>
      <c r="AQ247" s="104">
        <v>7</v>
      </c>
    </row>
    <row r="248" spans="1:43" x14ac:dyDescent="0.35">
      <c r="A248" s="52">
        <v>245</v>
      </c>
      <c r="B248" s="52" t="s">
        <v>1255</v>
      </c>
      <c r="C248" s="93"/>
      <c r="D248" s="52" t="s">
        <v>539</v>
      </c>
      <c r="E248" s="52" t="s">
        <v>569</v>
      </c>
      <c r="F248" s="52" t="s">
        <v>524</v>
      </c>
      <c r="G248" s="52" t="s">
        <v>138</v>
      </c>
      <c r="H248" s="52" t="s">
        <v>566</v>
      </c>
      <c r="I248" s="52" t="s">
        <v>552</v>
      </c>
      <c r="J248" s="52" t="s">
        <v>140</v>
      </c>
      <c r="K248" s="52" t="s">
        <v>529</v>
      </c>
      <c r="L248" s="52" t="s">
        <v>542</v>
      </c>
      <c r="M248" s="52" t="s">
        <v>531</v>
      </c>
      <c r="N248" s="52" t="s">
        <v>562</v>
      </c>
      <c r="O248" s="52" t="s">
        <v>554</v>
      </c>
      <c r="P248" s="52" t="s">
        <v>534</v>
      </c>
      <c r="Q248" s="52" t="s">
        <v>544</v>
      </c>
      <c r="R248" s="52" t="s">
        <v>567</v>
      </c>
      <c r="S248" s="52" t="s">
        <v>546</v>
      </c>
      <c r="T248" s="52" t="s">
        <v>537</v>
      </c>
      <c r="U248" s="52" t="s">
        <v>538</v>
      </c>
      <c r="V248" s="52" t="s">
        <v>155</v>
      </c>
      <c r="W248" s="52" t="s">
        <v>156</v>
      </c>
      <c r="X248" s="104">
        <v>7</v>
      </c>
      <c r="Y248" s="104">
        <v>8</v>
      </c>
      <c r="Z248" s="104">
        <v>6</v>
      </c>
      <c r="AA248" s="104">
        <v>1</v>
      </c>
      <c r="AB248" s="104">
        <v>5</v>
      </c>
      <c r="AC248" s="104">
        <v>4</v>
      </c>
      <c r="AD248" s="104">
        <v>1</v>
      </c>
      <c r="AE248" s="104">
        <v>6</v>
      </c>
      <c r="AF248" s="104">
        <v>4</v>
      </c>
      <c r="AG248" s="104">
        <v>6</v>
      </c>
      <c r="AH248" s="104">
        <v>4</v>
      </c>
      <c r="AI248" s="104">
        <v>2</v>
      </c>
      <c r="AJ248" s="104">
        <v>4</v>
      </c>
      <c r="AK248" s="104">
        <v>5</v>
      </c>
      <c r="AL248" s="104">
        <v>6</v>
      </c>
      <c r="AM248" s="104">
        <v>5</v>
      </c>
      <c r="AN248" s="104">
        <v>6</v>
      </c>
      <c r="AO248" s="104">
        <v>5</v>
      </c>
      <c r="AP248" s="104">
        <v>2</v>
      </c>
      <c r="AQ248" s="104">
        <v>3</v>
      </c>
    </row>
    <row r="249" spans="1:43" x14ac:dyDescent="0.35">
      <c r="A249" s="52">
        <v>246</v>
      </c>
      <c r="B249" s="52" t="s">
        <v>583</v>
      </c>
      <c r="C249" s="93"/>
      <c r="D249" s="102" t="s">
        <v>539</v>
      </c>
      <c r="E249" s="102" t="s">
        <v>523</v>
      </c>
      <c r="F249" s="102" t="s">
        <v>524</v>
      </c>
      <c r="G249" s="102" t="s">
        <v>550</v>
      </c>
      <c r="H249" s="102" t="s">
        <v>566</v>
      </c>
      <c r="I249" s="102" t="s">
        <v>552</v>
      </c>
      <c r="J249" s="102" t="s">
        <v>140</v>
      </c>
      <c r="K249" s="102" t="s">
        <v>529</v>
      </c>
      <c r="L249" s="102" t="s">
        <v>542</v>
      </c>
      <c r="M249" s="102" t="s">
        <v>553</v>
      </c>
      <c r="N249" s="102" t="s">
        <v>142</v>
      </c>
      <c r="O249" s="102" t="s">
        <v>554</v>
      </c>
      <c r="P249" s="102" t="s">
        <v>543</v>
      </c>
      <c r="Q249" s="102" t="s">
        <v>564</v>
      </c>
      <c r="R249" s="102" t="s">
        <v>567</v>
      </c>
      <c r="S249" s="102" t="s">
        <v>565</v>
      </c>
      <c r="T249" s="102" t="s">
        <v>547</v>
      </c>
      <c r="U249" s="102" t="s">
        <v>548</v>
      </c>
      <c r="V249" s="102" t="s">
        <v>155</v>
      </c>
      <c r="W249" s="102" t="s">
        <v>549</v>
      </c>
      <c r="X249" s="104">
        <v>7</v>
      </c>
      <c r="Y249" s="104">
        <v>7</v>
      </c>
      <c r="Z249" s="104">
        <v>6</v>
      </c>
      <c r="AA249" s="104">
        <v>4</v>
      </c>
      <c r="AB249" s="104">
        <v>5</v>
      </c>
      <c r="AC249" s="104">
        <v>5</v>
      </c>
      <c r="AD249" s="104">
        <v>3</v>
      </c>
      <c r="AE249" s="104">
        <v>3</v>
      </c>
      <c r="AF249" s="104">
        <v>5</v>
      </c>
      <c r="AG249" s="104">
        <v>4</v>
      </c>
      <c r="AH249" s="104">
        <v>1</v>
      </c>
      <c r="AI249" s="104">
        <v>3</v>
      </c>
      <c r="AJ249" s="104">
        <v>5</v>
      </c>
      <c r="AK249" s="104">
        <v>7</v>
      </c>
      <c r="AL249" s="104">
        <v>7</v>
      </c>
      <c r="AM249" s="104">
        <v>3</v>
      </c>
      <c r="AN249" s="104">
        <v>3</v>
      </c>
      <c r="AO249" s="104">
        <v>3</v>
      </c>
      <c r="AP249" s="104">
        <v>3</v>
      </c>
      <c r="AQ249" s="104">
        <v>6</v>
      </c>
    </row>
    <row r="250" spans="1:43" x14ac:dyDescent="0.35">
      <c r="A250" s="52">
        <v>247</v>
      </c>
      <c r="B250" s="52" t="s">
        <v>1133</v>
      </c>
      <c r="C250" s="93"/>
      <c r="D250" s="52" t="s">
        <v>539</v>
      </c>
      <c r="E250" s="52" t="s">
        <v>523</v>
      </c>
      <c r="F250" s="52" t="s">
        <v>524</v>
      </c>
      <c r="G250" s="52" t="s">
        <v>138</v>
      </c>
      <c r="H250" s="52" t="s">
        <v>149</v>
      </c>
      <c r="I250" s="52" t="s">
        <v>527</v>
      </c>
      <c r="J250" s="52" t="s">
        <v>140</v>
      </c>
      <c r="K250" s="52" t="s">
        <v>529</v>
      </c>
      <c r="L250" s="52" t="s">
        <v>542</v>
      </c>
      <c r="M250" s="52" t="s">
        <v>553</v>
      </c>
      <c r="N250" s="52" t="s">
        <v>532</v>
      </c>
      <c r="O250" s="52" t="s">
        <v>554</v>
      </c>
      <c r="P250" s="52" t="s">
        <v>563</v>
      </c>
      <c r="Q250" s="52" t="s">
        <v>544</v>
      </c>
      <c r="R250" s="52" t="s">
        <v>545</v>
      </c>
      <c r="S250" s="52" t="s">
        <v>536</v>
      </c>
      <c r="T250" s="52" t="s">
        <v>537</v>
      </c>
      <c r="U250" s="52" t="s">
        <v>548</v>
      </c>
      <c r="V250" s="52" t="s">
        <v>155</v>
      </c>
      <c r="W250" s="52" t="s">
        <v>574</v>
      </c>
      <c r="X250" s="104">
        <v>6</v>
      </c>
      <c r="Y250" s="104">
        <v>6</v>
      </c>
      <c r="Z250" s="104">
        <v>5</v>
      </c>
      <c r="AA250" s="104">
        <v>1</v>
      </c>
      <c r="AB250" s="104">
        <v>1</v>
      </c>
      <c r="AC250" s="104">
        <v>3</v>
      </c>
      <c r="AD250" s="104">
        <v>2</v>
      </c>
      <c r="AE250" s="104">
        <v>4</v>
      </c>
      <c r="AF250" s="104">
        <v>5</v>
      </c>
      <c r="AG250" s="104">
        <v>5</v>
      </c>
      <c r="AH250" s="104">
        <v>6</v>
      </c>
      <c r="AI250" s="104">
        <v>3</v>
      </c>
      <c r="AJ250" s="104">
        <v>7</v>
      </c>
      <c r="AK250" s="104">
        <v>5</v>
      </c>
      <c r="AL250" s="104">
        <v>5</v>
      </c>
      <c r="AM250" s="104">
        <v>6</v>
      </c>
      <c r="AN250" s="104">
        <v>6</v>
      </c>
      <c r="AO250" s="104">
        <v>3</v>
      </c>
      <c r="AP250" s="104">
        <v>3</v>
      </c>
      <c r="AQ250" s="104">
        <v>8</v>
      </c>
    </row>
    <row r="251" spans="1:43" x14ac:dyDescent="0.35">
      <c r="A251" s="52">
        <v>248</v>
      </c>
      <c r="B251" s="52" t="s">
        <v>676</v>
      </c>
      <c r="C251" s="93"/>
      <c r="D251" s="102" t="s">
        <v>539</v>
      </c>
      <c r="E251" s="102" t="s">
        <v>523</v>
      </c>
      <c r="F251" s="102" t="s">
        <v>148</v>
      </c>
      <c r="G251" s="102" t="s">
        <v>138</v>
      </c>
      <c r="H251" s="102" t="s">
        <v>551</v>
      </c>
      <c r="I251" s="102" t="s">
        <v>541</v>
      </c>
      <c r="J251" s="102" t="s">
        <v>140</v>
      </c>
      <c r="K251" s="102" t="s">
        <v>529</v>
      </c>
      <c r="L251" s="102" t="s">
        <v>152</v>
      </c>
      <c r="M251" s="102" t="s">
        <v>553</v>
      </c>
      <c r="N251" s="102" t="s">
        <v>532</v>
      </c>
      <c r="O251" s="102" t="s">
        <v>554</v>
      </c>
      <c r="P251" s="102" t="s">
        <v>543</v>
      </c>
      <c r="Q251" s="102" t="s">
        <v>535</v>
      </c>
      <c r="R251" s="102" t="s">
        <v>545</v>
      </c>
      <c r="S251" s="102" t="s">
        <v>536</v>
      </c>
      <c r="T251" s="102" t="s">
        <v>537</v>
      </c>
      <c r="U251" s="102" t="s">
        <v>548</v>
      </c>
      <c r="V251" s="102" t="s">
        <v>155</v>
      </c>
      <c r="W251" s="102" t="s">
        <v>574</v>
      </c>
      <c r="X251" s="104">
        <v>6</v>
      </c>
      <c r="Y251" s="104">
        <v>5</v>
      </c>
      <c r="Z251" s="104">
        <v>2</v>
      </c>
      <c r="AA251" s="104">
        <v>0</v>
      </c>
      <c r="AB251" s="104">
        <v>7</v>
      </c>
      <c r="AC251" s="104">
        <v>6</v>
      </c>
      <c r="AD251" s="104">
        <v>3</v>
      </c>
      <c r="AE251" s="104">
        <v>5</v>
      </c>
      <c r="AF251" s="104">
        <v>2</v>
      </c>
      <c r="AG251" s="104">
        <v>5</v>
      </c>
      <c r="AH251" s="104">
        <v>6</v>
      </c>
      <c r="AI251" s="104">
        <v>2</v>
      </c>
      <c r="AJ251" s="104">
        <v>6</v>
      </c>
      <c r="AK251" s="104">
        <v>3</v>
      </c>
      <c r="AL251" s="104">
        <v>5</v>
      </c>
      <c r="AM251" s="104">
        <v>7</v>
      </c>
      <c r="AN251" s="104">
        <v>6</v>
      </c>
      <c r="AO251" s="104">
        <v>3</v>
      </c>
      <c r="AP251" s="104">
        <v>3</v>
      </c>
      <c r="AQ251" s="104">
        <v>8</v>
      </c>
    </row>
    <row r="252" spans="1:43" x14ac:dyDescent="0.35">
      <c r="A252" s="52">
        <v>249</v>
      </c>
      <c r="B252" s="52" t="s">
        <v>969</v>
      </c>
      <c r="C252" s="93"/>
      <c r="D252" s="52" t="s">
        <v>539</v>
      </c>
      <c r="E252" s="52" t="s">
        <v>523</v>
      </c>
      <c r="F252" s="52" t="s">
        <v>573</v>
      </c>
      <c r="G252" s="52" t="s">
        <v>556</v>
      </c>
      <c r="H252" s="52" t="s">
        <v>526</v>
      </c>
      <c r="I252" s="52" t="s">
        <v>552</v>
      </c>
      <c r="J252" s="52" t="s">
        <v>140</v>
      </c>
      <c r="K252" s="52" t="s">
        <v>529</v>
      </c>
      <c r="L252" s="52" t="s">
        <v>542</v>
      </c>
      <c r="M252" s="52" t="s">
        <v>553</v>
      </c>
      <c r="N252" s="52" t="s">
        <v>532</v>
      </c>
      <c r="O252" s="52" t="s">
        <v>571</v>
      </c>
      <c r="P252" s="52" t="s">
        <v>543</v>
      </c>
      <c r="Q252" s="52" t="s">
        <v>535</v>
      </c>
      <c r="R252" s="52" t="s">
        <v>545</v>
      </c>
      <c r="S252" s="52" t="s">
        <v>536</v>
      </c>
      <c r="T252" s="52" t="s">
        <v>557</v>
      </c>
      <c r="U252" s="52" t="s">
        <v>548</v>
      </c>
      <c r="V252" s="52" t="s">
        <v>155</v>
      </c>
      <c r="W252" s="52" t="s">
        <v>555</v>
      </c>
      <c r="X252" s="104">
        <v>6</v>
      </c>
      <c r="Y252" s="104">
        <v>7</v>
      </c>
      <c r="Z252" s="104">
        <v>8</v>
      </c>
      <c r="AA252" s="104">
        <v>2</v>
      </c>
      <c r="AB252" s="104">
        <v>3</v>
      </c>
      <c r="AC252" s="104">
        <v>5</v>
      </c>
      <c r="AD252" s="104">
        <v>2</v>
      </c>
      <c r="AE252" s="104">
        <v>4</v>
      </c>
      <c r="AF252" s="104">
        <v>3</v>
      </c>
      <c r="AG252" s="104">
        <v>5</v>
      </c>
      <c r="AH252" s="104">
        <v>6</v>
      </c>
      <c r="AI252" s="104">
        <v>4</v>
      </c>
      <c r="AJ252" s="104">
        <v>5</v>
      </c>
      <c r="AK252" s="104">
        <v>3</v>
      </c>
      <c r="AL252" s="104">
        <v>4</v>
      </c>
      <c r="AM252" s="104">
        <v>6</v>
      </c>
      <c r="AN252" s="104">
        <v>7</v>
      </c>
      <c r="AO252" s="104">
        <v>2</v>
      </c>
      <c r="AP252" s="104">
        <v>3</v>
      </c>
      <c r="AQ252" s="104">
        <v>5</v>
      </c>
    </row>
    <row r="253" spans="1:43" x14ac:dyDescent="0.35">
      <c r="A253" s="52">
        <v>250</v>
      </c>
      <c r="B253" s="52" t="s">
        <v>697</v>
      </c>
      <c r="C253" s="93"/>
      <c r="D253" s="102" t="s">
        <v>539</v>
      </c>
      <c r="E253" s="102" t="s">
        <v>540</v>
      </c>
      <c r="F253" s="102" t="s">
        <v>524</v>
      </c>
      <c r="G253" s="102" t="s">
        <v>550</v>
      </c>
      <c r="H253" s="102" t="s">
        <v>551</v>
      </c>
      <c r="I253" s="102" t="s">
        <v>527</v>
      </c>
      <c r="J253" s="102" t="s">
        <v>558</v>
      </c>
      <c r="K253" s="102" t="s">
        <v>529</v>
      </c>
      <c r="L253" s="102" t="s">
        <v>542</v>
      </c>
      <c r="M253" s="102" t="s">
        <v>553</v>
      </c>
      <c r="N253" s="102" t="s">
        <v>532</v>
      </c>
      <c r="O253" s="102" t="s">
        <v>571</v>
      </c>
      <c r="P253" s="102" t="s">
        <v>543</v>
      </c>
      <c r="Q253" s="102" t="s">
        <v>544</v>
      </c>
      <c r="R253" s="102" t="s">
        <v>545</v>
      </c>
      <c r="S253" s="102" t="s">
        <v>546</v>
      </c>
      <c r="T253" s="102" t="s">
        <v>537</v>
      </c>
      <c r="U253" s="102" t="s">
        <v>154</v>
      </c>
      <c r="V253" s="102" t="s">
        <v>155</v>
      </c>
      <c r="W253" s="102" t="s">
        <v>549</v>
      </c>
      <c r="X253" s="104">
        <v>7</v>
      </c>
      <c r="Y253" s="104">
        <v>4</v>
      </c>
      <c r="Z253" s="104">
        <v>6</v>
      </c>
      <c r="AA253" s="104">
        <v>4</v>
      </c>
      <c r="AB253" s="104">
        <v>6</v>
      </c>
      <c r="AC253" s="104">
        <v>3</v>
      </c>
      <c r="AD253" s="104">
        <v>6</v>
      </c>
      <c r="AE253" s="104">
        <v>4</v>
      </c>
      <c r="AF253" s="104">
        <v>5</v>
      </c>
      <c r="AG253" s="104">
        <v>3</v>
      </c>
      <c r="AH253" s="104">
        <v>5</v>
      </c>
      <c r="AI253" s="104">
        <v>4</v>
      </c>
      <c r="AJ253" s="104">
        <v>5</v>
      </c>
      <c r="AK253" s="104">
        <v>6</v>
      </c>
      <c r="AL253" s="104">
        <v>4</v>
      </c>
      <c r="AM253" s="104">
        <v>5</v>
      </c>
      <c r="AN253" s="104">
        <v>4</v>
      </c>
      <c r="AO253" s="104">
        <v>1</v>
      </c>
      <c r="AP253" s="104">
        <v>2</v>
      </c>
      <c r="AQ253" s="104">
        <v>6</v>
      </c>
    </row>
    <row r="254" spans="1:43" x14ac:dyDescent="0.35">
      <c r="A254" s="52">
        <v>251</v>
      </c>
      <c r="B254" s="52" t="s">
        <v>696</v>
      </c>
      <c r="C254" s="93"/>
      <c r="D254" s="102" t="s">
        <v>539</v>
      </c>
      <c r="E254" s="102" t="s">
        <v>523</v>
      </c>
      <c r="F254" s="102" t="s">
        <v>148</v>
      </c>
      <c r="G254" s="102" t="s">
        <v>570</v>
      </c>
      <c r="H254" s="102" t="s">
        <v>566</v>
      </c>
      <c r="I254" s="102" t="s">
        <v>552</v>
      </c>
      <c r="J254" s="102" t="s">
        <v>140</v>
      </c>
      <c r="K254" s="102" t="s">
        <v>529</v>
      </c>
      <c r="L254" s="102" t="s">
        <v>542</v>
      </c>
      <c r="M254" s="102" t="s">
        <v>531</v>
      </c>
      <c r="N254" s="102" t="s">
        <v>142</v>
      </c>
      <c r="O254" s="102" t="s">
        <v>571</v>
      </c>
      <c r="P254" s="102" t="s">
        <v>563</v>
      </c>
      <c r="Q254" s="102" t="s">
        <v>544</v>
      </c>
      <c r="R254" s="102" t="s">
        <v>567</v>
      </c>
      <c r="S254" s="102" t="s">
        <v>536</v>
      </c>
      <c r="T254" s="102" t="s">
        <v>537</v>
      </c>
      <c r="U254" s="102" t="s">
        <v>548</v>
      </c>
      <c r="V254" s="102" t="s">
        <v>155</v>
      </c>
      <c r="W254" s="102" t="s">
        <v>549</v>
      </c>
      <c r="X254" s="104">
        <v>6</v>
      </c>
      <c r="Y254" s="104">
        <v>5</v>
      </c>
      <c r="Z254" s="104">
        <v>4</v>
      </c>
      <c r="AA254" s="104">
        <v>5</v>
      </c>
      <c r="AB254" s="104">
        <v>5</v>
      </c>
      <c r="AC254" s="104">
        <v>5</v>
      </c>
      <c r="AD254" s="104">
        <v>3</v>
      </c>
      <c r="AE254" s="104">
        <v>3</v>
      </c>
      <c r="AF254" s="104">
        <v>3</v>
      </c>
      <c r="AG254" s="104">
        <v>6</v>
      </c>
      <c r="AH254" s="104">
        <v>1</v>
      </c>
      <c r="AI254" s="104">
        <v>4</v>
      </c>
      <c r="AJ254" s="104">
        <v>7</v>
      </c>
      <c r="AK254" s="104">
        <v>5</v>
      </c>
      <c r="AL254" s="104">
        <v>6</v>
      </c>
      <c r="AM254" s="104">
        <v>6</v>
      </c>
      <c r="AN254" s="104">
        <v>5</v>
      </c>
      <c r="AO254" s="104">
        <v>3</v>
      </c>
      <c r="AP254" s="104">
        <v>2</v>
      </c>
      <c r="AQ254" s="104">
        <v>6</v>
      </c>
    </row>
    <row r="255" spans="1:43" x14ac:dyDescent="0.35">
      <c r="A255" s="52">
        <v>252</v>
      </c>
      <c r="B255" s="52" t="s">
        <v>710</v>
      </c>
      <c r="C255" s="93"/>
      <c r="D255" s="102" t="s">
        <v>539</v>
      </c>
      <c r="E255" s="102" t="s">
        <v>523</v>
      </c>
      <c r="F255" s="102" t="s">
        <v>148</v>
      </c>
      <c r="G255" s="102" t="s">
        <v>556</v>
      </c>
      <c r="H255" s="102" t="s">
        <v>566</v>
      </c>
      <c r="I255" s="102" t="s">
        <v>527</v>
      </c>
      <c r="J255" s="102" t="s">
        <v>140</v>
      </c>
      <c r="K255" s="102" t="s">
        <v>529</v>
      </c>
      <c r="L255" s="102" t="s">
        <v>530</v>
      </c>
      <c r="M255" s="102" t="s">
        <v>531</v>
      </c>
      <c r="N255" s="102" t="s">
        <v>532</v>
      </c>
      <c r="O255" s="102" t="s">
        <v>571</v>
      </c>
      <c r="P255" s="102" t="s">
        <v>543</v>
      </c>
      <c r="Q255" s="102" t="s">
        <v>544</v>
      </c>
      <c r="R255" s="102" t="s">
        <v>143</v>
      </c>
      <c r="S255" s="102" t="s">
        <v>546</v>
      </c>
      <c r="T255" s="102" t="s">
        <v>537</v>
      </c>
      <c r="U255" s="102" t="s">
        <v>154</v>
      </c>
      <c r="V255" s="102" t="s">
        <v>155</v>
      </c>
      <c r="W255" s="102" t="s">
        <v>549</v>
      </c>
      <c r="X255" s="104">
        <v>6</v>
      </c>
      <c r="Y255" s="104">
        <v>6</v>
      </c>
      <c r="Z255" s="104">
        <v>4</v>
      </c>
      <c r="AA255" s="104">
        <v>3</v>
      </c>
      <c r="AB255" s="104">
        <v>5</v>
      </c>
      <c r="AC255" s="104">
        <v>3</v>
      </c>
      <c r="AD255" s="104">
        <v>2</v>
      </c>
      <c r="AE255" s="104">
        <v>3</v>
      </c>
      <c r="AF255" s="104">
        <v>6</v>
      </c>
      <c r="AG255" s="104">
        <v>6</v>
      </c>
      <c r="AH255" s="104">
        <v>9</v>
      </c>
      <c r="AI255" s="104">
        <v>4</v>
      </c>
      <c r="AJ255" s="104">
        <v>5</v>
      </c>
      <c r="AK255" s="104">
        <v>6</v>
      </c>
      <c r="AL255" s="104">
        <v>3</v>
      </c>
      <c r="AM255" s="104">
        <v>4</v>
      </c>
      <c r="AN255" s="104">
        <v>5</v>
      </c>
      <c r="AO255" s="104">
        <v>1</v>
      </c>
      <c r="AP255" s="104">
        <v>3</v>
      </c>
      <c r="AQ255" s="104">
        <v>6</v>
      </c>
    </row>
    <row r="256" spans="1:43" x14ac:dyDescent="0.35">
      <c r="A256" s="52">
        <v>253</v>
      </c>
      <c r="B256" s="52" t="s">
        <v>329</v>
      </c>
      <c r="C256" s="93"/>
      <c r="D256" s="102" t="s">
        <v>539</v>
      </c>
      <c r="E256" s="102" t="s">
        <v>569</v>
      </c>
      <c r="F256" s="102" t="s">
        <v>148</v>
      </c>
      <c r="G256" s="102" t="s">
        <v>525</v>
      </c>
      <c r="H256" s="102" t="s">
        <v>561</v>
      </c>
      <c r="I256" s="102" t="s">
        <v>541</v>
      </c>
      <c r="J256" s="102" t="s">
        <v>558</v>
      </c>
      <c r="K256" s="102" t="s">
        <v>529</v>
      </c>
      <c r="L256" s="102" t="s">
        <v>152</v>
      </c>
      <c r="M256" s="102" t="s">
        <v>531</v>
      </c>
      <c r="N256" s="102" t="s">
        <v>142</v>
      </c>
      <c r="O256" s="102" t="s">
        <v>554</v>
      </c>
      <c r="P256" s="102" t="s">
        <v>145</v>
      </c>
      <c r="Q256" s="102" t="s">
        <v>544</v>
      </c>
      <c r="R256" s="102" t="s">
        <v>545</v>
      </c>
      <c r="S256" s="102" t="s">
        <v>546</v>
      </c>
      <c r="T256" s="102" t="s">
        <v>547</v>
      </c>
      <c r="U256" s="102" t="s">
        <v>538</v>
      </c>
      <c r="V256" s="102" t="s">
        <v>155</v>
      </c>
      <c r="W256" s="102" t="s">
        <v>574</v>
      </c>
      <c r="X256" s="104">
        <v>6</v>
      </c>
      <c r="Y256" s="104">
        <v>8</v>
      </c>
      <c r="Z256" s="104">
        <v>4</v>
      </c>
      <c r="AA256" s="104">
        <v>6</v>
      </c>
      <c r="AB256" s="104">
        <v>4</v>
      </c>
      <c r="AC256" s="104">
        <v>6</v>
      </c>
      <c r="AD256" s="104">
        <v>5</v>
      </c>
      <c r="AE256" s="104">
        <v>3</v>
      </c>
      <c r="AF256" s="104">
        <v>2</v>
      </c>
      <c r="AG256" s="104">
        <v>6</v>
      </c>
      <c r="AH256" s="104">
        <v>2</v>
      </c>
      <c r="AI256" s="104">
        <v>2</v>
      </c>
      <c r="AJ256" s="104">
        <v>2</v>
      </c>
      <c r="AK256" s="104">
        <v>5</v>
      </c>
      <c r="AL256" s="104">
        <v>5</v>
      </c>
      <c r="AM256" s="104">
        <v>5</v>
      </c>
      <c r="AN256" s="104">
        <v>3</v>
      </c>
      <c r="AO256" s="104">
        <v>4</v>
      </c>
      <c r="AP256" s="104">
        <v>3</v>
      </c>
      <c r="AQ256" s="104">
        <v>9</v>
      </c>
    </row>
    <row r="257" spans="1:43" x14ac:dyDescent="0.35">
      <c r="A257" s="52">
        <v>254</v>
      </c>
      <c r="B257" s="52" t="s">
        <v>1059</v>
      </c>
      <c r="C257" s="93"/>
      <c r="D257" s="52" t="s">
        <v>539</v>
      </c>
      <c r="E257" s="52" t="s">
        <v>540</v>
      </c>
      <c r="F257" s="52" t="s">
        <v>148</v>
      </c>
      <c r="G257" s="52" t="s">
        <v>556</v>
      </c>
      <c r="H257" s="52" t="s">
        <v>561</v>
      </c>
      <c r="I257" s="52" t="s">
        <v>552</v>
      </c>
      <c r="J257" s="52" t="s">
        <v>140</v>
      </c>
      <c r="K257" s="52" t="s">
        <v>529</v>
      </c>
      <c r="L257" s="52" t="s">
        <v>542</v>
      </c>
      <c r="M257" s="52" t="s">
        <v>531</v>
      </c>
      <c r="N257" s="52" t="s">
        <v>532</v>
      </c>
      <c r="O257" s="52" t="s">
        <v>554</v>
      </c>
      <c r="P257" s="52" t="s">
        <v>543</v>
      </c>
      <c r="Q257" s="52" t="s">
        <v>544</v>
      </c>
      <c r="R257" s="52" t="s">
        <v>567</v>
      </c>
      <c r="S257" s="52" t="s">
        <v>536</v>
      </c>
      <c r="T257" s="52" t="s">
        <v>537</v>
      </c>
      <c r="U257" s="52" t="s">
        <v>548</v>
      </c>
      <c r="V257" s="52" t="s">
        <v>81</v>
      </c>
      <c r="W257" s="52" t="s">
        <v>549</v>
      </c>
      <c r="X257" s="104">
        <v>6</v>
      </c>
      <c r="Y257" s="104">
        <v>4</v>
      </c>
      <c r="Z257" s="104">
        <v>2</v>
      </c>
      <c r="AA257" s="104">
        <v>2</v>
      </c>
      <c r="AB257" s="104">
        <v>4</v>
      </c>
      <c r="AC257" s="104">
        <v>4</v>
      </c>
      <c r="AD257" s="104">
        <v>2</v>
      </c>
      <c r="AE257" s="104">
        <v>3</v>
      </c>
      <c r="AF257" s="104">
        <v>4</v>
      </c>
      <c r="AG257" s="104">
        <v>6</v>
      </c>
      <c r="AH257" s="104">
        <v>6</v>
      </c>
      <c r="AI257" s="104">
        <v>3</v>
      </c>
      <c r="AJ257" s="104">
        <v>5</v>
      </c>
      <c r="AK257" s="104">
        <v>6</v>
      </c>
      <c r="AL257" s="104">
        <v>7</v>
      </c>
      <c r="AM257" s="104">
        <v>6</v>
      </c>
      <c r="AN257" s="104">
        <v>6</v>
      </c>
      <c r="AO257" s="104">
        <v>3</v>
      </c>
      <c r="AP257" s="104">
        <v>4</v>
      </c>
      <c r="AQ257" s="104">
        <v>7</v>
      </c>
    </row>
    <row r="258" spans="1:43" x14ac:dyDescent="0.35">
      <c r="A258" s="52">
        <v>255</v>
      </c>
      <c r="B258" s="52" t="s">
        <v>581</v>
      </c>
      <c r="C258" s="93"/>
      <c r="D258" s="102" t="s">
        <v>522</v>
      </c>
      <c r="E258" s="102" t="s">
        <v>540</v>
      </c>
      <c r="F258" s="102" t="s">
        <v>524</v>
      </c>
      <c r="G258" s="102" t="s">
        <v>556</v>
      </c>
      <c r="H258" s="102" t="s">
        <v>561</v>
      </c>
      <c r="I258" s="102" t="s">
        <v>552</v>
      </c>
      <c r="J258" s="102" t="s">
        <v>558</v>
      </c>
      <c r="K258" s="102" t="s">
        <v>529</v>
      </c>
      <c r="L258" s="102" t="s">
        <v>542</v>
      </c>
      <c r="M258" s="102" t="s">
        <v>553</v>
      </c>
      <c r="N258" s="102" t="s">
        <v>532</v>
      </c>
      <c r="O258" s="102" t="s">
        <v>571</v>
      </c>
      <c r="P258" s="102" t="s">
        <v>145</v>
      </c>
      <c r="Q258" s="102" t="s">
        <v>535</v>
      </c>
      <c r="R258" s="102" t="s">
        <v>545</v>
      </c>
      <c r="S258" s="102" t="s">
        <v>546</v>
      </c>
      <c r="T258" s="102" t="s">
        <v>537</v>
      </c>
      <c r="U258" s="102" t="s">
        <v>548</v>
      </c>
      <c r="V258" s="102" t="s">
        <v>155</v>
      </c>
      <c r="W258" s="102" t="s">
        <v>574</v>
      </c>
      <c r="X258" s="104">
        <v>5</v>
      </c>
      <c r="Y258" s="104">
        <v>4</v>
      </c>
      <c r="Z258" s="104">
        <v>5</v>
      </c>
      <c r="AA258" s="104">
        <v>3</v>
      </c>
      <c r="AB258" s="104">
        <v>4</v>
      </c>
      <c r="AC258" s="104">
        <v>4</v>
      </c>
      <c r="AD258" s="104">
        <v>6</v>
      </c>
      <c r="AE258" s="104">
        <v>4</v>
      </c>
      <c r="AF258" s="104">
        <v>4</v>
      </c>
      <c r="AG258" s="104">
        <v>5</v>
      </c>
      <c r="AH258" s="104">
        <v>9</v>
      </c>
      <c r="AI258" s="104">
        <v>4</v>
      </c>
      <c r="AJ258" s="104">
        <v>2</v>
      </c>
      <c r="AK258" s="104">
        <v>3</v>
      </c>
      <c r="AL258" s="104">
        <v>4</v>
      </c>
      <c r="AM258" s="104">
        <v>5</v>
      </c>
      <c r="AN258" s="104">
        <v>6</v>
      </c>
      <c r="AO258" s="104">
        <v>3</v>
      </c>
      <c r="AP258" s="104">
        <v>2</v>
      </c>
      <c r="AQ258" s="104">
        <v>8</v>
      </c>
    </row>
    <row r="259" spans="1:43" x14ac:dyDescent="0.35">
      <c r="A259" s="52">
        <v>256</v>
      </c>
      <c r="B259" s="52" t="s">
        <v>1061</v>
      </c>
      <c r="C259" s="93"/>
      <c r="D259" s="52" t="s">
        <v>539</v>
      </c>
      <c r="E259" s="52" t="s">
        <v>523</v>
      </c>
      <c r="F259" s="52" t="s">
        <v>148</v>
      </c>
      <c r="G259" s="52" t="s">
        <v>556</v>
      </c>
      <c r="H259" s="52" t="s">
        <v>551</v>
      </c>
      <c r="I259" s="52" t="s">
        <v>527</v>
      </c>
      <c r="J259" s="52" t="s">
        <v>558</v>
      </c>
      <c r="K259" s="52" t="s">
        <v>529</v>
      </c>
      <c r="L259" s="52" t="s">
        <v>542</v>
      </c>
      <c r="M259" s="52" t="s">
        <v>531</v>
      </c>
      <c r="N259" s="52" t="s">
        <v>532</v>
      </c>
      <c r="O259" s="52" t="s">
        <v>571</v>
      </c>
      <c r="P259" s="52" t="s">
        <v>534</v>
      </c>
      <c r="Q259" s="52" t="s">
        <v>544</v>
      </c>
      <c r="R259" s="52" t="s">
        <v>143</v>
      </c>
      <c r="S259" s="52" t="s">
        <v>546</v>
      </c>
      <c r="T259" s="52" t="s">
        <v>537</v>
      </c>
      <c r="U259" s="52" t="s">
        <v>548</v>
      </c>
      <c r="V259" s="52" t="s">
        <v>81</v>
      </c>
      <c r="W259" s="52" t="s">
        <v>555</v>
      </c>
      <c r="X259" s="104">
        <v>6</v>
      </c>
      <c r="Y259" s="104">
        <v>5</v>
      </c>
      <c r="Z259" s="104">
        <v>4</v>
      </c>
      <c r="AA259" s="104">
        <v>2</v>
      </c>
      <c r="AB259" s="104">
        <v>6</v>
      </c>
      <c r="AC259" s="104">
        <v>3</v>
      </c>
      <c r="AD259" s="104">
        <v>4</v>
      </c>
      <c r="AE259" s="104">
        <v>5</v>
      </c>
      <c r="AF259" s="104">
        <v>3</v>
      </c>
      <c r="AG259" s="104">
        <v>6</v>
      </c>
      <c r="AH259" s="104">
        <v>8</v>
      </c>
      <c r="AI259" s="104">
        <v>4</v>
      </c>
      <c r="AJ259" s="104">
        <v>4</v>
      </c>
      <c r="AK259" s="104">
        <v>6</v>
      </c>
      <c r="AL259" s="104">
        <v>2</v>
      </c>
      <c r="AM259" s="104">
        <v>5</v>
      </c>
      <c r="AN259" s="104">
        <v>6</v>
      </c>
      <c r="AO259" s="104">
        <v>3</v>
      </c>
      <c r="AP259" s="104">
        <v>4</v>
      </c>
      <c r="AQ259" s="104">
        <v>4</v>
      </c>
    </row>
    <row r="260" spans="1:43" x14ac:dyDescent="0.35">
      <c r="A260" s="52">
        <v>257</v>
      </c>
      <c r="B260" s="52" t="s">
        <v>1192</v>
      </c>
      <c r="C260" s="93"/>
      <c r="D260" s="52" t="s">
        <v>539</v>
      </c>
      <c r="E260" s="52" t="s">
        <v>569</v>
      </c>
      <c r="F260" s="52" t="s">
        <v>148</v>
      </c>
      <c r="G260" s="52" t="s">
        <v>550</v>
      </c>
      <c r="H260" s="52" t="s">
        <v>551</v>
      </c>
      <c r="I260" s="52" t="s">
        <v>552</v>
      </c>
      <c r="J260" s="52" t="s">
        <v>140</v>
      </c>
      <c r="K260" s="52" t="s">
        <v>529</v>
      </c>
      <c r="L260" s="52" t="s">
        <v>542</v>
      </c>
      <c r="M260" s="52" t="s">
        <v>531</v>
      </c>
      <c r="N260" s="52" t="s">
        <v>142</v>
      </c>
      <c r="O260" s="52" t="s">
        <v>554</v>
      </c>
      <c r="P260" s="52" t="s">
        <v>543</v>
      </c>
      <c r="Q260" s="52" t="s">
        <v>544</v>
      </c>
      <c r="R260" s="52" t="s">
        <v>567</v>
      </c>
      <c r="S260" s="52" t="s">
        <v>536</v>
      </c>
      <c r="T260" s="52" t="s">
        <v>547</v>
      </c>
      <c r="U260" s="52" t="s">
        <v>548</v>
      </c>
      <c r="V260" s="52" t="s">
        <v>155</v>
      </c>
      <c r="W260" s="52" t="s">
        <v>549</v>
      </c>
      <c r="X260" s="104">
        <v>6</v>
      </c>
      <c r="Y260" s="104">
        <v>9</v>
      </c>
      <c r="Z260" s="104">
        <v>4</v>
      </c>
      <c r="AA260" s="104">
        <v>4</v>
      </c>
      <c r="AB260" s="104">
        <v>6</v>
      </c>
      <c r="AC260" s="104">
        <v>4</v>
      </c>
      <c r="AD260" s="104">
        <v>3</v>
      </c>
      <c r="AE260" s="104">
        <v>5</v>
      </c>
      <c r="AF260" s="104">
        <v>4</v>
      </c>
      <c r="AG260" s="104">
        <v>6</v>
      </c>
      <c r="AH260" s="104">
        <v>1</v>
      </c>
      <c r="AI260" s="104">
        <v>2</v>
      </c>
      <c r="AJ260" s="104">
        <v>5</v>
      </c>
      <c r="AK260" s="104">
        <v>6</v>
      </c>
      <c r="AL260" s="104">
        <v>6</v>
      </c>
      <c r="AM260" s="104">
        <v>6</v>
      </c>
      <c r="AN260" s="104">
        <v>2</v>
      </c>
      <c r="AO260" s="104">
        <v>3</v>
      </c>
      <c r="AP260" s="104">
        <v>2</v>
      </c>
      <c r="AQ260" s="104">
        <v>6</v>
      </c>
    </row>
    <row r="261" spans="1:43" x14ac:dyDescent="0.35">
      <c r="A261" s="52">
        <v>258</v>
      </c>
      <c r="B261" s="52" t="s">
        <v>706</v>
      </c>
      <c r="C261" s="93"/>
      <c r="D261" s="102" t="s">
        <v>578</v>
      </c>
      <c r="E261" s="102" t="s">
        <v>523</v>
      </c>
      <c r="F261" s="102" t="s">
        <v>524</v>
      </c>
      <c r="G261" s="102" t="s">
        <v>550</v>
      </c>
      <c r="H261" s="102" t="s">
        <v>561</v>
      </c>
      <c r="I261" s="102" t="s">
        <v>527</v>
      </c>
      <c r="J261" s="102" t="s">
        <v>140</v>
      </c>
      <c r="K261" s="102" t="s">
        <v>529</v>
      </c>
      <c r="L261" s="102" t="s">
        <v>542</v>
      </c>
      <c r="M261" s="102" t="s">
        <v>553</v>
      </c>
      <c r="N261" s="102" t="s">
        <v>562</v>
      </c>
      <c r="O261" s="102" t="s">
        <v>554</v>
      </c>
      <c r="P261" s="102" t="s">
        <v>543</v>
      </c>
      <c r="Q261" s="102" t="s">
        <v>544</v>
      </c>
      <c r="R261" s="102" t="s">
        <v>545</v>
      </c>
      <c r="S261" s="102" t="s">
        <v>546</v>
      </c>
      <c r="T261" s="102" t="s">
        <v>537</v>
      </c>
      <c r="U261" s="102" t="s">
        <v>548</v>
      </c>
      <c r="V261" s="102" t="s">
        <v>155</v>
      </c>
      <c r="W261" s="102" t="s">
        <v>555</v>
      </c>
      <c r="X261" s="104">
        <v>9</v>
      </c>
      <c r="Y261" s="104">
        <v>6</v>
      </c>
      <c r="Z261" s="104">
        <v>5</v>
      </c>
      <c r="AA261" s="104">
        <v>4</v>
      </c>
      <c r="AB261" s="104">
        <v>4</v>
      </c>
      <c r="AC261" s="104">
        <v>3</v>
      </c>
      <c r="AD261" s="104">
        <v>2</v>
      </c>
      <c r="AE261" s="104">
        <v>5</v>
      </c>
      <c r="AF261" s="104">
        <v>4</v>
      </c>
      <c r="AG261" s="104">
        <v>4</v>
      </c>
      <c r="AH261" s="104">
        <v>4</v>
      </c>
      <c r="AI261" s="104">
        <v>3</v>
      </c>
      <c r="AJ261" s="104">
        <v>6</v>
      </c>
      <c r="AK261" s="104">
        <v>5</v>
      </c>
      <c r="AL261" s="104">
        <v>5</v>
      </c>
      <c r="AM261" s="104">
        <v>5</v>
      </c>
      <c r="AN261" s="104">
        <v>5</v>
      </c>
      <c r="AO261" s="104">
        <v>3</v>
      </c>
      <c r="AP261" s="104">
        <v>3</v>
      </c>
      <c r="AQ261" s="104">
        <v>5</v>
      </c>
    </row>
    <row r="262" spans="1:43" x14ac:dyDescent="0.35">
      <c r="A262" s="52">
        <v>259</v>
      </c>
      <c r="B262" s="52" t="s">
        <v>1044</v>
      </c>
      <c r="C262" s="93"/>
      <c r="D262" s="52" t="s">
        <v>578</v>
      </c>
      <c r="E262" s="52" t="s">
        <v>523</v>
      </c>
      <c r="F262" s="52" t="s">
        <v>148</v>
      </c>
      <c r="G262" s="52" t="s">
        <v>570</v>
      </c>
      <c r="H262" s="52" t="s">
        <v>566</v>
      </c>
      <c r="I262" s="52" t="s">
        <v>552</v>
      </c>
      <c r="J262" s="52" t="s">
        <v>140</v>
      </c>
      <c r="K262" s="52" t="s">
        <v>529</v>
      </c>
      <c r="L262" s="52" t="s">
        <v>542</v>
      </c>
      <c r="M262" s="52" t="s">
        <v>151</v>
      </c>
      <c r="N262" s="52" t="s">
        <v>142</v>
      </c>
      <c r="O262" s="52" t="s">
        <v>571</v>
      </c>
      <c r="P262" s="52" t="s">
        <v>543</v>
      </c>
      <c r="Q262" s="52" t="s">
        <v>544</v>
      </c>
      <c r="R262" s="52" t="s">
        <v>545</v>
      </c>
      <c r="S262" s="52" t="s">
        <v>536</v>
      </c>
      <c r="T262" s="52" t="s">
        <v>537</v>
      </c>
      <c r="U262" s="52" t="s">
        <v>548</v>
      </c>
      <c r="V262" s="52" t="s">
        <v>155</v>
      </c>
      <c r="W262" s="52" t="s">
        <v>549</v>
      </c>
      <c r="X262" s="104">
        <v>9</v>
      </c>
      <c r="Y262" s="104">
        <v>6</v>
      </c>
      <c r="Z262" s="104">
        <v>3</v>
      </c>
      <c r="AA262" s="104">
        <v>5</v>
      </c>
      <c r="AB262" s="104">
        <v>5</v>
      </c>
      <c r="AC262" s="104">
        <v>5</v>
      </c>
      <c r="AD262" s="104">
        <v>2</v>
      </c>
      <c r="AE262" s="104">
        <v>3</v>
      </c>
      <c r="AF262" s="104">
        <v>5</v>
      </c>
      <c r="AG262" s="104">
        <v>1</v>
      </c>
      <c r="AH262" s="104">
        <v>2</v>
      </c>
      <c r="AI262" s="104">
        <v>4</v>
      </c>
      <c r="AJ262" s="104">
        <v>5</v>
      </c>
      <c r="AK262" s="104">
        <v>6</v>
      </c>
      <c r="AL262" s="104">
        <v>5</v>
      </c>
      <c r="AM262" s="104">
        <v>6</v>
      </c>
      <c r="AN262" s="104">
        <v>6</v>
      </c>
      <c r="AO262" s="104">
        <v>3</v>
      </c>
      <c r="AP262" s="104">
        <v>3</v>
      </c>
      <c r="AQ262" s="104">
        <v>6</v>
      </c>
    </row>
    <row r="263" spans="1:43" x14ac:dyDescent="0.35">
      <c r="A263" s="52">
        <v>260</v>
      </c>
      <c r="B263" s="52" t="s">
        <v>663</v>
      </c>
      <c r="C263" s="93"/>
      <c r="D263" s="102" t="s">
        <v>539</v>
      </c>
      <c r="E263" s="102" t="s">
        <v>523</v>
      </c>
      <c r="F263" s="102" t="s">
        <v>524</v>
      </c>
      <c r="G263" s="102" t="s">
        <v>556</v>
      </c>
      <c r="H263" s="102" t="s">
        <v>551</v>
      </c>
      <c r="I263" s="102" t="s">
        <v>552</v>
      </c>
      <c r="J263" s="102" t="s">
        <v>140</v>
      </c>
      <c r="K263" s="102" t="s">
        <v>529</v>
      </c>
      <c r="L263" s="102" t="s">
        <v>152</v>
      </c>
      <c r="M263" s="102" t="s">
        <v>553</v>
      </c>
      <c r="N263" s="102" t="s">
        <v>562</v>
      </c>
      <c r="O263" s="102" t="s">
        <v>533</v>
      </c>
      <c r="P263" s="102" t="s">
        <v>563</v>
      </c>
      <c r="Q263" s="102" t="s">
        <v>564</v>
      </c>
      <c r="R263" s="102" t="s">
        <v>545</v>
      </c>
      <c r="S263" s="102" t="s">
        <v>565</v>
      </c>
      <c r="T263" s="102" t="s">
        <v>547</v>
      </c>
      <c r="U263" s="102" t="s">
        <v>154</v>
      </c>
      <c r="V263" s="102" t="s">
        <v>81</v>
      </c>
      <c r="W263" s="102" t="s">
        <v>549</v>
      </c>
      <c r="X263" s="104">
        <v>6</v>
      </c>
      <c r="Y263" s="104">
        <v>7</v>
      </c>
      <c r="Z263" s="104">
        <v>7</v>
      </c>
      <c r="AA263" s="104">
        <v>2</v>
      </c>
      <c r="AB263" s="104">
        <v>6</v>
      </c>
      <c r="AC263" s="104">
        <v>4</v>
      </c>
      <c r="AD263" s="104">
        <v>2</v>
      </c>
      <c r="AE263" s="104">
        <v>5</v>
      </c>
      <c r="AF263" s="104">
        <v>2</v>
      </c>
      <c r="AG263" s="104">
        <v>5</v>
      </c>
      <c r="AH263" s="104">
        <v>3</v>
      </c>
      <c r="AI263" s="104">
        <v>5</v>
      </c>
      <c r="AJ263" s="104">
        <v>7</v>
      </c>
      <c r="AK263" s="104">
        <v>7</v>
      </c>
      <c r="AL263" s="104">
        <v>5</v>
      </c>
      <c r="AM263" s="104">
        <v>2</v>
      </c>
      <c r="AN263" s="104">
        <v>3</v>
      </c>
      <c r="AO263" s="104">
        <v>0</v>
      </c>
      <c r="AP263" s="104">
        <v>5</v>
      </c>
      <c r="AQ263" s="104">
        <v>7</v>
      </c>
    </row>
    <row r="264" spans="1:43" x14ac:dyDescent="0.35">
      <c r="A264" s="52">
        <v>261</v>
      </c>
      <c r="B264" s="52" t="s">
        <v>1202</v>
      </c>
      <c r="C264" s="93"/>
      <c r="D264" s="52" t="s">
        <v>522</v>
      </c>
      <c r="E264" s="52" t="s">
        <v>523</v>
      </c>
      <c r="F264" s="52" t="s">
        <v>148</v>
      </c>
      <c r="G264" s="52" t="s">
        <v>556</v>
      </c>
      <c r="H264" s="52" t="s">
        <v>551</v>
      </c>
      <c r="I264" s="52" t="s">
        <v>139</v>
      </c>
      <c r="J264" s="52" t="s">
        <v>140</v>
      </c>
      <c r="K264" s="52" t="s">
        <v>529</v>
      </c>
      <c r="L264" s="52" t="s">
        <v>530</v>
      </c>
      <c r="M264" s="52" t="s">
        <v>531</v>
      </c>
      <c r="N264" s="52" t="s">
        <v>532</v>
      </c>
      <c r="O264" s="52" t="s">
        <v>554</v>
      </c>
      <c r="P264" s="52" t="s">
        <v>543</v>
      </c>
      <c r="Q264" s="52" t="s">
        <v>544</v>
      </c>
      <c r="R264" s="52" t="s">
        <v>577</v>
      </c>
      <c r="S264" s="52" t="s">
        <v>546</v>
      </c>
      <c r="T264" s="52" t="s">
        <v>537</v>
      </c>
      <c r="U264" s="52" t="s">
        <v>548</v>
      </c>
      <c r="V264" s="52" t="s">
        <v>81</v>
      </c>
      <c r="W264" s="52" t="s">
        <v>549</v>
      </c>
      <c r="X264" s="104">
        <v>4</v>
      </c>
      <c r="Y264" s="104">
        <v>6</v>
      </c>
      <c r="Z264" s="104">
        <v>2</v>
      </c>
      <c r="AA264" s="104">
        <v>3</v>
      </c>
      <c r="AB264" s="104">
        <v>6</v>
      </c>
      <c r="AC264" s="104">
        <v>1</v>
      </c>
      <c r="AD264" s="104">
        <v>2</v>
      </c>
      <c r="AE264" s="104">
        <v>4</v>
      </c>
      <c r="AF264" s="104">
        <v>6</v>
      </c>
      <c r="AG264" s="104">
        <v>7</v>
      </c>
      <c r="AH264" s="104">
        <v>6</v>
      </c>
      <c r="AI264" s="104">
        <v>2</v>
      </c>
      <c r="AJ264" s="104">
        <v>5</v>
      </c>
      <c r="AK264" s="104">
        <v>5</v>
      </c>
      <c r="AL264" s="104">
        <v>8</v>
      </c>
      <c r="AM264" s="104">
        <v>5</v>
      </c>
      <c r="AN264" s="104">
        <v>5</v>
      </c>
      <c r="AO264" s="104">
        <v>2</v>
      </c>
      <c r="AP264" s="104">
        <v>4</v>
      </c>
      <c r="AQ264" s="104">
        <v>7</v>
      </c>
    </row>
    <row r="265" spans="1:43" x14ac:dyDescent="0.35">
      <c r="A265" s="52">
        <v>262</v>
      </c>
      <c r="B265" s="52" t="s">
        <v>1249</v>
      </c>
      <c r="C265" s="93"/>
      <c r="D265" s="52" t="s">
        <v>539</v>
      </c>
      <c r="E265" s="52" t="s">
        <v>523</v>
      </c>
      <c r="F265" s="52" t="s">
        <v>148</v>
      </c>
      <c r="G265" s="52" t="s">
        <v>556</v>
      </c>
      <c r="H265" s="52" t="s">
        <v>551</v>
      </c>
      <c r="I265" s="52" t="s">
        <v>527</v>
      </c>
      <c r="J265" s="52" t="s">
        <v>140</v>
      </c>
      <c r="K265" s="52" t="s">
        <v>529</v>
      </c>
      <c r="L265" s="52" t="s">
        <v>542</v>
      </c>
      <c r="M265" s="52" t="s">
        <v>151</v>
      </c>
      <c r="N265" s="52" t="s">
        <v>532</v>
      </c>
      <c r="O265" s="52" t="s">
        <v>571</v>
      </c>
      <c r="P265" s="52" t="s">
        <v>543</v>
      </c>
      <c r="Q265" s="52" t="s">
        <v>544</v>
      </c>
      <c r="R265" s="52" t="s">
        <v>545</v>
      </c>
      <c r="S265" s="52" t="s">
        <v>565</v>
      </c>
      <c r="T265" s="52" t="s">
        <v>557</v>
      </c>
      <c r="U265" s="52" t="s">
        <v>576</v>
      </c>
      <c r="V265" s="52" t="s">
        <v>155</v>
      </c>
      <c r="W265" s="52" t="s">
        <v>549</v>
      </c>
      <c r="X265" s="104">
        <v>7</v>
      </c>
      <c r="Y265" s="104">
        <v>6</v>
      </c>
      <c r="Z265" s="104">
        <v>3</v>
      </c>
      <c r="AA265" s="104">
        <v>3</v>
      </c>
      <c r="AB265" s="104">
        <v>6</v>
      </c>
      <c r="AC265" s="104">
        <v>2</v>
      </c>
      <c r="AD265" s="104">
        <v>3</v>
      </c>
      <c r="AE265" s="104">
        <v>5</v>
      </c>
      <c r="AF265" s="104">
        <v>5</v>
      </c>
      <c r="AG265" s="104">
        <v>2</v>
      </c>
      <c r="AH265" s="104">
        <v>5</v>
      </c>
      <c r="AI265" s="104">
        <v>4</v>
      </c>
      <c r="AJ265" s="104">
        <v>5</v>
      </c>
      <c r="AK265" s="104">
        <v>5</v>
      </c>
      <c r="AL265" s="104">
        <v>4</v>
      </c>
      <c r="AM265" s="104">
        <v>2</v>
      </c>
      <c r="AN265" s="104">
        <v>7</v>
      </c>
      <c r="AO265" s="104">
        <v>6</v>
      </c>
      <c r="AP265" s="104">
        <v>3</v>
      </c>
      <c r="AQ265" s="104">
        <v>7</v>
      </c>
    </row>
    <row r="266" spans="1:43" x14ac:dyDescent="0.35">
      <c r="A266" s="52">
        <v>263</v>
      </c>
      <c r="B266" s="52" t="s">
        <v>650</v>
      </c>
      <c r="C266" s="93"/>
      <c r="D266" s="102" t="s">
        <v>522</v>
      </c>
      <c r="E266" s="102" t="s">
        <v>523</v>
      </c>
      <c r="F266" s="102" t="s">
        <v>524</v>
      </c>
      <c r="G266" s="102" t="s">
        <v>556</v>
      </c>
      <c r="H266" s="102" t="s">
        <v>551</v>
      </c>
      <c r="I266" s="102" t="s">
        <v>552</v>
      </c>
      <c r="J266" s="102" t="s">
        <v>528</v>
      </c>
      <c r="K266" s="102" t="s">
        <v>529</v>
      </c>
      <c r="L266" s="102" t="s">
        <v>542</v>
      </c>
      <c r="M266" s="102" t="s">
        <v>531</v>
      </c>
      <c r="N266" s="102" t="s">
        <v>532</v>
      </c>
      <c r="O266" s="102" t="s">
        <v>571</v>
      </c>
      <c r="P266" s="102" t="s">
        <v>145</v>
      </c>
      <c r="Q266" s="102" t="s">
        <v>535</v>
      </c>
      <c r="R266" s="102" t="s">
        <v>545</v>
      </c>
      <c r="S266" s="102" t="s">
        <v>536</v>
      </c>
      <c r="T266" s="102" t="s">
        <v>537</v>
      </c>
      <c r="U266" s="102" t="s">
        <v>548</v>
      </c>
      <c r="V266" s="102" t="s">
        <v>155</v>
      </c>
      <c r="W266" s="102" t="s">
        <v>156</v>
      </c>
      <c r="X266" s="104">
        <v>4</v>
      </c>
      <c r="Y266" s="104">
        <v>7</v>
      </c>
      <c r="Z266" s="104">
        <v>6</v>
      </c>
      <c r="AA266" s="104">
        <v>3</v>
      </c>
      <c r="AB266" s="104">
        <v>7</v>
      </c>
      <c r="AC266" s="104">
        <v>5</v>
      </c>
      <c r="AD266" s="104">
        <v>7</v>
      </c>
      <c r="AE266" s="104">
        <v>4</v>
      </c>
      <c r="AF266" s="104">
        <v>3</v>
      </c>
      <c r="AG266" s="104">
        <v>7</v>
      </c>
      <c r="AH266" s="104">
        <v>6</v>
      </c>
      <c r="AI266" s="104">
        <v>4</v>
      </c>
      <c r="AJ266" s="104">
        <v>2</v>
      </c>
      <c r="AK266" s="104">
        <v>2</v>
      </c>
      <c r="AL266" s="104">
        <v>5</v>
      </c>
      <c r="AM266" s="104">
        <v>6</v>
      </c>
      <c r="AN266" s="104">
        <v>4</v>
      </c>
      <c r="AO266" s="104">
        <v>2</v>
      </c>
      <c r="AP266" s="104">
        <v>3</v>
      </c>
      <c r="AQ266" s="104">
        <v>3</v>
      </c>
    </row>
    <row r="267" spans="1:43" x14ac:dyDescent="0.35">
      <c r="A267" s="52">
        <v>264</v>
      </c>
      <c r="B267" s="52" t="s">
        <v>1158</v>
      </c>
      <c r="C267" s="93"/>
      <c r="D267" s="52" t="s">
        <v>522</v>
      </c>
      <c r="E267" s="52" t="s">
        <v>523</v>
      </c>
      <c r="F267" s="52" t="s">
        <v>148</v>
      </c>
      <c r="G267" s="52" t="s">
        <v>556</v>
      </c>
      <c r="H267" s="52" t="s">
        <v>551</v>
      </c>
      <c r="I267" s="52" t="s">
        <v>552</v>
      </c>
      <c r="J267" s="52" t="s">
        <v>558</v>
      </c>
      <c r="K267" s="52" t="s">
        <v>529</v>
      </c>
      <c r="L267" s="52" t="s">
        <v>530</v>
      </c>
      <c r="M267" s="52" t="s">
        <v>553</v>
      </c>
      <c r="N267" s="52" t="s">
        <v>532</v>
      </c>
      <c r="O267" s="52" t="s">
        <v>554</v>
      </c>
      <c r="P267" s="52" t="s">
        <v>534</v>
      </c>
      <c r="Q267" s="52" t="s">
        <v>544</v>
      </c>
      <c r="R267" s="52" t="s">
        <v>545</v>
      </c>
      <c r="S267" s="52" t="s">
        <v>536</v>
      </c>
      <c r="T267" s="52" t="s">
        <v>547</v>
      </c>
      <c r="U267" s="52" t="s">
        <v>548</v>
      </c>
      <c r="V267" s="52" t="s">
        <v>155</v>
      </c>
      <c r="W267" s="52" t="s">
        <v>549</v>
      </c>
      <c r="X267" s="104">
        <v>5</v>
      </c>
      <c r="Y267" s="104">
        <v>6</v>
      </c>
      <c r="Z267" s="104">
        <v>3</v>
      </c>
      <c r="AA267" s="104">
        <v>3</v>
      </c>
      <c r="AB267" s="104">
        <v>6</v>
      </c>
      <c r="AC267" s="104">
        <v>4</v>
      </c>
      <c r="AD267" s="104">
        <v>4</v>
      </c>
      <c r="AE267" s="104">
        <v>5</v>
      </c>
      <c r="AF267" s="104">
        <v>6</v>
      </c>
      <c r="AG267" s="104">
        <v>4</v>
      </c>
      <c r="AH267" s="104">
        <v>6</v>
      </c>
      <c r="AI267" s="104">
        <v>3</v>
      </c>
      <c r="AJ267" s="104">
        <v>4</v>
      </c>
      <c r="AK267" s="104">
        <v>6</v>
      </c>
      <c r="AL267" s="104">
        <v>4</v>
      </c>
      <c r="AM267" s="104">
        <v>6</v>
      </c>
      <c r="AN267" s="104">
        <v>3</v>
      </c>
      <c r="AO267" s="104">
        <v>2</v>
      </c>
      <c r="AP267" s="104">
        <v>3</v>
      </c>
      <c r="AQ267" s="104">
        <v>7</v>
      </c>
    </row>
    <row r="268" spans="1:43" x14ac:dyDescent="0.35">
      <c r="A268" s="52">
        <v>265</v>
      </c>
      <c r="B268" s="52" t="s">
        <v>1474</v>
      </c>
      <c r="C268" s="93"/>
      <c r="D268" s="52" t="s">
        <v>522</v>
      </c>
      <c r="E268" s="52" t="s">
        <v>523</v>
      </c>
      <c r="F268" s="52" t="s">
        <v>148</v>
      </c>
      <c r="G268" s="52" t="s">
        <v>550</v>
      </c>
      <c r="H268" s="52" t="s">
        <v>551</v>
      </c>
      <c r="I268" s="52" t="s">
        <v>527</v>
      </c>
      <c r="J268" s="52" t="s">
        <v>558</v>
      </c>
      <c r="K268" s="52" t="s">
        <v>529</v>
      </c>
      <c r="L268" s="52" t="s">
        <v>542</v>
      </c>
      <c r="M268" s="52" t="s">
        <v>531</v>
      </c>
      <c r="N268" s="52" t="s">
        <v>562</v>
      </c>
      <c r="O268" s="52" t="s">
        <v>571</v>
      </c>
      <c r="P268" s="52" t="s">
        <v>534</v>
      </c>
      <c r="Q268" s="52" t="s">
        <v>544</v>
      </c>
      <c r="R268" s="52" t="s">
        <v>545</v>
      </c>
      <c r="S268" s="52" t="s">
        <v>536</v>
      </c>
      <c r="T268" s="52" t="s">
        <v>537</v>
      </c>
      <c r="U268" s="52" t="s">
        <v>154</v>
      </c>
      <c r="V268" s="52" t="s">
        <v>81</v>
      </c>
      <c r="W268" s="52" t="s">
        <v>549</v>
      </c>
      <c r="X268" s="104">
        <v>5</v>
      </c>
      <c r="Y268" s="104">
        <v>6</v>
      </c>
      <c r="Z268" s="104">
        <v>4</v>
      </c>
      <c r="AA268" s="104">
        <v>4</v>
      </c>
      <c r="AB268" s="104">
        <v>6</v>
      </c>
      <c r="AC268" s="104">
        <v>2</v>
      </c>
      <c r="AD268" s="104">
        <v>5</v>
      </c>
      <c r="AE268" s="104">
        <v>6</v>
      </c>
      <c r="AF268" s="104">
        <v>3</v>
      </c>
      <c r="AG268" s="104">
        <v>6</v>
      </c>
      <c r="AH268" s="104">
        <v>3</v>
      </c>
      <c r="AI268" s="104">
        <v>4</v>
      </c>
      <c r="AJ268" s="104">
        <v>3</v>
      </c>
      <c r="AK268" s="104">
        <v>6</v>
      </c>
      <c r="AL268" s="104">
        <v>4</v>
      </c>
      <c r="AM268" s="104">
        <v>6</v>
      </c>
      <c r="AN268" s="104">
        <v>6</v>
      </c>
      <c r="AO268" s="104">
        <v>1</v>
      </c>
      <c r="AP268" s="104">
        <v>4</v>
      </c>
      <c r="AQ268" s="104">
        <v>6</v>
      </c>
    </row>
    <row r="269" spans="1:43" x14ac:dyDescent="0.35">
      <c r="A269" s="52">
        <v>266</v>
      </c>
      <c r="B269" s="52" t="s">
        <v>1169</v>
      </c>
      <c r="C269" s="93"/>
      <c r="D269" s="52" t="s">
        <v>522</v>
      </c>
      <c r="E269" s="52" t="s">
        <v>540</v>
      </c>
      <c r="F269" s="52" t="s">
        <v>148</v>
      </c>
      <c r="G269" s="52" t="s">
        <v>556</v>
      </c>
      <c r="H269" s="52" t="s">
        <v>560</v>
      </c>
      <c r="I269" s="52" t="s">
        <v>541</v>
      </c>
      <c r="J269" s="52" t="s">
        <v>140</v>
      </c>
      <c r="K269" s="52" t="s">
        <v>529</v>
      </c>
      <c r="L269" s="52" t="s">
        <v>542</v>
      </c>
      <c r="M269" s="52" t="s">
        <v>531</v>
      </c>
      <c r="N269" s="52" t="s">
        <v>532</v>
      </c>
      <c r="O269" s="52" t="s">
        <v>554</v>
      </c>
      <c r="P269" s="52" t="s">
        <v>543</v>
      </c>
      <c r="Q269" s="52" t="s">
        <v>544</v>
      </c>
      <c r="R269" s="52" t="s">
        <v>545</v>
      </c>
      <c r="S269" s="52" t="s">
        <v>153</v>
      </c>
      <c r="T269" s="52" t="s">
        <v>537</v>
      </c>
      <c r="U269" s="52" t="s">
        <v>548</v>
      </c>
      <c r="V269" s="52" t="s">
        <v>81</v>
      </c>
      <c r="W269" s="52" t="s">
        <v>574</v>
      </c>
      <c r="X269" s="104">
        <v>5</v>
      </c>
      <c r="Y269" s="104">
        <v>3</v>
      </c>
      <c r="Z269" s="104">
        <v>3</v>
      </c>
      <c r="AA269" s="104">
        <v>2</v>
      </c>
      <c r="AB269" s="104">
        <v>8</v>
      </c>
      <c r="AC269" s="104">
        <v>6</v>
      </c>
      <c r="AD269" s="104">
        <v>3</v>
      </c>
      <c r="AE269" s="104">
        <v>3</v>
      </c>
      <c r="AF269" s="104">
        <v>4</v>
      </c>
      <c r="AG269" s="104">
        <v>7</v>
      </c>
      <c r="AH269" s="104">
        <v>7</v>
      </c>
      <c r="AI269" s="104">
        <v>2</v>
      </c>
      <c r="AJ269" s="104">
        <v>6</v>
      </c>
      <c r="AK269" s="104">
        <v>6</v>
      </c>
      <c r="AL269" s="104">
        <v>5</v>
      </c>
      <c r="AM269" s="104">
        <v>1</v>
      </c>
      <c r="AN269" s="104">
        <v>4</v>
      </c>
      <c r="AO269" s="104">
        <v>3</v>
      </c>
      <c r="AP269" s="104">
        <v>4</v>
      </c>
      <c r="AQ269" s="104">
        <v>8</v>
      </c>
    </row>
    <row r="270" spans="1:43" x14ac:dyDescent="0.35">
      <c r="A270" s="52">
        <v>267</v>
      </c>
      <c r="B270" s="52" t="s">
        <v>318</v>
      </c>
      <c r="C270" s="93"/>
      <c r="D270" s="102" t="s">
        <v>539</v>
      </c>
      <c r="E270" s="102" t="s">
        <v>540</v>
      </c>
      <c r="F270" s="102" t="s">
        <v>524</v>
      </c>
      <c r="G270" s="102" t="s">
        <v>556</v>
      </c>
      <c r="H270" s="102" t="s">
        <v>551</v>
      </c>
      <c r="I270" s="102" t="s">
        <v>541</v>
      </c>
      <c r="J270" s="102" t="s">
        <v>558</v>
      </c>
      <c r="K270" s="102" t="s">
        <v>141</v>
      </c>
      <c r="L270" s="102" t="s">
        <v>542</v>
      </c>
      <c r="M270" s="102" t="s">
        <v>553</v>
      </c>
      <c r="N270" s="102" t="s">
        <v>532</v>
      </c>
      <c r="O270" s="102" t="s">
        <v>554</v>
      </c>
      <c r="P270" s="102" t="s">
        <v>563</v>
      </c>
      <c r="Q270" s="102" t="s">
        <v>544</v>
      </c>
      <c r="R270" s="102" t="s">
        <v>545</v>
      </c>
      <c r="S270" s="102" t="s">
        <v>565</v>
      </c>
      <c r="T270" s="102" t="s">
        <v>537</v>
      </c>
      <c r="U270" s="102" t="s">
        <v>548</v>
      </c>
      <c r="V270" s="102" t="s">
        <v>81</v>
      </c>
      <c r="W270" s="102" t="s">
        <v>549</v>
      </c>
      <c r="X270" s="104">
        <v>7</v>
      </c>
      <c r="Y270" s="104">
        <v>4</v>
      </c>
      <c r="Z270" s="104">
        <v>5</v>
      </c>
      <c r="AA270" s="104">
        <v>3</v>
      </c>
      <c r="AB270" s="104">
        <v>6</v>
      </c>
      <c r="AC270" s="104">
        <v>6</v>
      </c>
      <c r="AD270" s="104">
        <v>5</v>
      </c>
      <c r="AE270" s="104">
        <v>2</v>
      </c>
      <c r="AF270" s="104">
        <v>4</v>
      </c>
      <c r="AG270" s="104">
        <v>3</v>
      </c>
      <c r="AH270" s="104">
        <v>5</v>
      </c>
      <c r="AI270" s="104">
        <v>3</v>
      </c>
      <c r="AJ270" s="104">
        <v>7</v>
      </c>
      <c r="AK270" s="104">
        <v>5</v>
      </c>
      <c r="AL270" s="104">
        <v>4</v>
      </c>
      <c r="AM270" s="104">
        <v>3</v>
      </c>
      <c r="AN270" s="104">
        <v>4</v>
      </c>
      <c r="AO270" s="104">
        <v>3</v>
      </c>
      <c r="AP270" s="104">
        <v>4</v>
      </c>
      <c r="AQ270" s="104">
        <v>7</v>
      </c>
    </row>
    <row r="271" spans="1:43" x14ac:dyDescent="0.35">
      <c r="A271" s="52">
        <v>268</v>
      </c>
      <c r="B271" s="52" t="s">
        <v>688</v>
      </c>
      <c r="C271" s="93"/>
      <c r="D271" s="102" t="s">
        <v>578</v>
      </c>
      <c r="E271" s="102" t="s">
        <v>523</v>
      </c>
      <c r="F271" s="102" t="s">
        <v>524</v>
      </c>
      <c r="G271" s="102" t="s">
        <v>556</v>
      </c>
      <c r="H271" s="102" t="s">
        <v>561</v>
      </c>
      <c r="I271" s="102" t="s">
        <v>552</v>
      </c>
      <c r="J271" s="102" t="s">
        <v>558</v>
      </c>
      <c r="K271" s="102" t="s">
        <v>529</v>
      </c>
      <c r="L271" s="102" t="s">
        <v>542</v>
      </c>
      <c r="M271" s="102" t="s">
        <v>531</v>
      </c>
      <c r="N271" s="102" t="s">
        <v>532</v>
      </c>
      <c r="O271" s="102" t="s">
        <v>554</v>
      </c>
      <c r="P271" s="102" t="s">
        <v>534</v>
      </c>
      <c r="Q271" s="102" t="s">
        <v>544</v>
      </c>
      <c r="R271" s="102" t="s">
        <v>567</v>
      </c>
      <c r="S271" s="102" t="s">
        <v>536</v>
      </c>
      <c r="T271" s="102" t="s">
        <v>547</v>
      </c>
      <c r="U271" s="102" t="s">
        <v>154</v>
      </c>
      <c r="V271" s="102" t="s">
        <v>155</v>
      </c>
      <c r="W271" s="102" t="s">
        <v>555</v>
      </c>
      <c r="X271" s="104">
        <v>8</v>
      </c>
      <c r="Y271" s="104">
        <v>6</v>
      </c>
      <c r="Z271" s="104">
        <v>5</v>
      </c>
      <c r="AA271" s="104">
        <v>2</v>
      </c>
      <c r="AB271" s="104">
        <v>4</v>
      </c>
      <c r="AC271" s="104">
        <v>5</v>
      </c>
      <c r="AD271" s="104">
        <v>6</v>
      </c>
      <c r="AE271" s="104">
        <v>3</v>
      </c>
      <c r="AF271" s="104">
        <v>3</v>
      </c>
      <c r="AG271" s="104">
        <v>8</v>
      </c>
      <c r="AH271" s="104">
        <v>5</v>
      </c>
      <c r="AI271" s="104">
        <v>2</v>
      </c>
      <c r="AJ271" s="104">
        <v>4</v>
      </c>
      <c r="AK271" s="104">
        <v>4</v>
      </c>
      <c r="AL271" s="104">
        <v>7</v>
      </c>
      <c r="AM271" s="104">
        <v>6</v>
      </c>
      <c r="AN271" s="104">
        <v>3</v>
      </c>
      <c r="AO271" s="104">
        <v>1</v>
      </c>
      <c r="AP271" s="104">
        <v>3</v>
      </c>
      <c r="AQ271" s="104">
        <v>5</v>
      </c>
    </row>
    <row r="272" spans="1:43" x14ac:dyDescent="0.35">
      <c r="A272" s="52">
        <v>269</v>
      </c>
      <c r="B272" s="52" t="s">
        <v>978</v>
      </c>
      <c r="C272" s="93"/>
      <c r="D272" s="52" t="s">
        <v>522</v>
      </c>
      <c r="E272" s="52" t="s">
        <v>540</v>
      </c>
      <c r="F272" s="52" t="s">
        <v>148</v>
      </c>
      <c r="G272" s="52" t="s">
        <v>138</v>
      </c>
      <c r="H272" s="52" t="s">
        <v>551</v>
      </c>
      <c r="I272" s="52" t="s">
        <v>552</v>
      </c>
      <c r="J272" s="52" t="s">
        <v>140</v>
      </c>
      <c r="K272" s="52" t="s">
        <v>529</v>
      </c>
      <c r="L272" s="52" t="s">
        <v>542</v>
      </c>
      <c r="M272" s="52" t="s">
        <v>553</v>
      </c>
      <c r="N272" s="52" t="s">
        <v>532</v>
      </c>
      <c r="O272" s="52" t="s">
        <v>554</v>
      </c>
      <c r="P272" s="52" t="s">
        <v>543</v>
      </c>
      <c r="Q272" s="52" t="s">
        <v>544</v>
      </c>
      <c r="R272" s="52" t="s">
        <v>545</v>
      </c>
      <c r="S272" s="52" t="s">
        <v>536</v>
      </c>
      <c r="T272" s="52" t="s">
        <v>557</v>
      </c>
      <c r="U272" s="52" t="s">
        <v>538</v>
      </c>
      <c r="V272" s="52" t="s">
        <v>155</v>
      </c>
      <c r="W272" s="52" t="s">
        <v>549</v>
      </c>
      <c r="X272" s="104">
        <v>5</v>
      </c>
      <c r="Y272" s="104">
        <v>4</v>
      </c>
      <c r="Z272" s="104">
        <v>4</v>
      </c>
      <c r="AA272" s="104">
        <v>1</v>
      </c>
      <c r="AB272" s="104">
        <v>6</v>
      </c>
      <c r="AC272" s="104">
        <v>5</v>
      </c>
      <c r="AD272" s="104">
        <v>3</v>
      </c>
      <c r="AE272" s="104">
        <v>3</v>
      </c>
      <c r="AF272" s="104">
        <v>3</v>
      </c>
      <c r="AG272" s="104">
        <v>4</v>
      </c>
      <c r="AH272" s="104">
        <v>6</v>
      </c>
      <c r="AI272" s="104">
        <v>3</v>
      </c>
      <c r="AJ272" s="104">
        <v>5</v>
      </c>
      <c r="AK272" s="104">
        <v>6</v>
      </c>
      <c r="AL272" s="104">
        <v>5</v>
      </c>
      <c r="AM272" s="104">
        <v>7</v>
      </c>
      <c r="AN272" s="104">
        <v>7</v>
      </c>
      <c r="AO272" s="104">
        <v>4</v>
      </c>
      <c r="AP272" s="104">
        <v>2</v>
      </c>
      <c r="AQ272" s="104">
        <v>7</v>
      </c>
    </row>
    <row r="273" spans="1:43" x14ac:dyDescent="0.35">
      <c r="A273" s="52">
        <v>270</v>
      </c>
      <c r="B273" s="52" t="s">
        <v>1175</v>
      </c>
      <c r="C273" s="93"/>
      <c r="D273" s="52" t="s">
        <v>539</v>
      </c>
      <c r="E273" s="52" t="s">
        <v>540</v>
      </c>
      <c r="F273" s="52" t="s">
        <v>524</v>
      </c>
      <c r="G273" s="52" t="s">
        <v>525</v>
      </c>
      <c r="H273" s="52" t="s">
        <v>561</v>
      </c>
      <c r="I273" s="52" t="s">
        <v>541</v>
      </c>
      <c r="J273" s="52" t="s">
        <v>558</v>
      </c>
      <c r="K273" s="52" t="s">
        <v>529</v>
      </c>
      <c r="L273" s="52" t="s">
        <v>542</v>
      </c>
      <c r="M273" s="52" t="s">
        <v>553</v>
      </c>
      <c r="N273" s="52" t="s">
        <v>142</v>
      </c>
      <c r="O273" s="52" t="s">
        <v>579</v>
      </c>
      <c r="P273" s="52" t="s">
        <v>563</v>
      </c>
      <c r="Q273" s="52" t="s">
        <v>544</v>
      </c>
      <c r="R273" s="52" t="s">
        <v>545</v>
      </c>
      <c r="S273" s="52" t="s">
        <v>565</v>
      </c>
      <c r="T273" s="52" t="s">
        <v>537</v>
      </c>
      <c r="U273" s="52" t="s">
        <v>548</v>
      </c>
      <c r="V273" s="52" t="s">
        <v>81</v>
      </c>
      <c r="W273" s="52" t="s">
        <v>549</v>
      </c>
      <c r="X273" s="104">
        <v>6</v>
      </c>
      <c r="Y273" s="104">
        <v>3</v>
      </c>
      <c r="Z273" s="104">
        <v>5</v>
      </c>
      <c r="AA273" s="104">
        <v>6</v>
      </c>
      <c r="AB273" s="104">
        <v>4</v>
      </c>
      <c r="AC273" s="104">
        <v>6</v>
      </c>
      <c r="AD273" s="104">
        <v>4</v>
      </c>
      <c r="AE273" s="104">
        <v>3</v>
      </c>
      <c r="AF273" s="104">
        <v>3</v>
      </c>
      <c r="AG273" s="104">
        <v>4</v>
      </c>
      <c r="AH273" s="104">
        <v>2</v>
      </c>
      <c r="AI273" s="104">
        <v>6</v>
      </c>
      <c r="AJ273" s="104">
        <v>8</v>
      </c>
      <c r="AK273" s="104">
        <v>4</v>
      </c>
      <c r="AL273" s="104">
        <v>5</v>
      </c>
      <c r="AM273" s="104">
        <v>2</v>
      </c>
      <c r="AN273" s="104">
        <v>4</v>
      </c>
      <c r="AO273" s="104">
        <v>3</v>
      </c>
      <c r="AP273" s="104">
        <v>5</v>
      </c>
      <c r="AQ273" s="104">
        <v>7</v>
      </c>
    </row>
    <row r="274" spans="1:43" x14ac:dyDescent="0.35">
      <c r="A274" s="52">
        <v>271</v>
      </c>
      <c r="B274" s="52" t="s">
        <v>998</v>
      </c>
      <c r="C274" s="93"/>
      <c r="D274" s="52" t="s">
        <v>539</v>
      </c>
      <c r="E274" s="52" t="s">
        <v>540</v>
      </c>
      <c r="F274" s="52" t="s">
        <v>148</v>
      </c>
      <c r="G274" s="52" t="s">
        <v>138</v>
      </c>
      <c r="H274" s="52" t="s">
        <v>551</v>
      </c>
      <c r="I274" s="52" t="s">
        <v>552</v>
      </c>
      <c r="J274" s="52" t="s">
        <v>558</v>
      </c>
      <c r="K274" s="52" t="s">
        <v>529</v>
      </c>
      <c r="L274" s="52" t="s">
        <v>152</v>
      </c>
      <c r="M274" s="52" t="s">
        <v>553</v>
      </c>
      <c r="N274" s="52" t="s">
        <v>562</v>
      </c>
      <c r="O274" s="52" t="s">
        <v>554</v>
      </c>
      <c r="P274" s="52" t="s">
        <v>543</v>
      </c>
      <c r="Q274" s="52" t="s">
        <v>544</v>
      </c>
      <c r="R274" s="52" t="s">
        <v>567</v>
      </c>
      <c r="S274" s="52" t="s">
        <v>536</v>
      </c>
      <c r="T274" s="52" t="s">
        <v>537</v>
      </c>
      <c r="U274" s="52" t="s">
        <v>538</v>
      </c>
      <c r="V274" s="52" t="s">
        <v>155</v>
      </c>
      <c r="W274" s="52" t="s">
        <v>549</v>
      </c>
      <c r="X274" s="104">
        <v>6</v>
      </c>
      <c r="Y274" s="104">
        <v>4</v>
      </c>
      <c r="Z274" s="104">
        <v>3</v>
      </c>
      <c r="AA274" s="104">
        <v>0</v>
      </c>
      <c r="AB274" s="104">
        <v>7</v>
      </c>
      <c r="AC274" s="104">
        <v>4</v>
      </c>
      <c r="AD274" s="104">
        <v>5</v>
      </c>
      <c r="AE274" s="104">
        <v>5</v>
      </c>
      <c r="AF274" s="104">
        <v>2</v>
      </c>
      <c r="AG274" s="104">
        <v>4</v>
      </c>
      <c r="AH274" s="104">
        <v>4</v>
      </c>
      <c r="AI274" s="104">
        <v>3</v>
      </c>
      <c r="AJ274" s="104">
        <v>6</v>
      </c>
      <c r="AK274" s="104">
        <v>5</v>
      </c>
      <c r="AL274" s="104">
        <v>7</v>
      </c>
      <c r="AM274" s="104">
        <v>6</v>
      </c>
      <c r="AN274" s="104">
        <v>5</v>
      </c>
      <c r="AO274" s="104">
        <v>4</v>
      </c>
      <c r="AP274" s="104">
        <v>3</v>
      </c>
      <c r="AQ274" s="104">
        <v>7</v>
      </c>
    </row>
    <row r="275" spans="1:43" x14ac:dyDescent="0.35">
      <c r="A275" s="52">
        <v>272</v>
      </c>
      <c r="B275" s="52" t="s">
        <v>1018</v>
      </c>
      <c r="C275" s="93"/>
      <c r="D275" s="52" t="s">
        <v>147</v>
      </c>
      <c r="E275" s="52" t="s">
        <v>540</v>
      </c>
      <c r="F275" s="52" t="s">
        <v>524</v>
      </c>
      <c r="G275" s="52" t="s">
        <v>550</v>
      </c>
      <c r="H275" s="52" t="s">
        <v>560</v>
      </c>
      <c r="I275" s="52" t="s">
        <v>527</v>
      </c>
      <c r="J275" s="52" t="s">
        <v>140</v>
      </c>
      <c r="K275" s="52" t="s">
        <v>529</v>
      </c>
      <c r="L275" s="52" t="s">
        <v>542</v>
      </c>
      <c r="M275" s="52" t="s">
        <v>553</v>
      </c>
      <c r="N275" s="52" t="s">
        <v>532</v>
      </c>
      <c r="O275" s="52" t="s">
        <v>571</v>
      </c>
      <c r="P275" s="52" t="s">
        <v>543</v>
      </c>
      <c r="Q275" s="52" t="s">
        <v>544</v>
      </c>
      <c r="R275" s="52" t="s">
        <v>545</v>
      </c>
      <c r="S275" s="52" t="s">
        <v>546</v>
      </c>
      <c r="T275" s="52" t="s">
        <v>537</v>
      </c>
      <c r="U275" s="52" t="s">
        <v>548</v>
      </c>
      <c r="V275" s="52" t="s">
        <v>155</v>
      </c>
      <c r="W275" s="52" t="s">
        <v>549</v>
      </c>
      <c r="X275" s="104">
        <v>2</v>
      </c>
      <c r="Y275" s="104">
        <v>4</v>
      </c>
      <c r="Z275" s="104">
        <v>5</v>
      </c>
      <c r="AA275" s="104">
        <v>4</v>
      </c>
      <c r="AB275" s="104">
        <v>8</v>
      </c>
      <c r="AC275" s="104">
        <v>3</v>
      </c>
      <c r="AD275" s="104">
        <v>1</v>
      </c>
      <c r="AE275" s="104">
        <v>6</v>
      </c>
      <c r="AF275" s="104">
        <v>5</v>
      </c>
      <c r="AG275" s="104">
        <v>4</v>
      </c>
      <c r="AH275" s="104">
        <v>5</v>
      </c>
      <c r="AI275" s="104">
        <v>4</v>
      </c>
      <c r="AJ275" s="104">
        <v>6</v>
      </c>
      <c r="AK275" s="104">
        <v>5</v>
      </c>
      <c r="AL275" s="104">
        <v>5</v>
      </c>
      <c r="AM275" s="104">
        <v>5</v>
      </c>
      <c r="AN275" s="104">
        <v>6</v>
      </c>
      <c r="AO275" s="104">
        <v>3</v>
      </c>
      <c r="AP275" s="104">
        <v>2</v>
      </c>
      <c r="AQ275" s="104">
        <v>7</v>
      </c>
    </row>
    <row r="276" spans="1:43" x14ac:dyDescent="0.35">
      <c r="A276" s="52">
        <v>273</v>
      </c>
      <c r="B276" s="52" t="s">
        <v>1178</v>
      </c>
      <c r="C276" s="93"/>
      <c r="D276" s="52" t="s">
        <v>539</v>
      </c>
      <c r="E276" s="52" t="s">
        <v>523</v>
      </c>
      <c r="F276" s="52" t="s">
        <v>524</v>
      </c>
      <c r="G276" s="52" t="s">
        <v>556</v>
      </c>
      <c r="H276" s="52" t="s">
        <v>561</v>
      </c>
      <c r="I276" s="52" t="s">
        <v>552</v>
      </c>
      <c r="J276" s="52" t="s">
        <v>140</v>
      </c>
      <c r="K276" s="52" t="s">
        <v>529</v>
      </c>
      <c r="L276" s="52" t="s">
        <v>542</v>
      </c>
      <c r="M276" s="52" t="s">
        <v>553</v>
      </c>
      <c r="N276" s="52" t="s">
        <v>532</v>
      </c>
      <c r="O276" s="52" t="s">
        <v>571</v>
      </c>
      <c r="P276" s="52" t="s">
        <v>543</v>
      </c>
      <c r="Q276" s="52" t="s">
        <v>535</v>
      </c>
      <c r="R276" s="52" t="s">
        <v>545</v>
      </c>
      <c r="S276" s="52" t="s">
        <v>536</v>
      </c>
      <c r="T276" s="52" t="s">
        <v>537</v>
      </c>
      <c r="U276" s="52" t="s">
        <v>548</v>
      </c>
      <c r="V276" s="52" t="s">
        <v>155</v>
      </c>
      <c r="W276" s="52" t="s">
        <v>555</v>
      </c>
      <c r="X276" s="104">
        <v>6</v>
      </c>
      <c r="Y276" s="104">
        <v>5</v>
      </c>
      <c r="Z276" s="104">
        <v>7</v>
      </c>
      <c r="AA276" s="104">
        <v>3</v>
      </c>
      <c r="AB276" s="104">
        <v>4</v>
      </c>
      <c r="AC276" s="104">
        <v>5</v>
      </c>
      <c r="AD276" s="104">
        <v>2</v>
      </c>
      <c r="AE276" s="104">
        <v>4</v>
      </c>
      <c r="AF276" s="104">
        <v>3</v>
      </c>
      <c r="AG276" s="104">
        <v>4</v>
      </c>
      <c r="AH276" s="104">
        <v>7</v>
      </c>
      <c r="AI276" s="104">
        <v>4</v>
      </c>
      <c r="AJ276" s="104">
        <v>6</v>
      </c>
      <c r="AK276" s="104">
        <v>3</v>
      </c>
      <c r="AL276" s="104">
        <v>4</v>
      </c>
      <c r="AM276" s="104">
        <v>7</v>
      </c>
      <c r="AN276" s="104">
        <v>6</v>
      </c>
      <c r="AO276" s="104">
        <v>2</v>
      </c>
      <c r="AP276" s="104">
        <v>3</v>
      </c>
      <c r="AQ276" s="104">
        <v>5</v>
      </c>
    </row>
    <row r="277" spans="1:43" x14ac:dyDescent="0.35">
      <c r="A277" s="52">
        <v>274</v>
      </c>
      <c r="B277" s="52" t="s">
        <v>1253</v>
      </c>
      <c r="C277" s="93"/>
      <c r="D277" s="52" t="s">
        <v>539</v>
      </c>
      <c r="E277" s="52" t="s">
        <v>523</v>
      </c>
      <c r="F277" s="52" t="s">
        <v>148</v>
      </c>
      <c r="G277" s="52" t="s">
        <v>556</v>
      </c>
      <c r="H277" s="52" t="s">
        <v>561</v>
      </c>
      <c r="I277" s="52" t="s">
        <v>552</v>
      </c>
      <c r="J277" s="52" t="s">
        <v>558</v>
      </c>
      <c r="K277" s="52" t="s">
        <v>529</v>
      </c>
      <c r="L277" s="52" t="s">
        <v>530</v>
      </c>
      <c r="M277" s="52" t="s">
        <v>531</v>
      </c>
      <c r="N277" s="52" t="s">
        <v>532</v>
      </c>
      <c r="O277" s="52" t="s">
        <v>571</v>
      </c>
      <c r="P277" s="52" t="s">
        <v>543</v>
      </c>
      <c r="Q277" s="52" t="s">
        <v>544</v>
      </c>
      <c r="R277" s="52" t="s">
        <v>545</v>
      </c>
      <c r="S277" s="52" t="s">
        <v>546</v>
      </c>
      <c r="T277" s="52" t="s">
        <v>547</v>
      </c>
      <c r="U277" s="52" t="s">
        <v>154</v>
      </c>
      <c r="V277" s="52" t="s">
        <v>155</v>
      </c>
      <c r="W277" s="52" t="s">
        <v>555</v>
      </c>
      <c r="X277" s="104">
        <v>7</v>
      </c>
      <c r="Y277" s="104">
        <v>6</v>
      </c>
      <c r="Z277" s="104">
        <v>4</v>
      </c>
      <c r="AA277" s="104">
        <v>2</v>
      </c>
      <c r="AB277" s="104">
        <v>4</v>
      </c>
      <c r="AC277" s="104">
        <v>4</v>
      </c>
      <c r="AD277" s="104">
        <v>4</v>
      </c>
      <c r="AE277" s="104">
        <v>3</v>
      </c>
      <c r="AF277" s="104">
        <v>6</v>
      </c>
      <c r="AG277" s="104">
        <v>6</v>
      </c>
      <c r="AH277" s="104">
        <v>8</v>
      </c>
      <c r="AI277" s="104">
        <v>4</v>
      </c>
      <c r="AJ277" s="104">
        <v>5</v>
      </c>
      <c r="AK277" s="104">
        <v>6</v>
      </c>
      <c r="AL277" s="104">
        <v>4</v>
      </c>
      <c r="AM277" s="104">
        <v>5</v>
      </c>
      <c r="AN277" s="104">
        <v>3</v>
      </c>
      <c r="AO277" s="104">
        <v>1</v>
      </c>
      <c r="AP277" s="104">
        <v>3</v>
      </c>
      <c r="AQ277" s="104">
        <v>5</v>
      </c>
    </row>
    <row r="278" spans="1:43" x14ac:dyDescent="0.35">
      <c r="A278" s="52">
        <v>275</v>
      </c>
      <c r="B278" s="52" t="s">
        <v>284</v>
      </c>
      <c r="C278" s="93"/>
      <c r="D278" s="102" t="s">
        <v>539</v>
      </c>
      <c r="E278" s="102" t="s">
        <v>540</v>
      </c>
      <c r="F278" s="102" t="s">
        <v>148</v>
      </c>
      <c r="G278" s="102" t="s">
        <v>525</v>
      </c>
      <c r="H278" s="102" t="s">
        <v>561</v>
      </c>
      <c r="I278" s="102" t="s">
        <v>527</v>
      </c>
      <c r="J278" s="102" t="s">
        <v>558</v>
      </c>
      <c r="K278" s="102" t="s">
        <v>141</v>
      </c>
      <c r="L278" s="102" t="s">
        <v>542</v>
      </c>
      <c r="M278" s="102" t="s">
        <v>553</v>
      </c>
      <c r="N278" s="102" t="s">
        <v>562</v>
      </c>
      <c r="O278" s="102" t="s">
        <v>554</v>
      </c>
      <c r="P278" s="102" t="s">
        <v>543</v>
      </c>
      <c r="Q278" s="102" t="s">
        <v>544</v>
      </c>
      <c r="R278" s="102" t="s">
        <v>567</v>
      </c>
      <c r="S278" s="102" t="s">
        <v>568</v>
      </c>
      <c r="T278" s="102" t="s">
        <v>547</v>
      </c>
      <c r="U278" s="102" t="s">
        <v>538</v>
      </c>
      <c r="V278" s="102" t="s">
        <v>155</v>
      </c>
      <c r="W278" s="102" t="s">
        <v>555</v>
      </c>
      <c r="X278" s="104">
        <v>6</v>
      </c>
      <c r="Y278" s="104">
        <v>4</v>
      </c>
      <c r="Z278" s="104">
        <v>4</v>
      </c>
      <c r="AA278" s="104">
        <v>6</v>
      </c>
      <c r="AB278" s="104">
        <v>4</v>
      </c>
      <c r="AC278" s="104">
        <v>3</v>
      </c>
      <c r="AD278" s="104">
        <v>5</v>
      </c>
      <c r="AE278" s="104">
        <v>2</v>
      </c>
      <c r="AF278" s="104">
        <v>5</v>
      </c>
      <c r="AG278" s="104">
        <v>3</v>
      </c>
      <c r="AH278" s="104">
        <v>3</v>
      </c>
      <c r="AI278" s="104">
        <v>3</v>
      </c>
      <c r="AJ278" s="104">
        <v>6</v>
      </c>
      <c r="AK278" s="104">
        <v>6</v>
      </c>
      <c r="AL278" s="104">
        <v>7</v>
      </c>
      <c r="AM278" s="104">
        <v>8</v>
      </c>
      <c r="AN278" s="104">
        <v>3</v>
      </c>
      <c r="AO278" s="104">
        <v>5</v>
      </c>
      <c r="AP278" s="104">
        <v>2</v>
      </c>
      <c r="AQ278" s="104">
        <v>5</v>
      </c>
    </row>
    <row r="279" spans="1:43" x14ac:dyDescent="0.35">
      <c r="A279" s="52">
        <v>276</v>
      </c>
      <c r="B279" s="52" t="s">
        <v>1136</v>
      </c>
      <c r="C279" s="93"/>
      <c r="D279" s="52" t="s">
        <v>522</v>
      </c>
      <c r="E279" s="52" t="s">
        <v>523</v>
      </c>
      <c r="F279" s="52" t="s">
        <v>148</v>
      </c>
      <c r="G279" s="52" t="s">
        <v>570</v>
      </c>
      <c r="H279" s="52" t="s">
        <v>551</v>
      </c>
      <c r="I279" s="52" t="s">
        <v>552</v>
      </c>
      <c r="J279" s="52" t="s">
        <v>140</v>
      </c>
      <c r="K279" s="52" t="s">
        <v>529</v>
      </c>
      <c r="L279" s="52" t="s">
        <v>542</v>
      </c>
      <c r="M279" s="52" t="s">
        <v>553</v>
      </c>
      <c r="N279" s="52" t="s">
        <v>562</v>
      </c>
      <c r="O279" s="52" t="s">
        <v>571</v>
      </c>
      <c r="P279" s="52" t="s">
        <v>543</v>
      </c>
      <c r="Q279" s="52" t="s">
        <v>544</v>
      </c>
      <c r="R279" s="52" t="s">
        <v>567</v>
      </c>
      <c r="S279" s="52" t="s">
        <v>546</v>
      </c>
      <c r="T279" s="52" t="s">
        <v>547</v>
      </c>
      <c r="U279" s="52" t="s">
        <v>538</v>
      </c>
      <c r="V279" s="52" t="s">
        <v>155</v>
      </c>
      <c r="W279" s="52" t="s">
        <v>549</v>
      </c>
      <c r="X279" s="104">
        <v>5</v>
      </c>
      <c r="Y279" s="104">
        <v>6</v>
      </c>
      <c r="Z279" s="104">
        <v>3</v>
      </c>
      <c r="AA279" s="104">
        <v>5</v>
      </c>
      <c r="AB279" s="104">
        <v>7</v>
      </c>
      <c r="AC279" s="104">
        <v>4</v>
      </c>
      <c r="AD279" s="104">
        <v>3</v>
      </c>
      <c r="AE279" s="104">
        <v>4</v>
      </c>
      <c r="AF279" s="104">
        <v>3</v>
      </c>
      <c r="AG279" s="104">
        <v>4</v>
      </c>
      <c r="AH279" s="104">
        <v>4</v>
      </c>
      <c r="AI279" s="104">
        <v>4</v>
      </c>
      <c r="AJ279" s="104">
        <v>5</v>
      </c>
      <c r="AK279" s="104">
        <v>5</v>
      </c>
      <c r="AL279" s="104">
        <v>6</v>
      </c>
      <c r="AM279" s="104">
        <v>4</v>
      </c>
      <c r="AN279" s="104">
        <v>3</v>
      </c>
      <c r="AO279" s="104">
        <v>5</v>
      </c>
      <c r="AP279" s="104">
        <v>3</v>
      </c>
      <c r="AQ279" s="104">
        <v>7</v>
      </c>
    </row>
    <row r="280" spans="1:43" x14ac:dyDescent="0.35">
      <c r="A280" s="52">
        <v>277</v>
      </c>
      <c r="B280" s="52" t="s">
        <v>1216</v>
      </c>
      <c r="C280" s="93"/>
      <c r="D280" s="52" t="s">
        <v>522</v>
      </c>
      <c r="E280" s="52" t="s">
        <v>569</v>
      </c>
      <c r="F280" s="52" t="s">
        <v>148</v>
      </c>
      <c r="G280" s="52" t="s">
        <v>570</v>
      </c>
      <c r="H280" s="52" t="s">
        <v>551</v>
      </c>
      <c r="I280" s="52" t="s">
        <v>552</v>
      </c>
      <c r="J280" s="52" t="s">
        <v>140</v>
      </c>
      <c r="K280" s="52" t="s">
        <v>141</v>
      </c>
      <c r="L280" s="52" t="s">
        <v>542</v>
      </c>
      <c r="M280" s="52" t="s">
        <v>531</v>
      </c>
      <c r="N280" s="52" t="s">
        <v>562</v>
      </c>
      <c r="O280" s="52" t="s">
        <v>554</v>
      </c>
      <c r="P280" s="52" t="s">
        <v>534</v>
      </c>
      <c r="Q280" s="52" t="s">
        <v>564</v>
      </c>
      <c r="R280" s="52" t="s">
        <v>567</v>
      </c>
      <c r="S280" s="52" t="s">
        <v>546</v>
      </c>
      <c r="T280" s="52" t="s">
        <v>547</v>
      </c>
      <c r="U280" s="52" t="s">
        <v>538</v>
      </c>
      <c r="V280" s="52" t="s">
        <v>155</v>
      </c>
      <c r="W280" s="52" t="s">
        <v>549</v>
      </c>
      <c r="X280" s="104">
        <v>3</v>
      </c>
      <c r="Y280" s="104">
        <v>8</v>
      </c>
      <c r="Z280" s="104">
        <v>4</v>
      </c>
      <c r="AA280" s="104">
        <v>5</v>
      </c>
      <c r="AB280" s="104">
        <v>6</v>
      </c>
      <c r="AC280" s="104">
        <v>5</v>
      </c>
      <c r="AD280" s="104">
        <v>3</v>
      </c>
      <c r="AE280" s="104">
        <v>2</v>
      </c>
      <c r="AF280" s="104">
        <v>5</v>
      </c>
      <c r="AG280" s="104">
        <v>6</v>
      </c>
      <c r="AH280" s="104">
        <v>4</v>
      </c>
      <c r="AI280" s="104">
        <v>3</v>
      </c>
      <c r="AJ280" s="104">
        <v>3</v>
      </c>
      <c r="AK280" s="104">
        <v>7</v>
      </c>
      <c r="AL280" s="104">
        <v>6</v>
      </c>
      <c r="AM280" s="104">
        <v>4</v>
      </c>
      <c r="AN280" s="104">
        <v>2</v>
      </c>
      <c r="AO280" s="104">
        <v>4</v>
      </c>
      <c r="AP280" s="104">
        <v>3</v>
      </c>
      <c r="AQ280" s="104">
        <v>7</v>
      </c>
    </row>
    <row r="281" spans="1:43" x14ac:dyDescent="0.35">
      <c r="A281" s="52">
        <v>278</v>
      </c>
      <c r="B281" s="52" t="s">
        <v>1171</v>
      </c>
      <c r="C281" s="93"/>
      <c r="D281" s="52" t="s">
        <v>522</v>
      </c>
      <c r="E281" s="52" t="s">
        <v>540</v>
      </c>
      <c r="F281" s="52" t="s">
        <v>148</v>
      </c>
      <c r="G281" s="52" t="s">
        <v>556</v>
      </c>
      <c r="H281" s="52" t="s">
        <v>551</v>
      </c>
      <c r="I281" s="52" t="s">
        <v>552</v>
      </c>
      <c r="J281" s="52" t="s">
        <v>558</v>
      </c>
      <c r="K281" s="52" t="s">
        <v>529</v>
      </c>
      <c r="L281" s="52" t="s">
        <v>152</v>
      </c>
      <c r="M281" s="52" t="s">
        <v>553</v>
      </c>
      <c r="N281" s="52" t="s">
        <v>532</v>
      </c>
      <c r="O281" s="52" t="s">
        <v>554</v>
      </c>
      <c r="P281" s="52" t="s">
        <v>543</v>
      </c>
      <c r="Q281" s="52" t="s">
        <v>544</v>
      </c>
      <c r="R281" s="52" t="s">
        <v>545</v>
      </c>
      <c r="S281" s="52" t="s">
        <v>568</v>
      </c>
      <c r="T281" s="52" t="s">
        <v>537</v>
      </c>
      <c r="U281" s="52" t="s">
        <v>538</v>
      </c>
      <c r="V281" s="52" t="s">
        <v>155</v>
      </c>
      <c r="W281" s="52" t="s">
        <v>555</v>
      </c>
      <c r="X281" s="104">
        <v>5</v>
      </c>
      <c r="Y281" s="104">
        <v>3</v>
      </c>
      <c r="Z281" s="104">
        <v>4</v>
      </c>
      <c r="AA281" s="104">
        <v>3</v>
      </c>
      <c r="AB281" s="104">
        <v>7</v>
      </c>
      <c r="AC281" s="104">
        <v>5</v>
      </c>
      <c r="AD281" s="104">
        <v>4</v>
      </c>
      <c r="AE281" s="104">
        <v>4</v>
      </c>
      <c r="AF281" s="104">
        <v>1</v>
      </c>
      <c r="AG281" s="104">
        <v>5</v>
      </c>
      <c r="AH281" s="104">
        <v>5</v>
      </c>
      <c r="AI281" s="104">
        <v>3</v>
      </c>
      <c r="AJ281" s="104">
        <v>6</v>
      </c>
      <c r="AK281" s="104">
        <v>5</v>
      </c>
      <c r="AL281" s="104">
        <v>4</v>
      </c>
      <c r="AM281" s="104">
        <v>8</v>
      </c>
      <c r="AN281" s="104">
        <v>6</v>
      </c>
      <c r="AO281" s="104">
        <v>4</v>
      </c>
      <c r="AP281" s="104">
        <v>3</v>
      </c>
      <c r="AQ281" s="104">
        <v>5</v>
      </c>
    </row>
    <row r="282" spans="1:43" x14ac:dyDescent="0.35">
      <c r="A282" s="52">
        <v>279</v>
      </c>
      <c r="B282" s="52" t="s">
        <v>303</v>
      </c>
      <c r="C282" s="93"/>
      <c r="D282" s="102" t="s">
        <v>522</v>
      </c>
      <c r="E282" s="102" t="s">
        <v>523</v>
      </c>
      <c r="F282" s="102" t="s">
        <v>148</v>
      </c>
      <c r="G282" s="102" t="s">
        <v>556</v>
      </c>
      <c r="H282" s="102" t="s">
        <v>526</v>
      </c>
      <c r="I282" s="102" t="s">
        <v>139</v>
      </c>
      <c r="J282" s="102" t="s">
        <v>140</v>
      </c>
      <c r="K282" s="102" t="s">
        <v>529</v>
      </c>
      <c r="L282" s="102" t="s">
        <v>542</v>
      </c>
      <c r="M282" s="102" t="s">
        <v>553</v>
      </c>
      <c r="N282" s="102" t="s">
        <v>532</v>
      </c>
      <c r="O282" s="102" t="s">
        <v>571</v>
      </c>
      <c r="P282" s="102" t="s">
        <v>543</v>
      </c>
      <c r="Q282" s="102" t="s">
        <v>544</v>
      </c>
      <c r="R282" s="102" t="s">
        <v>567</v>
      </c>
      <c r="S282" s="102" t="s">
        <v>536</v>
      </c>
      <c r="T282" s="102" t="s">
        <v>537</v>
      </c>
      <c r="U282" s="102" t="s">
        <v>538</v>
      </c>
      <c r="V282" s="102" t="s">
        <v>155</v>
      </c>
      <c r="W282" s="102" t="s">
        <v>549</v>
      </c>
      <c r="X282" s="104">
        <v>5</v>
      </c>
      <c r="Y282" s="104">
        <v>6</v>
      </c>
      <c r="Z282" s="104">
        <v>4</v>
      </c>
      <c r="AA282" s="104">
        <v>2</v>
      </c>
      <c r="AB282" s="104">
        <v>3</v>
      </c>
      <c r="AC282" s="104">
        <v>1</v>
      </c>
      <c r="AD282" s="104">
        <v>3</v>
      </c>
      <c r="AE282" s="104">
        <v>4</v>
      </c>
      <c r="AF282" s="104">
        <v>5</v>
      </c>
      <c r="AG282" s="104">
        <v>4</v>
      </c>
      <c r="AH282" s="104">
        <v>7</v>
      </c>
      <c r="AI282" s="104">
        <v>4</v>
      </c>
      <c r="AJ282" s="104">
        <v>5</v>
      </c>
      <c r="AK282" s="104">
        <v>6</v>
      </c>
      <c r="AL282" s="104">
        <v>6</v>
      </c>
      <c r="AM282" s="104">
        <v>7</v>
      </c>
      <c r="AN282" s="104">
        <v>5</v>
      </c>
      <c r="AO282" s="104">
        <v>4</v>
      </c>
      <c r="AP282" s="104">
        <v>3</v>
      </c>
      <c r="AQ282" s="104">
        <v>6</v>
      </c>
    </row>
    <row r="283" spans="1:43" x14ac:dyDescent="0.35">
      <c r="A283" s="52">
        <v>280</v>
      </c>
      <c r="B283" s="52" t="s">
        <v>679</v>
      </c>
      <c r="C283" s="93"/>
      <c r="D283" s="102" t="s">
        <v>539</v>
      </c>
      <c r="E283" s="102" t="s">
        <v>540</v>
      </c>
      <c r="F283" s="102" t="s">
        <v>524</v>
      </c>
      <c r="G283" s="102" t="s">
        <v>570</v>
      </c>
      <c r="H283" s="102" t="s">
        <v>566</v>
      </c>
      <c r="I283" s="102" t="s">
        <v>527</v>
      </c>
      <c r="J283" s="102" t="s">
        <v>558</v>
      </c>
      <c r="K283" s="102" t="s">
        <v>141</v>
      </c>
      <c r="L283" s="102" t="s">
        <v>530</v>
      </c>
      <c r="M283" s="102" t="s">
        <v>553</v>
      </c>
      <c r="N283" s="102" t="s">
        <v>562</v>
      </c>
      <c r="O283" s="102" t="s">
        <v>554</v>
      </c>
      <c r="P283" s="102" t="s">
        <v>543</v>
      </c>
      <c r="Q283" s="102" t="s">
        <v>544</v>
      </c>
      <c r="R283" s="102" t="s">
        <v>567</v>
      </c>
      <c r="S283" s="102" t="s">
        <v>546</v>
      </c>
      <c r="T283" s="102" t="s">
        <v>557</v>
      </c>
      <c r="U283" s="102" t="s">
        <v>538</v>
      </c>
      <c r="V283" s="102" t="s">
        <v>155</v>
      </c>
      <c r="W283" s="102" t="s">
        <v>555</v>
      </c>
      <c r="X283" s="104">
        <v>6</v>
      </c>
      <c r="Y283" s="104">
        <v>4</v>
      </c>
      <c r="Z283" s="104">
        <v>6</v>
      </c>
      <c r="AA283" s="104">
        <v>5</v>
      </c>
      <c r="AB283" s="104">
        <v>5</v>
      </c>
      <c r="AC283" s="104">
        <v>3</v>
      </c>
      <c r="AD283" s="104">
        <v>4</v>
      </c>
      <c r="AE283" s="104">
        <v>1</v>
      </c>
      <c r="AF283" s="104">
        <v>7</v>
      </c>
      <c r="AG283" s="104">
        <v>3</v>
      </c>
      <c r="AH283" s="104">
        <v>3</v>
      </c>
      <c r="AI283" s="104">
        <v>2</v>
      </c>
      <c r="AJ283" s="104">
        <v>6</v>
      </c>
      <c r="AK283" s="104">
        <v>5</v>
      </c>
      <c r="AL283" s="104">
        <v>7</v>
      </c>
      <c r="AM283" s="104">
        <v>5</v>
      </c>
      <c r="AN283" s="104">
        <v>7</v>
      </c>
      <c r="AO283" s="104">
        <v>5</v>
      </c>
      <c r="AP283" s="104">
        <v>2</v>
      </c>
      <c r="AQ283" s="104">
        <v>4</v>
      </c>
    </row>
    <row r="284" spans="1:43" x14ac:dyDescent="0.35">
      <c r="A284" s="52">
        <v>281</v>
      </c>
      <c r="B284" s="52" t="s">
        <v>924</v>
      </c>
      <c r="C284" s="93"/>
      <c r="D284" s="52" t="s">
        <v>539</v>
      </c>
      <c r="E284" s="52" t="s">
        <v>540</v>
      </c>
      <c r="F284" s="52" t="s">
        <v>148</v>
      </c>
      <c r="G284" s="52" t="s">
        <v>556</v>
      </c>
      <c r="H284" s="52" t="s">
        <v>561</v>
      </c>
      <c r="I284" s="52" t="s">
        <v>552</v>
      </c>
      <c r="J284" s="52" t="s">
        <v>140</v>
      </c>
      <c r="K284" s="52" t="s">
        <v>141</v>
      </c>
      <c r="L284" s="52" t="s">
        <v>542</v>
      </c>
      <c r="M284" s="52" t="s">
        <v>553</v>
      </c>
      <c r="N284" s="52" t="s">
        <v>532</v>
      </c>
      <c r="O284" s="52" t="s">
        <v>554</v>
      </c>
      <c r="P284" s="52" t="s">
        <v>543</v>
      </c>
      <c r="Q284" s="52" t="s">
        <v>544</v>
      </c>
      <c r="R284" s="52" t="s">
        <v>545</v>
      </c>
      <c r="S284" s="52" t="s">
        <v>568</v>
      </c>
      <c r="T284" s="52" t="s">
        <v>557</v>
      </c>
      <c r="U284" s="52" t="s">
        <v>576</v>
      </c>
      <c r="V284" s="52" t="s">
        <v>155</v>
      </c>
      <c r="W284" s="52" t="s">
        <v>555</v>
      </c>
      <c r="X284" s="104">
        <v>7</v>
      </c>
      <c r="Y284" s="104">
        <v>4</v>
      </c>
      <c r="Z284" s="104">
        <v>3</v>
      </c>
      <c r="AA284" s="104">
        <v>3</v>
      </c>
      <c r="AB284" s="104">
        <v>4</v>
      </c>
      <c r="AC284" s="104">
        <v>4</v>
      </c>
      <c r="AD284" s="104">
        <v>2</v>
      </c>
      <c r="AE284" s="104">
        <v>1</v>
      </c>
      <c r="AF284" s="104">
        <v>3</v>
      </c>
      <c r="AG284" s="104">
        <v>4</v>
      </c>
      <c r="AH284" s="104">
        <v>9</v>
      </c>
      <c r="AI284" s="104">
        <v>2</v>
      </c>
      <c r="AJ284" s="104">
        <v>6</v>
      </c>
      <c r="AK284" s="104">
        <v>4</v>
      </c>
      <c r="AL284" s="104">
        <v>4</v>
      </c>
      <c r="AM284" s="104">
        <v>8</v>
      </c>
      <c r="AN284" s="104">
        <v>8</v>
      </c>
      <c r="AO284" s="104">
        <v>7</v>
      </c>
      <c r="AP284" s="104">
        <v>2</v>
      </c>
      <c r="AQ284" s="104">
        <v>5</v>
      </c>
    </row>
    <row r="285" spans="1:43" x14ac:dyDescent="0.35">
      <c r="A285" s="52">
        <v>282</v>
      </c>
      <c r="B285" s="52" t="s">
        <v>1033</v>
      </c>
      <c r="C285" s="93"/>
      <c r="D285" s="52" t="s">
        <v>522</v>
      </c>
      <c r="E285" s="52" t="s">
        <v>523</v>
      </c>
      <c r="F285" s="52" t="s">
        <v>524</v>
      </c>
      <c r="G285" s="52" t="s">
        <v>138</v>
      </c>
      <c r="H285" s="52" t="s">
        <v>551</v>
      </c>
      <c r="I285" s="52" t="s">
        <v>527</v>
      </c>
      <c r="J285" s="52" t="s">
        <v>140</v>
      </c>
      <c r="K285" s="52" t="s">
        <v>529</v>
      </c>
      <c r="L285" s="52" t="s">
        <v>542</v>
      </c>
      <c r="M285" s="52" t="s">
        <v>531</v>
      </c>
      <c r="N285" s="52" t="s">
        <v>562</v>
      </c>
      <c r="O285" s="52" t="s">
        <v>554</v>
      </c>
      <c r="P285" s="52" t="s">
        <v>563</v>
      </c>
      <c r="Q285" s="52" t="s">
        <v>544</v>
      </c>
      <c r="R285" s="52" t="s">
        <v>545</v>
      </c>
      <c r="S285" s="52" t="s">
        <v>565</v>
      </c>
      <c r="T285" s="52" t="s">
        <v>537</v>
      </c>
      <c r="U285" s="52" t="s">
        <v>548</v>
      </c>
      <c r="V285" s="52" t="s">
        <v>81</v>
      </c>
      <c r="W285" s="52" t="s">
        <v>549</v>
      </c>
      <c r="X285" s="104">
        <v>5</v>
      </c>
      <c r="Y285" s="104">
        <v>7</v>
      </c>
      <c r="Z285" s="104">
        <v>5</v>
      </c>
      <c r="AA285" s="104">
        <v>1</v>
      </c>
      <c r="AB285" s="104">
        <v>7</v>
      </c>
      <c r="AC285" s="104">
        <v>3</v>
      </c>
      <c r="AD285" s="104">
        <v>1</v>
      </c>
      <c r="AE285" s="104">
        <v>6</v>
      </c>
      <c r="AF285" s="104">
        <v>4</v>
      </c>
      <c r="AG285" s="104">
        <v>6</v>
      </c>
      <c r="AH285" s="104">
        <v>4</v>
      </c>
      <c r="AI285" s="104">
        <v>2</v>
      </c>
      <c r="AJ285" s="104">
        <v>7</v>
      </c>
      <c r="AK285" s="104">
        <v>5</v>
      </c>
      <c r="AL285" s="104">
        <v>5</v>
      </c>
      <c r="AM285" s="104">
        <v>3</v>
      </c>
      <c r="AN285" s="104">
        <v>6</v>
      </c>
      <c r="AO285" s="104">
        <v>3</v>
      </c>
      <c r="AP285" s="104">
        <v>4</v>
      </c>
      <c r="AQ285" s="104">
        <v>6</v>
      </c>
    </row>
    <row r="286" spans="1:43" x14ac:dyDescent="0.35">
      <c r="A286" s="52">
        <v>283</v>
      </c>
      <c r="B286" s="52" t="s">
        <v>672</v>
      </c>
      <c r="C286" s="93"/>
      <c r="D286" s="102" t="s">
        <v>522</v>
      </c>
      <c r="E286" s="102" t="s">
        <v>540</v>
      </c>
      <c r="F286" s="102" t="s">
        <v>524</v>
      </c>
      <c r="G286" s="102" t="s">
        <v>525</v>
      </c>
      <c r="H286" s="102" t="s">
        <v>560</v>
      </c>
      <c r="I286" s="102" t="s">
        <v>527</v>
      </c>
      <c r="J286" s="102" t="s">
        <v>140</v>
      </c>
      <c r="K286" s="102" t="s">
        <v>529</v>
      </c>
      <c r="L286" s="102" t="s">
        <v>542</v>
      </c>
      <c r="M286" s="102" t="s">
        <v>151</v>
      </c>
      <c r="N286" s="102" t="s">
        <v>532</v>
      </c>
      <c r="O286" s="102" t="s">
        <v>579</v>
      </c>
      <c r="P286" s="102" t="s">
        <v>145</v>
      </c>
      <c r="Q286" s="102" t="s">
        <v>544</v>
      </c>
      <c r="R286" s="102" t="s">
        <v>143</v>
      </c>
      <c r="S286" s="102" t="s">
        <v>546</v>
      </c>
      <c r="T286" s="102" t="s">
        <v>557</v>
      </c>
      <c r="U286" s="102" t="s">
        <v>576</v>
      </c>
      <c r="V286" s="102" t="s">
        <v>155</v>
      </c>
      <c r="W286" s="102" t="s">
        <v>156</v>
      </c>
      <c r="X286" s="104">
        <v>3</v>
      </c>
      <c r="Y286" s="104">
        <v>3</v>
      </c>
      <c r="Z286" s="104">
        <v>5</v>
      </c>
      <c r="AA286" s="104">
        <v>7</v>
      </c>
      <c r="AB286" s="104">
        <v>8</v>
      </c>
      <c r="AC286" s="104">
        <v>3</v>
      </c>
      <c r="AD286" s="104">
        <v>3</v>
      </c>
      <c r="AE286" s="104">
        <v>5</v>
      </c>
      <c r="AF286" s="104">
        <v>5</v>
      </c>
      <c r="AG286" s="104">
        <v>2</v>
      </c>
      <c r="AH286" s="104">
        <v>6</v>
      </c>
      <c r="AI286" s="104">
        <v>8</v>
      </c>
      <c r="AJ286" s="104">
        <v>2</v>
      </c>
      <c r="AK286" s="104">
        <v>5</v>
      </c>
      <c r="AL286" s="104">
        <v>3</v>
      </c>
      <c r="AM286" s="104">
        <v>4</v>
      </c>
      <c r="AN286" s="104">
        <v>8</v>
      </c>
      <c r="AO286" s="104">
        <v>6</v>
      </c>
      <c r="AP286" s="104">
        <v>1</v>
      </c>
      <c r="AQ286" s="104">
        <v>3</v>
      </c>
    </row>
    <row r="287" spans="1:43" x14ac:dyDescent="0.35">
      <c r="A287" s="52">
        <v>284</v>
      </c>
      <c r="B287" s="52" t="s">
        <v>1138</v>
      </c>
      <c r="C287" s="93"/>
      <c r="D287" s="52" t="s">
        <v>539</v>
      </c>
      <c r="E287" s="52" t="s">
        <v>523</v>
      </c>
      <c r="F287" s="52" t="s">
        <v>524</v>
      </c>
      <c r="G287" s="52" t="s">
        <v>556</v>
      </c>
      <c r="H287" s="52" t="s">
        <v>526</v>
      </c>
      <c r="I287" s="52" t="s">
        <v>552</v>
      </c>
      <c r="J287" s="52" t="s">
        <v>140</v>
      </c>
      <c r="K287" s="52" t="s">
        <v>529</v>
      </c>
      <c r="L287" s="52" t="s">
        <v>542</v>
      </c>
      <c r="M287" s="52" t="s">
        <v>553</v>
      </c>
      <c r="N287" s="52" t="s">
        <v>532</v>
      </c>
      <c r="O287" s="52" t="s">
        <v>554</v>
      </c>
      <c r="P287" s="52" t="s">
        <v>543</v>
      </c>
      <c r="Q287" s="52" t="s">
        <v>544</v>
      </c>
      <c r="R287" s="52" t="s">
        <v>545</v>
      </c>
      <c r="S287" s="52" t="s">
        <v>568</v>
      </c>
      <c r="T287" s="52" t="s">
        <v>537</v>
      </c>
      <c r="U287" s="52" t="s">
        <v>548</v>
      </c>
      <c r="V287" s="52" t="s">
        <v>155</v>
      </c>
      <c r="W287" s="52" t="s">
        <v>156</v>
      </c>
      <c r="X287" s="104">
        <v>7</v>
      </c>
      <c r="Y287" s="104">
        <v>5</v>
      </c>
      <c r="Z287" s="104">
        <v>6</v>
      </c>
      <c r="AA287" s="104">
        <v>3</v>
      </c>
      <c r="AB287" s="104">
        <v>3</v>
      </c>
      <c r="AC287" s="104">
        <v>4</v>
      </c>
      <c r="AD287" s="104">
        <v>3</v>
      </c>
      <c r="AE287" s="104">
        <v>3</v>
      </c>
      <c r="AF287" s="104">
        <v>5</v>
      </c>
      <c r="AG287" s="104">
        <v>3</v>
      </c>
      <c r="AH287" s="104">
        <v>8</v>
      </c>
      <c r="AI287" s="104">
        <v>3</v>
      </c>
      <c r="AJ287" s="104">
        <v>5</v>
      </c>
      <c r="AK287" s="104">
        <v>4</v>
      </c>
      <c r="AL287" s="104">
        <v>5</v>
      </c>
      <c r="AM287" s="104">
        <v>9</v>
      </c>
      <c r="AN287" s="104">
        <v>5</v>
      </c>
      <c r="AO287" s="104">
        <v>3</v>
      </c>
      <c r="AP287" s="104">
        <v>3</v>
      </c>
      <c r="AQ287" s="104">
        <v>3</v>
      </c>
    </row>
    <row r="288" spans="1:43" x14ac:dyDescent="0.35">
      <c r="A288" s="52">
        <v>285</v>
      </c>
      <c r="B288" s="52" t="s">
        <v>340</v>
      </c>
      <c r="C288" s="93"/>
      <c r="D288" s="102" t="s">
        <v>539</v>
      </c>
      <c r="E288" s="102" t="s">
        <v>523</v>
      </c>
      <c r="F288" s="102" t="s">
        <v>148</v>
      </c>
      <c r="G288" s="102" t="s">
        <v>556</v>
      </c>
      <c r="H288" s="102" t="s">
        <v>566</v>
      </c>
      <c r="I288" s="102" t="s">
        <v>541</v>
      </c>
      <c r="J288" s="102" t="s">
        <v>140</v>
      </c>
      <c r="K288" s="102" t="s">
        <v>529</v>
      </c>
      <c r="L288" s="102" t="s">
        <v>542</v>
      </c>
      <c r="M288" s="102" t="s">
        <v>553</v>
      </c>
      <c r="N288" s="102" t="s">
        <v>532</v>
      </c>
      <c r="O288" s="102" t="s">
        <v>554</v>
      </c>
      <c r="P288" s="102" t="s">
        <v>563</v>
      </c>
      <c r="Q288" s="102" t="s">
        <v>544</v>
      </c>
      <c r="R288" s="102" t="s">
        <v>567</v>
      </c>
      <c r="S288" s="102" t="s">
        <v>536</v>
      </c>
      <c r="T288" s="102" t="s">
        <v>547</v>
      </c>
      <c r="U288" s="102" t="s">
        <v>538</v>
      </c>
      <c r="V288" s="102" t="s">
        <v>155</v>
      </c>
      <c r="W288" s="102" t="s">
        <v>555</v>
      </c>
      <c r="X288" s="104">
        <v>7</v>
      </c>
      <c r="Y288" s="104">
        <v>5</v>
      </c>
      <c r="Z288" s="104">
        <v>3</v>
      </c>
      <c r="AA288" s="104">
        <v>2</v>
      </c>
      <c r="AB288" s="104">
        <v>5</v>
      </c>
      <c r="AC288" s="104">
        <v>6</v>
      </c>
      <c r="AD288" s="104">
        <v>2</v>
      </c>
      <c r="AE288" s="104">
        <v>4</v>
      </c>
      <c r="AF288" s="104">
        <v>5</v>
      </c>
      <c r="AG288" s="104">
        <v>4</v>
      </c>
      <c r="AH288" s="104">
        <v>5</v>
      </c>
      <c r="AI288" s="104">
        <v>3</v>
      </c>
      <c r="AJ288" s="104">
        <v>7</v>
      </c>
      <c r="AK288" s="104">
        <v>6</v>
      </c>
      <c r="AL288" s="104">
        <v>6</v>
      </c>
      <c r="AM288" s="104">
        <v>6</v>
      </c>
      <c r="AN288" s="104">
        <v>2</v>
      </c>
      <c r="AO288" s="104">
        <v>5</v>
      </c>
      <c r="AP288" s="104">
        <v>2</v>
      </c>
      <c r="AQ288" s="104">
        <v>5</v>
      </c>
    </row>
    <row r="289" spans="1:43" x14ac:dyDescent="0.35">
      <c r="A289" s="52">
        <v>286</v>
      </c>
      <c r="B289" s="52" t="s">
        <v>654</v>
      </c>
      <c r="C289" s="93"/>
      <c r="D289" s="102" t="s">
        <v>522</v>
      </c>
      <c r="E289" s="102" t="s">
        <v>523</v>
      </c>
      <c r="F289" s="102" t="s">
        <v>148</v>
      </c>
      <c r="G289" s="102" t="s">
        <v>559</v>
      </c>
      <c r="H289" s="102" t="s">
        <v>560</v>
      </c>
      <c r="I289" s="102" t="s">
        <v>527</v>
      </c>
      <c r="J289" s="102" t="s">
        <v>140</v>
      </c>
      <c r="K289" s="102" t="s">
        <v>529</v>
      </c>
      <c r="L289" s="102" t="s">
        <v>542</v>
      </c>
      <c r="M289" s="102" t="s">
        <v>531</v>
      </c>
      <c r="N289" s="102" t="s">
        <v>532</v>
      </c>
      <c r="O289" s="102" t="s">
        <v>554</v>
      </c>
      <c r="P289" s="102" t="s">
        <v>543</v>
      </c>
      <c r="Q289" s="102" t="s">
        <v>535</v>
      </c>
      <c r="R289" s="102" t="s">
        <v>545</v>
      </c>
      <c r="S289" s="102" t="s">
        <v>536</v>
      </c>
      <c r="T289" s="102" t="s">
        <v>537</v>
      </c>
      <c r="U289" s="102" t="s">
        <v>548</v>
      </c>
      <c r="V289" s="102" t="s">
        <v>155</v>
      </c>
      <c r="W289" s="102" t="s">
        <v>156</v>
      </c>
      <c r="X289" s="104">
        <v>5</v>
      </c>
      <c r="Y289" s="104">
        <v>5</v>
      </c>
      <c r="Z289" s="104">
        <v>4</v>
      </c>
      <c r="AA289" s="104">
        <v>8</v>
      </c>
      <c r="AB289" s="104">
        <v>8</v>
      </c>
      <c r="AC289" s="104">
        <v>3</v>
      </c>
      <c r="AD289" s="104">
        <v>1</v>
      </c>
      <c r="AE289" s="104">
        <v>4</v>
      </c>
      <c r="AF289" s="104">
        <v>4</v>
      </c>
      <c r="AG289" s="104">
        <v>7</v>
      </c>
      <c r="AH289" s="104">
        <v>8</v>
      </c>
      <c r="AI289" s="104">
        <v>3</v>
      </c>
      <c r="AJ289" s="104">
        <v>5</v>
      </c>
      <c r="AK289" s="104">
        <v>3</v>
      </c>
      <c r="AL289" s="104">
        <v>4</v>
      </c>
      <c r="AM289" s="104">
        <v>6</v>
      </c>
      <c r="AN289" s="104">
        <v>4</v>
      </c>
      <c r="AO289" s="104">
        <v>2</v>
      </c>
      <c r="AP289" s="104">
        <v>3</v>
      </c>
      <c r="AQ289" s="104">
        <v>3</v>
      </c>
    </row>
    <row r="290" spans="1:43" x14ac:dyDescent="0.35">
      <c r="A290" s="52">
        <v>287</v>
      </c>
      <c r="B290" s="52" t="s">
        <v>1194</v>
      </c>
      <c r="C290" s="93"/>
      <c r="D290" s="52" t="s">
        <v>539</v>
      </c>
      <c r="E290" s="52" t="s">
        <v>523</v>
      </c>
      <c r="F290" s="52" t="s">
        <v>148</v>
      </c>
      <c r="G290" s="52" t="s">
        <v>550</v>
      </c>
      <c r="H290" s="52" t="s">
        <v>551</v>
      </c>
      <c r="I290" s="52" t="s">
        <v>552</v>
      </c>
      <c r="J290" s="52" t="s">
        <v>140</v>
      </c>
      <c r="K290" s="52" t="s">
        <v>529</v>
      </c>
      <c r="L290" s="52" t="s">
        <v>542</v>
      </c>
      <c r="M290" s="52" t="s">
        <v>531</v>
      </c>
      <c r="N290" s="52" t="s">
        <v>532</v>
      </c>
      <c r="O290" s="52" t="s">
        <v>571</v>
      </c>
      <c r="P290" s="52" t="s">
        <v>563</v>
      </c>
      <c r="Q290" s="52" t="s">
        <v>544</v>
      </c>
      <c r="R290" s="52" t="s">
        <v>545</v>
      </c>
      <c r="S290" s="52" t="s">
        <v>546</v>
      </c>
      <c r="T290" s="52" t="s">
        <v>537</v>
      </c>
      <c r="U290" s="52" t="s">
        <v>548</v>
      </c>
      <c r="V290" s="52" t="s">
        <v>155</v>
      </c>
      <c r="W290" s="52" t="s">
        <v>555</v>
      </c>
      <c r="X290" s="104">
        <v>6</v>
      </c>
      <c r="Y290" s="104">
        <v>5</v>
      </c>
      <c r="Z290" s="104">
        <v>4</v>
      </c>
      <c r="AA290" s="104">
        <v>4</v>
      </c>
      <c r="AB290" s="104">
        <v>6</v>
      </c>
      <c r="AC290" s="104">
        <v>5</v>
      </c>
      <c r="AD290" s="104">
        <v>0</v>
      </c>
      <c r="AE290" s="104">
        <v>4</v>
      </c>
      <c r="AF290" s="104">
        <v>4</v>
      </c>
      <c r="AG290" s="104">
        <v>6</v>
      </c>
      <c r="AH290" s="104">
        <v>6</v>
      </c>
      <c r="AI290" s="104">
        <v>4</v>
      </c>
      <c r="AJ290" s="104">
        <v>8</v>
      </c>
      <c r="AK290" s="104">
        <v>4</v>
      </c>
      <c r="AL290" s="104">
        <v>5</v>
      </c>
      <c r="AM290" s="104">
        <v>5</v>
      </c>
      <c r="AN290" s="104">
        <v>4</v>
      </c>
      <c r="AO290" s="104">
        <v>3</v>
      </c>
      <c r="AP290" s="104">
        <v>2</v>
      </c>
      <c r="AQ290" s="104">
        <v>5</v>
      </c>
    </row>
    <row r="291" spans="1:43" x14ac:dyDescent="0.35">
      <c r="A291" s="52">
        <v>288</v>
      </c>
      <c r="B291" s="52" t="s">
        <v>1196</v>
      </c>
      <c r="C291" s="93"/>
      <c r="D291" s="52" t="s">
        <v>522</v>
      </c>
      <c r="E291" s="52" t="s">
        <v>523</v>
      </c>
      <c r="F291" s="52" t="s">
        <v>524</v>
      </c>
      <c r="G291" s="52" t="s">
        <v>556</v>
      </c>
      <c r="H291" s="52" t="s">
        <v>566</v>
      </c>
      <c r="I291" s="52" t="s">
        <v>541</v>
      </c>
      <c r="J291" s="52" t="s">
        <v>140</v>
      </c>
      <c r="K291" s="52" t="s">
        <v>529</v>
      </c>
      <c r="L291" s="52" t="s">
        <v>542</v>
      </c>
      <c r="M291" s="52" t="s">
        <v>531</v>
      </c>
      <c r="N291" s="52" t="s">
        <v>532</v>
      </c>
      <c r="O291" s="52" t="s">
        <v>554</v>
      </c>
      <c r="P291" s="52" t="s">
        <v>145</v>
      </c>
      <c r="Q291" s="52" t="s">
        <v>544</v>
      </c>
      <c r="R291" s="52" t="s">
        <v>143</v>
      </c>
      <c r="S291" s="52" t="s">
        <v>546</v>
      </c>
      <c r="T291" s="52" t="s">
        <v>537</v>
      </c>
      <c r="U291" s="52" t="s">
        <v>538</v>
      </c>
      <c r="V291" s="52" t="s">
        <v>155</v>
      </c>
      <c r="W291" s="52" t="s">
        <v>555</v>
      </c>
      <c r="X291" s="104">
        <v>4</v>
      </c>
      <c r="Y291" s="104">
        <v>6</v>
      </c>
      <c r="Z291" s="104">
        <v>6</v>
      </c>
      <c r="AA291" s="104">
        <v>2</v>
      </c>
      <c r="AB291" s="104">
        <v>5</v>
      </c>
      <c r="AC291" s="104">
        <v>6</v>
      </c>
      <c r="AD291" s="104">
        <v>3</v>
      </c>
      <c r="AE291" s="104">
        <v>5</v>
      </c>
      <c r="AF291" s="104">
        <v>5</v>
      </c>
      <c r="AG291" s="104">
        <v>7</v>
      </c>
      <c r="AH291" s="104">
        <v>7</v>
      </c>
      <c r="AI291" s="104">
        <v>3</v>
      </c>
      <c r="AJ291" s="104">
        <v>2</v>
      </c>
      <c r="AK291" s="104">
        <v>5</v>
      </c>
      <c r="AL291" s="104">
        <v>3</v>
      </c>
      <c r="AM291" s="104">
        <v>4</v>
      </c>
      <c r="AN291" s="104">
        <v>6</v>
      </c>
      <c r="AO291" s="104">
        <v>4</v>
      </c>
      <c r="AP291" s="104">
        <v>2</v>
      </c>
      <c r="AQ291" s="104">
        <v>5</v>
      </c>
    </row>
    <row r="292" spans="1:43" x14ac:dyDescent="0.35">
      <c r="A292" s="52">
        <v>289</v>
      </c>
      <c r="B292" s="52" t="s">
        <v>309</v>
      </c>
      <c r="C292" s="93"/>
      <c r="D292" s="102" t="s">
        <v>539</v>
      </c>
      <c r="E292" s="102" t="s">
        <v>523</v>
      </c>
      <c r="F292" s="102" t="s">
        <v>524</v>
      </c>
      <c r="G292" s="102" t="s">
        <v>570</v>
      </c>
      <c r="H292" s="102" t="s">
        <v>526</v>
      </c>
      <c r="I292" s="102" t="s">
        <v>139</v>
      </c>
      <c r="J292" s="102" t="s">
        <v>140</v>
      </c>
      <c r="K292" s="102" t="s">
        <v>529</v>
      </c>
      <c r="L292" s="102" t="s">
        <v>542</v>
      </c>
      <c r="M292" s="102" t="s">
        <v>531</v>
      </c>
      <c r="N292" s="102" t="s">
        <v>532</v>
      </c>
      <c r="O292" s="102" t="s">
        <v>533</v>
      </c>
      <c r="P292" s="102" t="s">
        <v>534</v>
      </c>
      <c r="Q292" s="102" t="s">
        <v>535</v>
      </c>
      <c r="R292" s="102" t="s">
        <v>545</v>
      </c>
      <c r="S292" s="102" t="s">
        <v>536</v>
      </c>
      <c r="T292" s="102" t="s">
        <v>537</v>
      </c>
      <c r="U292" s="102" t="s">
        <v>548</v>
      </c>
      <c r="V292" s="102" t="s">
        <v>155</v>
      </c>
      <c r="W292" s="102" t="s">
        <v>549</v>
      </c>
      <c r="X292" s="104">
        <v>6</v>
      </c>
      <c r="Y292" s="104">
        <v>7</v>
      </c>
      <c r="Z292" s="104">
        <v>5</v>
      </c>
      <c r="AA292" s="104">
        <v>5</v>
      </c>
      <c r="AB292" s="104">
        <v>2</v>
      </c>
      <c r="AC292" s="104">
        <v>1</v>
      </c>
      <c r="AD292" s="104">
        <v>3</v>
      </c>
      <c r="AE292" s="104">
        <v>5</v>
      </c>
      <c r="AF292" s="104">
        <v>4</v>
      </c>
      <c r="AG292" s="104">
        <v>6</v>
      </c>
      <c r="AH292" s="104">
        <v>8</v>
      </c>
      <c r="AI292" s="104">
        <v>5</v>
      </c>
      <c r="AJ292" s="104">
        <v>4</v>
      </c>
      <c r="AK292" s="104">
        <v>3</v>
      </c>
      <c r="AL292" s="104">
        <v>4</v>
      </c>
      <c r="AM292" s="104">
        <v>7</v>
      </c>
      <c r="AN292" s="104">
        <v>5</v>
      </c>
      <c r="AO292" s="104">
        <v>2</v>
      </c>
      <c r="AP292" s="104">
        <v>2</v>
      </c>
      <c r="AQ292" s="104">
        <v>6</v>
      </c>
    </row>
    <row r="293" spans="1:43" x14ac:dyDescent="0.35">
      <c r="A293" s="52">
        <v>290</v>
      </c>
      <c r="B293" s="52" t="s">
        <v>707</v>
      </c>
      <c r="C293" s="93"/>
      <c r="D293" s="102" t="s">
        <v>522</v>
      </c>
      <c r="E293" s="102" t="s">
        <v>523</v>
      </c>
      <c r="F293" s="102" t="s">
        <v>148</v>
      </c>
      <c r="G293" s="102" t="s">
        <v>556</v>
      </c>
      <c r="H293" s="102" t="s">
        <v>566</v>
      </c>
      <c r="I293" s="102" t="s">
        <v>552</v>
      </c>
      <c r="J293" s="102" t="s">
        <v>140</v>
      </c>
      <c r="K293" s="102" t="s">
        <v>529</v>
      </c>
      <c r="L293" s="102" t="s">
        <v>530</v>
      </c>
      <c r="M293" s="102" t="s">
        <v>553</v>
      </c>
      <c r="N293" s="102" t="s">
        <v>532</v>
      </c>
      <c r="O293" s="102" t="s">
        <v>571</v>
      </c>
      <c r="P293" s="102" t="s">
        <v>543</v>
      </c>
      <c r="Q293" s="102" t="s">
        <v>544</v>
      </c>
      <c r="R293" s="102" t="s">
        <v>545</v>
      </c>
      <c r="S293" s="102" t="s">
        <v>568</v>
      </c>
      <c r="T293" s="102" t="s">
        <v>537</v>
      </c>
      <c r="U293" s="102" t="s">
        <v>548</v>
      </c>
      <c r="V293" s="102" t="s">
        <v>155</v>
      </c>
      <c r="W293" s="102" t="s">
        <v>555</v>
      </c>
      <c r="X293" s="104">
        <v>5</v>
      </c>
      <c r="Y293" s="104">
        <v>7</v>
      </c>
      <c r="Z293" s="104">
        <v>4</v>
      </c>
      <c r="AA293" s="104">
        <v>2</v>
      </c>
      <c r="AB293" s="104">
        <v>5</v>
      </c>
      <c r="AC293" s="104">
        <v>4</v>
      </c>
      <c r="AD293" s="104">
        <v>3</v>
      </c>
      <c r="AE293" s="104">
        <v>5</v>
      </c>
      <c r="AF293" s="104">
        <v>6</v>
      </c>
      <c r="AG293" s="104">
        <v>3</v>
      </c>
      <c r="AH293" s="104">
        <v>5</v>
      </c>
      <c r="AI293" s="104">
        <v>4</v>
      </c>
      <c r="AJ293" s="104">
        <v>5</v>
      </c>
      <c r="AK293" s="104">
        <v>4</v>
      </c>
      <c r="AL293" s="104">
        <v>5</v>
      </c>
      <c r="AM293" s="104">
        <v>8</v>
      </c>
      <c r="AN293" s="104">
        <v>5</v>
      </c>
      <c r="AO293" s="104">
        <v>3</v>
      </c>
      <c r="AP293" s="104">
        <v>2</v>
      </c>
      <c r="AQ293" s="104">
        <v>5</v>
      </c>
    </row>
    <row r="294" spans="1:43" x14ac:dyDescent="0.35">
      <c r="A294" s="52">
        <v>291</v>
      </c>
      <c r="B294" s="52" t="s">
        <v>292</v>
      </c>
      <c r="C294" s="93"/>
      <c r="D294" s="102" t="s">
        <v>522</v>
      </c>
      <c r="E294" s="102" t="s">
        <v>523</v>
      </c>
      <c r="F294" s="102" t="s">
        <v>148</v>
      </c>
      <c r="G294" s="102" t="s">
        <v>556</v>
      </c>
      <c r="H294" s="102" t="s">
        <v>566</v>
      </c>
      <c r="I294" s="102" t="s">
        <v>541</v>
      </c>
      <c r="J294" s="102" t="s">
        <v>140</v>
      </c>
      <c r="K294" s="102" t="s">
        <v>529</v>
      </c>
      <c r="L294" s="102" t="s">
        <v>152</v>
      </c>
      <c r="M294" s="102" t="s">
        <v>531</v>
      </c>
      <c r="N294" s="102" t="s">
        <v>532</v>
      </c>
      <c r="O294" s="102" t="s">
        <v>554</v>
      </c>
      <c r="P294" s="102" t="s">
        <v>543</v>
      </c>
      <c r="Q294" s="102" t="s">
        <v>544</v>
      </c>
      <c r="R294" s="102" t="s">
        <v>545</v>
      </c>
      <c r="S294" s="102" t="s">
        <v>546</v>
      </c>
      <c r="T294" s="102" t="s">
        <v>547</v>
      </c>
      <c r="U294" s="102" t="s">
        <v>538</v>
      </c>
      <c r="V294" s="102" t="s">
        <v>81</v>
      </c>
      <c r="W294" s="102" t="s">
        <v>574</v>
      </c>
      <c r="X294" s="104">
        <v>5</v>
      </c>
      <c r="Y294" s="104">
        <v>6</v>
      </c>
      <c r="Z294" s="104">
        <v>4</v>
      </c>
      <c r="AA294" s="104">
        <v>2</v>
      </c>
      <c r="AB294" s="104">
        <v>5</v>
      </c>
      <c r="AC294" s="104">
        <v>6</v>
      </c>
      <c r="AD294" s="104">
        <v>2</v>
      </c>
      <c r="AE294" s="104">
        <v>4</v>
      </c>
      <c r="AF294" s="104">
        <v>1</v>
      </c>
      <c r="AG294" s="104">
        <v>6</v>
      </c>
      <c r="AH294" s="104">
        <v>6</v>
      </c>
      <c r="AI294" s="104">
        <v>3</v>
      </c>
      <c r="AJ294" s="104">
        <v>5</v>
      </c>
      <c r="AK294" s="104">
        <v>6</v>
      </c>
      <c r="AL294" s="104">
        <v>5</v>
      </c>
      <c r="AM294" s="104">
        <v>4</v>
      </c>
      <c r="AN294" s="104">
        <v>3</v>
      </c>
      <c r="AO294" s="104">
        <v>4</v>
      </c>
      <c r="AP294" s="104">
        <v>5</v>
      </c>
      <c r="AQ294" s="104">
        <v>8</v>
      </c>
    </row>
    <row r="295" spans="1:43" x14ac:dyDescent="0.35">
      <c r="A295" s="52">
        <v>292</v>
      </c>
      <c r="B295" s="52" t="s">
        <v>1052</v>
      </c>
      <c r="C295" s="93"/>
      <c r="D295" s="52" t="s">
        <v>522</v>
      </c>
      <c r="E295" s="52" t="s">
        <v>523</v>
      </c>
      <c r="F295" s="52" t="s">
        <v>148</v>
      </c>
      <c r="G295" s="52" t="s">
        <v>556</v>
      </c>
      <c r="H295" s="52" t="s">
        <v>566</v>
      </c>
      <c r="I295" s="52" t="s">
        <v>552</v>
      </c>
      <c r="J295" s="52" t="s">
        <v>558</v>
      </c>
      <c r="K295" s="52" t="s">
        <v>529</v>
      </c>
      <c r="L295" s="52" t="s">
        <v>542</v>
      </c>
      <c r="M295" s="52" t="s">
        <v>553</v>
      </c>
      <c r="N295" s="52" t="s">
        <v>532</v>
      </c>
      <c r="O295" s="52" t="s">
        <v>554</v>
      </c>
      <c r="P295" s="52" t="s">
        <v>534</v>
      </c>
      <c r="Q295" s="52" t="s">
        <v>544</v>
      </c>
      <c r="R295" s="52" t="s">
        <v>545</v>
      </c>
      <c r="S295" s="52" t="s">
        <v>546</v>
      </c>
      <c r="T295" s="52" t="s">
        <v>547</v>
      </c>
      <c r="U295" s="52" t="s">
        <v>576</v>
      </c>
      <c r="V295" s="52" t="s">
        <v>81</v>
      </c>
      <c r="W295" s="52" t="s">
        <v>549</v>
      </c>
      <c r="X295" s="104">
        <v>5</v>
      </c>
      <c r="Y295" s="104">
        <v>6</v>
      </c>
      <c r="Z295" s="104">
        <v>4</v>
      </c>
      <c r="AA295" s="104">
        <v>2</v>
      </c>
      <c r="AB295" s="104">
        <v>5</v>
      </c>
      <c r="AC295" s="104">
        <v>5</v>
      </c>
      <c r="AD295" s="104">
        <v>4</v>
      </c>
      <c r="AE295" s="104">
        <v>6</v>
      </c>
      <c r="AF295" s="104">
        <v>5</v>
      </c>
      <c r="AG295" s="104">
        <v>3</v>
      </c>
      <c r="AH295" s="104">
        <v>6</v>
      </c>
      <c r="AI295" s="104">
        <v>2</v>
      </c>
      <c r="AJ295" s="104">
        <v>4</v>
      </c>
      <c r="AK295" s="104">
        <v>4</v>
      </c>
      <c r="AL295" s="104">
        <v>5</v>
      </c>
      <c r="AM295" s="104">
        <v>4</v>
      </c>
      <c r="AN295" s="104">
        <v>3</v>
      </c>
      <c r="AO295" s="104">
        <v>6</v>
      </c>
      <c r="AP295" s="104">
        <v>4</v>
      </c>
      <c r="AQ295" s="104">
        <v>7</v>
      </c>
    </row>
    <row r="296" spans="1:43" x14ac:dyDescent="0.35">
      <c r="A296" s="52">
        <v>293</v>
      </c>
      <c r="B296" s="52" t="s">
        <v>1140</v>
      </c>
      <c r="C296" s="93"/>
      <c r="D296" s="52" t="s">
        <v>539</v>
      </c>
      <c r="E296" s="52" t="s">
        <v>523</v>
      </c>
      <c r="F296" s="52" t="s">
        <v>148</v>
      </c>
      <c r="G296" s="52" t="s">
        <v>556</v>
      </c>
      <c r="H296" s="52" t="s">
        <v>561</v>
      </c>
      <c r="I296" s="52" t="s">
        <v>527</v>
      </c>
      <c r="J296" s="52" t="s">
        <v>558</v>
      </c>
      <c r="K296" s="52" t="s">
        <v>529</v>
      </c>
      <c r="L296" s="52" t="s">
        <v>542</v>
      </c>
      <c r="M296" s="52" t="s">
        <v>531</v>
      </c>
      <c r="N296" s="52" t="s">
        <v>532</v>
      </c>
      <c r="O296" s="52" t="s">
        <v>150</v>
      </c>
      <c r="P296" s="52" t="s">
        <v>563</v>
      </c>
      <c r="Q296" s="52" t="s">
        <v>564</v>
      </c>
      <c r="R296" s="52" t="s">
        <v>545</v>
      </c>
      <c r="S296" s="52" t="s">
        <v>536</v>
      </c>
      <c r="T296" s="52" t="s">
        <v>547</v>
      </c>
      <c r="U296" s="52" t="s">
        <v>548</v>
      </c>
      <c r="V296" s="52" t="s">
        <v>155</v>
      </c>
      <c r="W296" s="52" t="s">
        <v>549</v>
      </c>
      <c r="X296" s="104">
        <v>7</v>
      </c>
      <c r="Y296" s="104">
        <v>6</v>
      </c>
      <c r="Z296" s="104">
        <v>4</v>
      </c>
      <c r="AA296" s="104">
        <v>2</v>
      </c>
      <c r="AB296" s="104">
        <v>4</v>
      </c>
      <c r="AC296" s="104">
        <v>3</v>
      </c>
      <c r="AD296" s="104">
        <v>4</v>
      </c>
      <c r="AE296" s="104">
        <v>5</v>
      </c>
      <c r="AF296" s="104">
        <v>4</v>
      </c>
      <c r="AG296" s="104">
        <v>6</v>
      </c>
      <c r="AH296" s="104">
        <v>5</v>
      </c>
      <c r="AI296" s="104">
        <v>1</v>
      </c>
      <c r="AJ296" s="104">
        <v>7</v>
      </c>
      <c r="AK296" s="104">
        <v>7</v>
      </c>
      <c r="AL296" s="104">
        <v>4</v>
      </c>
      <c r="AM296" s="104">
        <v>6</v>
      </c>
      <c r="AN296" s="104">
        <v>2</v>
      </c>
      <c r="AO296" s="104">
        <v>3</v>
      </c>
      <c r="AP296" s="104">
        <v>3</v>
      </c>
      <c r="AQ296" s="104">
        <v>7</v>
      </c>
    </row>
    <row r="297" spans="1:43" x14ac:dyDescent="0.35">
      <c r="A297" s="52">
        <v>294</v>
      </c>
      <c r="B297" s="52" t="s">
        <v>1010</v>
      </c>
      <c r="C297" s="93"/>
      <c r="D297" s="52" t="s">
        <v>522</v>
      </c>
      <c r="E297" s="52" t="s">
        <v>523</v>
      </c>
      <c r="F297" s="52" t="s">
        <v>524</v>
      </c>
      <c r="G297" s="52" t="s">
        <v>138</v>
      </c>
      <c r="H297" s="52" t="s">
        <v>526</v>
      </c>
      <c r="I297" s="52" t="s">
        <v>552</v>
      </c>
      <c r="J297" s="52" t="s">
        <v>558</v>
      </c>
      <c r="K297" s="52" t="s">
        <v>141</v>
      </c>
      <c r="L297" s="52" t="s">
        <v>542</v>
      </c>
      <c r="M297" s="52" t="s">
        <v>553</v>
      </c>
      <c r="N297" s="52" t="s">
        <v>532</v>
      </c>
      <c r="O297" s="52" t="s">
        <v>571</v>
      </c>
      <c r="P297" s="52" t="s">
        <v>543</v>
      </c>
      <c r="Q297" s="52" t="s">
        <v>544</v>
      </c>
      <c r="R297" s="52" t="s">
        <v>545</v>
      </c>
      <c r="S297" s="52" t="s">
        <v>546</v>
      </c>
      <c r="T297" s="52" t="s">
        <v>537</v>
      </c>
      <c r="U297" s="52" t="s">
        <v>538</v>
      </c>
      <c r="V297" s="52" t="s">
        <v>155</v>
      </c>
      <c r="W297" s="52" t="s">
        <v>549</v>
      </c>
      <c r="X297" s="104">
        <v>5</v>
      </c>
      <c r="Y297" s="104">
        <v>7</v>
      </c>
      <c r="Z297" s="104">
        <v>5</v>
      </c>
      <c r="AA297" s="104">
        <v>0</v>
      </c>
      <c r="AB297" s="104">
        <v>2</v>
      </c>
      <c r="AC297" s="104">
        <v>4</v>
      </c>
      <c r="AD297" s="104">
        <v>5</v>
      </c>
      <c r="AE297" s="104">
        <v>2</v>
      </c>
      <c r="AF297" s="104">
        <v>5</v>
      </c>
      <c r="AG297" s="104">
        <v>5</v>
      </c>
      <c r="AH297" s="104">
        <v>7</v>
      </c>
      <c r="AI297" s="104">
        <v>4</v>
      </c>
      <c r="AJ297" s="104">
        <v>5</v>
      </c>
      <c r="AK297" s="104">
        <v>4</v>
      </c>
      <c r="AL297" s="104">
        <v>5</v>
      </c>
      <c r="AM297" s="104">
        <v>5</v>
      </c>
      <c r="AN297" s="104">
        <v>6</v>
      </c>
      <c r="AO297" s="104">
        <v>5</v>
      </c>
      <c r="AP297" s="104">
        <v>3</v>
      </c>
      <c r="AQ297" s="104">
        <v>6</v>
      </c>
    </row>
    <row r="298" spans="1:43" x14ac:dyDescent="0.35">
      <c r="A298" s="52">
        <v>295</v>
      </c>
      <c r="B298" s="52" t="s">
        <v>1180</v>
      </c>
      <c r="C298" s="93"/>
      <c r="D298" s="52" t="s">
        <v>522</v>
      </c>
      <c r="E298" s="52" t="s">
        <v>523</v>
      </c>
      <c r="F298" s="52" t="s">
        <v>524</v>
      </c>
      <c r="G298" s="52" t="s">
        <v>138</v>
      </c>
      <c r="H298" s="52" t="s">
        <v>526</v>
      </c>
      <c r="I298" s="52" t="s">
        <v>552</v>
      </c>
      <c r="J298" s="52" t="s">
        <v>140</v>
      </c>
      <c r="K298" s="52" t="s">
        <v>529</v>
      </c>
      <c r="L298" s="52" t="s">
        <v>542</v>
      </c>
      <c r="M298" s="52" t="s">
        <v>531</v>
      </c>
      <c r="N298" s="52" t="s">
        <v>532</v>
      </c>
      <c r="O298" s="52" t="s">
        <v>571</v>
      </c>
      <c r="P298" s="52" t="s">
        <v>563</v>
      </c>
      <c r="Q298" s="52" t="s">
        <v>544</v>
      </c>
      <c r="R298" s="52" t="s">
        <v>545</v>
      </c>
      <c r="S298" s="52" t="s">
        <v>565</v>
      </c>
      <c r="T298" s="52" t="s">
        <v>547</v>
      </c>
      <c r="U298" s="52" t="s">
        <v>548</v>
      </c>
      <c r="V298" s="52" t="s">
        <v>155</v>
      </c>
      <c r="W298" s="52" t="s">
        <v>574</v>
      </c>
      <c r="X298" s="104">
        <v>5</v>
      </c>
      <c r="Y298" s="104">
        <v>7</v>
      </c>
      <c r="Z298" s="104">
        <v>7</v>
      </c>
      <c r="AA298" s="104">
        <v>0</v>
      </c>
      <c r="AB298" s="104">
        <v>3</v>
      </c>
      <c r="AC298" s="104">
        <v>4</v>
      </c>
      <c r="AD298" s="104">
        <v>3</v>
      </c>
      <c r="AE298" s="104">
        <v>5</v>
      </c>
      <c r="AF298" s="104">
        <v>4</v>
      </c>
      <c r="AG298" s="104">
        <v>7</v>
      </c>
      <c r="AH298" s="104">
        <v>6</v>
      </c>
      <c r="AI298" s="104">
        <v>4</v>
      </c>
      <c r="AJ298" s="104">
        <v>7</v>
      </c>
      <c r="AK298" s="104">
        <v>6</v>
      </c>
      <c r="AL298" s="104">
        <v>4</v>
      </c>
      <c r="AM298" s="104">
        <v>3</v>
      </c>
      <c r="AN298" s="104">
        <v>3</v>
      </c>
      <c r="AO298" s="104">
        <v>3</v>
      </c>
      <c r="AP298" s="104">
        <v>1</v>
      </c>
      <c r="AQ298" s="104">
        <v>8</v>
      </c>
    </row>
    <row r="299" spans="1:43" x14ac:dyDescent="0.35">
      <c r="A299" s="52">
        <v>296</v>
      </c>
      <c r="B299" s="52" t="s">
        <v>241</v>
      </c>
      <c r="C299" s="93"/>
      <c r="D299" s="102" t="s">
        <v>539</v>
      </c>
      <c r="E299" s="102" t="s">
        <v>540</v>
      </c>
      <c r="F299" s="102" t="s">
        <v>524</v>
      </c>
      <c r="G299" s="102" t="s">
        <v>525</v>
      </c>
      <c r="H299" s="102" t="s">
        <v>526</v>
      </c>
      <c r="I299" s="102" t="s">
        <v>541</v>
      </c>
      <c r="J299" s="102" t="s">
        <v>140</v>
      </c>
      <c r="K299" s="102" t="s">
        <v>529</v>
      </c>
      <c r="L299" s="102" t="s">
        <v>542</v>
      </c>
      <c r="M299" s="102" t="s">
        <v>531</v>
      </c>
      <c r="N299" s="102" t="s">
        <v>532</v>
      </c>
      <c r="O299" s="102" t="s">
        <v>533</v>
      </c>
      <c r="P299" s="102" t="s">
        <v>543</v>
      </c>
      <c r="Q299" s="102" t="s">
        <v>544</v>
      </c>
      <c r="R299" s="102" t="s">
        <v>545</v>
      </c>
      <c r="S299" s="102" t="s">
        <v>546</v>
      </c>
      <c r="T299" s="102" t="s">
        <v>547</v>
      </c>
      <c r="U299" s="102" t="s">
        <v>548</v>
      </c>
      <c r="V299" s="102" t="s">
        <v>155</v>
      </c>
      <c r="W299" s="102" t="s">
        <v>549</v>
      </c>
      <c r="X299" s="105">
        <v>7</v>
      </c>
      <c r="Y299" s="105">
        <v>4</v>
      </c>
      <c r="Z299" s="105">
        <v>7</v>
      </c>
      <c r="AA299" s="105">
        <v>7</v>
      </c>
      <c r="AB299" s="105">
        <v>3</v>
      </c>
      <c r="AC299" s="105">
        <v>7</v>
      </c>
      <c r="AD299" s="105">
        <v>3</v>
      </c>
      <c r="AE299" s="105">
        <v>3</v>
      </c>
      <c r="AF299" s="105">
        <v>3</v>
      </c>
      <c r="AG299" s="105">
        <v>6</v>
      </c>
      <c r="AH299" s="105">
        <v>5</v>
      </c>
      <c r="AI299" s="105">
        <v>5</v>
      </c>
      <c r="AJ299" s="105">
        <v>6</v>
      </c>
      <c r="AK299" s="105">
        <v>4</v>
      </c>
      <c r="AL299" s="105">
        <v>4</v>
      </c>
      <c r="AM299" s="105">
        <v>4</v>
      </c>
      <c r="AN299" s="105">
        <v>2</v>
      </c>
      <c r="AO299" s="105">
        <v>2</v>
      </c>
      <c r="AP299" s="105">
        <v>2</v>
      </c>
      <c r="AQ299" s="105">
        <v>6</v>
      </c>
    </row>
    <row r="300" spans="1:43" x14ac:dyDescent="0.35">
      <c r="A300" s="52">
        <v>297</v>
      </c>
      <c r="B300" s="52" t="s">
        <v>1069</v>
      </c>
      <c r="C300" s="93"/>
      <c r="D300" s="52" t="s">
        <v>539</v>
      </c>
      <c r="E300" s="52" t="s">
        <v>523</v>
      </c>
      <c r="F300" s="52" t="s">
        <v>148</v>
      </c>
      <c r="G300" s="52" t="s">
        <v>138</v>
      </c>
      <c r="H300" s="52" t="s">
        <v>149</v>
      </c>
      <c r="I300" s="52" t="s">
        <v>552</v>
      </c>
      <c r="J300" s="52" t="s">
        <v>140</v>
      </c>
      <c r="K300" s="52" t="s">
        <v>529</v>
      </c>
      <c r="L300" s="52" t="s">
        <v>530</v>
      </c>
      <c r="M300" s="52" t="s">
        <v>553</v>
      </c>
      <c r="N300" s="52" t="s">
        <v>532</v>
      </c>
      <c r="O300" s="52" t="s">
        <v>579</v>
      </c>
      <c r="P300" s="52" t="s">
        <v>543</v>
      </c>
      <c r="Q300" s="52" t="s">
        <v>544</v>
      </c>
      <c r="R300" s="52" t="s">
        <v>545</v>
      </c>
      <c r="S300" s="52" t="s">
        <v>546</v>
      </c>
      <c r="T300" s="52" t="s">
        <v>537</v>
      </c>
      <c r="U300" s="52" t="s">
        <v>548</v>
      </c>
      <c r="V300" s="52" t="s">
        <v>155</v>
      </c>
      <c r="W300" s="52" t="s">
        <v>549</v>
      </c>
      <c r="X300" s="104">
        <v>6</v>
      </c>
      <c r="Y300" s="104">
        <v>5</v>
      </c>
      <c r="Z300" s="104">
        <v>4</v>
      </c>
      <c r="AA300" s="104">
        <v>1</v>
      </c>
      <c r="AB300" s="104">
        <v>1</v>
      </c>
      <c r="AC300" s="104">
        <v>4</v>
      </c>
      <c r="AD300" s="104">
        <v>3</v>
      </c>
      <c r="AE300" s="104">
        <v>5</v>
      </c>
      <c r="AF300" s="104">
        <v>6</v>
      </c>
      <c r="AG300" s="104">
        <v>4</v>
      </c>
      <c r="AH300" s="104">
        <v>6</v>
      </c>
      <c r="AI300" s="104">
        <v>6</v>
      </c>
      <c r="AJ300" s="104">
        <v>5</v>
      </c>
      <c r="AK300" s="104">
        <v>6</v>
      </c>
      <c r="AL300" s="104">
        <v>5</v>
      </c>
      <c r="AM300" s="104">
        <v>5</v>
      </c>
      <c r="AN300" s="104">
        <v>5</v>
      </c>
      <c r="AO300" s="104">
        <v>3</v>
      </c>
      <c r="AP300" s="104">
        <v>3</v>
      </c>
      <c r="AQ300" s="104">
        <v>7</v>
      </c>
    </row>
    <row r="301" spans="1:43" x14ac:dyDescent="0.35">
      <c r="A301" s="52">
        <v>298</v>
      </c>
      <c r="B301" s="52" t="s">
        <v>307</v>
      </c>
      <c r="C301" s="93"/>
      <c r="D301" s="102" t="s">
        <v>539</v>
      </c>
      <c r="E301" s="102" t="s">
        <v>523</v>
      </c>
      <c r="F301" s="102" t="s">
        <v>524</v>
      </c>
      <c r="G301" s="102" t="s">
        <v>556</v>
      </c>
      <c r="H301" s="102" t="s">
        <v>566</v>
      </c>
      <c r="I301" s="102" t="s">
        <v>541</v>
      </c>
      <c r="J301" s="102" t="s">
        <v>558</v>
      </c>
      <c r="K301" s="102" t="s">
        <v>529</v>
      </c>
      <c r="L301" s="102" t="s">
        <v>152</v>
      </c>
      <c r="M301" s="102" t="s">
        <v>531</v>
      </c>
      <c r="N301" s="102" t="s">
        <v>562</v>
      </c>
      <c r="O301" s="102" t="s">
        <v>554</v>
      </c>
      <c r="P301" s="102" t="s">
        <v>534</v>
      </c>
      <c r="Q301" s="102" t="s">
        <v>544</v>
      </c>
      <c r="R301" s="102" t="s">
        <v>545</v>
      </c>
      <c r="S301" s="102" t="s">
        <v>536</v>
      </c>
      <c r="T301" s="102" t="s">
        <v>146</v>
      </c>
      <c r="U301" s="102" t="s">
        <v>548</v>
      </c>
      <c r="V301" s="102" t="s">
        <v>155</v>
      </c>
      <c r="W301" s="102" t="s">
        <v>555</v>
      </c>
      <c r="X301" s="104">
        <v>7</v>
      </c>
      <c r="Y301" s="104">
        <v>5</v>
      </c>
      <c r="Z301" s="104">
        <v>6</v>
      </c>
      <c r="AA301" s="104">
        <v>3</v>
      </c>
      <c r="AB301" s="104">
        <v>5</v>
      </c>
      <c r="AC301" s="104">
        <v>7</v>
      </c>
      <c r="AD301" s="104">
        <v>6</v>
      </c>
      <c r="AE301" s="104">
        <v>5</v>
      </c>
      <c r="AF301" s="104">
        <v>2</v>
      </c>
      <c r="AG301" s="104">
        <v>6</v>
      </c>
      <c r="AH301" s="104">
        <v>3</v>
      </c>
      <c r="AI301" s="104">
        <v>2</v>
      </c>
      <c r="AJ301" s="104">
        <v>4</v>
      </c>
      <c r="AK301" s="104">
        <v>6</v>
      </c>
      <c r="AL301" s="104">
        <v>5</v>
      </c>
      <c r="AM301" s="104">
        <v>7</v>
      </c>
      <c r="AN301" s="104">
        <v>1</v>
      </c>
      <c r="AO301" s="104">
        <v>2</v>
      </c>
      <c r="AP301" s="104">
        <v>3</v>
      </c>
      <c r="AQ301" s="104">
        <v>5</v>
      </c>
    </row>
    <row r="302" spans="1:43" x14ac:dyDescent="0.35">
      <c r="A302" s="52">
        <v>299</v>
      </c>
      <c r="B302" s="52" t="s">
        <v>651</v>
      </c>
      <c r="C302" s="93"/>
      <c r="D302" s="102" t="s">
        <v>539</v>
      </c>
      <c r="E302" s="102" t="s">
        <v>540</v>
      </c>
      <c r="F302" s="102" t="s">
        <v>524</v>
      </c>
      <c r="G302" s="102" t="s">
        <v>556</v>
      </c>
      <c r="H302" s="102" t="s">
        <v>566</v>
      </c>
      <c r="I302" s="102" t="s">
        <v>527</v>
      </c>
      <c r="J302" s="102" t="s">
        <v>558</v>
      </c>
      <c r="K302" s="102" t="s">
        <v>529</v>
      </c>
      <c r="L302" s="102" t="s">
        <v>152</v>
      </c>
      <c r="M302" s="102" t="s">
        <v>553</v>
      </c>
      <c r="N302" s="102" t="s">
        <v>532</v>
      </c>
      <c r="O302" s="102" t="s">
        <v>571</v>
      </c>
      <c r="P302" s="102" t="s">
        <v>543</v>
      </c>
      <c r="Q302" s="102" t="s">
        <v>544</v>
      </c>
      <c r="R302" s="102" t="s">
        <v>545</v>
      </c>
      <c r="S302" s="102" t="s">
        <v>536</v>
      </c>
      <c r="T302" s="102" t="s">
        <v>537</v>
      </c>
      <c r="U302" s="102" t="s">
        <v>548</v>
      </c>
      <c r="V302" s="102" t="s">
        <v>81</v>
      </c>
      <c r="W302" s="102" t="s">
        <v>549</v>
      </c>
      <c r="X302" s="104">
        <v>6</v>
      </c>
      <c r="Y302" s="104">
        <v>3</v>
      </c>
      <c r="Z302" s="104">
        <v>5</v>
      </c>
      <c r="AA302" s="104">
        <v>3</v>
      </c>
      <c r="AB302" s="104">
        <v>5</v>
      </c>
      <c r="AC302" s="104">
        <v>3</v>
      </c>
      <c r="AD302" s="104">
        <v>5</v>
      </c>
      <c r="AE302" s="104">
        <v>5</v>
      </c>
      <c r="AF302" s="104">
        <v>2</v>
      </c>
      <c r="AG302" s="104">
        <v>4</v>
      </c>
      <c r="AH302" s="104">
        <v>5</v>
      </c>
      <c r="AI302" s="104">
        <v>4</v>
      </c>
      <c r="AJ302" s="104">
        <v>6</v>
      </c>
      <c r="AK302" s="104">
        <v>6</v>
      </c>
      <c r="AL302" s="104">
        <v>5</v>
      </c>
      <c r="AM302" s="104">
        <v>7</v>
      </c>
      <c r="AN302" s="104">
        <v>4</v>
      </c>
      <c r="AO302" s="104">
        <v>2</v>
      </c>
      <c r="AP302" s="104">
        <v>4</v>
      </c>
      <c r="AQ302" s="104">
        <v>6</v>
      </c>
    </row>
    <row r="303" spans="1:43" x14ac:dyDescent="0.35">
      <c r="A303" s="52">
        <v>300</v>
      </c>
      <c r="B303" s="52" t="s">
        <v>1097</v>
      </c>
      <c r="C303" s="93"/>
      <c r="D303" s="52" t="s">
        <v>539</v>
      </c>
      <c r="E303" s="52" t="s">
        <v>523</v>
      </c>
      <c r="F303" s="52" t="s">
        <v>524</v>
      </c>
      <c r="G303" s="52" t="s">
        <v>556</v>
      </c>
      <c r="H303" s="52" t="s">
        <v>551</v>
      </c>
      <c r="I303" s="52" t="s">
        <v>552</v>
      </c>
      <c r="J303" s="52" t="s">
        <v>140</v>
      </c>
      <c r="K303" s="52" t="s">
        <v>529</v>
      </c>
      <c r="L303" s="52" t="s">
        <v>542</v>
      </c>
      <c r="M303" s="52" t="s">
        <v>553</v>
      </c>
      <c r="N303" s="52" t="s">
        <v>562</v>
      </c>
      <c r="O303" s="52" t="s">
        <v>554</v>
      </c>
      <c r="P303" s="52" t="s">
        <v>563</v>
      </c>
      <c r="Q303" s="52" t="s">
        <v>544</v>
      </c>
      <c r="R303" s="52" t="s">
        <v>545</v>
      </c>
      <c r="S303" s="52" t="s">
        <v>565</v>
      </c>
      <c r="T303" s="52" t="s">
        <v>537</v>
      </c>
      <c r="U303" s="52" t="s">
        <v>548</v>
      </c>
      <c r="V303" s="52" t="s">
        <v>155</v>
      </c>
      <c r="W303" s="52" t="s">
        <v>549</v>
      </c>
      <c r="X303" s="104">
        <v>7</v>
      </c>
      <c r="Y303" s="104">
        <v>5</v>
      </c>
      <c r="Z303" s="104">
        <v>6</v>
      </c>
      <c r="AA303" s="104">
        <v>2</v>
      </c>
      <c r="AB303" s="104">
        <v>6</v>
      </c>
      <c r="AC303" s="104">
        <v>4</v>
      </c>
      <c r="AD303" s="104">
        <v>3</v>
      </c>
      <c r="AE303" s="104">
        <v>4</v>
      </c>
      <c r="AF303" s="104">
        <v>5</v>
      </c>
      <c r="AG303" s="104">
        <v>4</v>
      </c>
      <c r="AH303" s="104">
        <v>4</v>
      </c>
      <c r="AI303" s="104">
        <v>3</v>
      </c>
      <c r="AJ303" s="104">
        <v>8</v>
      </c>
      <c r="AK303" s="104">
        <v>4</v>
      </c>
      <c r="AL303" s="104">
        <v>5</v>
      </c>
      <c r="AM303" s="104">
        <v>2</v>
      </c>
      <c r="AN303" s="104">
        <v>6</v>
      </c>
      <c r="AO303" s="104">
        <v>3</v>
      </c>
      <c r="AP303" s="104">
        <v>2</v>
      </c>
      <c r="AQ303" s="104">
        <v>7</v>
      </c>
    </row>
    <row r="304" spans="1:43" x14ac:dyDescent="0.35">
      <c r="A304" s="52">
        <v>301</v>
      </c>
      <c r="B304" s="52" t="s">
        <v>294</v>
      </c>
      <c r="C304" s="93"/>
      <c r="D304" s="102" t="s">
        <v>539</v>
      </c>
      <c r="E304" s="102" t="s">
        <v>523</v>
      </c>
      <c r="F304" s="102" t="s">
        <v>524</v>
      </c>
      <c r="G304" s="102" t="s">
        <v>550</v>
      </c>
      <c r="H304" s="102" t="s">
        <v>526</v>
      </c>
      <c r="I304" s="102" t="s">
        <v>552</v>
      </c>
      <c r="J304" s="102" t="s">
        <v>558</v>
      </c>
      <c r="K304" s="102" t="s">
        <v>529</v>
      </c>
      <c r="L304" s="102" t="s">
        <v>152</v>
      </c>
      <c r="M304" s="102" t="s">
        <v>553</v>
      </c>
      <c r="N304" s="102" t="s">
        <v>532</v>
      </c>
      <c r="O304" s="102" t="s">
        <v>533</v>
      </c>
      <c r="P304" s="102" t="s">
        <v>534</v>
      </c>
      <c r="Q304" s="102" t="s">
        <v>544</v>
      </c>
      <c r="R304" s="102" t="s">
        <v>545</v>
      </c>
      <c r="S304" s="102" t="s">
        <v>536</v>
      </c>
      <c r="T304" s="102" t="s">
        <v>547</v>
      </c>
      <c r="U304" s="102" t="s">
        <v>548</v>
      </c>
      <c r="V304" s="102" t="s">
        <v>81</v>
      </c>
      <c r="W304" s="102" t="s">
        <v>549</v>
      </c>
      <c r="X304" s="104">
        <v>7</v>
      </c>
      <c r="Y304" s="104">
        <v>5</v>
      </c>
      <c r="Z304" s="104">
        <v>5</v>
      </c>
      <c r="AA304" s="104">
        <v>4</v>
      </c>
      <c r="AB304" s="104">
        <v>2</v>
      </c>
      <c r="AC304" s="104">
        <v>4</v>
      </c>
      <c r="AD304" s="104">
        <v>5</v>
      </c>
      <c r="AE304" s="104">
        <v>5</v>
      </c>
      <c r="AF304" s="104">
        <v>1</v>
      </c>
      <c r="AG304" s="104">
        <v>3</v>
      </c>
      <c r="AH304" s="104">
        <v>6</v>
      </c>
      <c r="AI304" s="104">
        <v>5</v>
      </c>
      <c r="AJ304" s="104">
        <v>4</v>
      </c>
      <c r="AK304" s="104">
        <v>5</v>
      </c>
      <c r="AL304" s="104">
        <v>5</v>
      </c>
      <c r="AM304" s="104">
        <v>7</v>
      </c>
      <c r="AN304" s="104">
        <v>2</v>
      </c>
      <c r="AO304" s="104">
        <v>3</v>
      </c>
      <c r="AP304" s="104">
        <v>5</v>
      </c>
      <c r="AQ304" s="104">
        <v>7</v>
      </c>
    </row>
    <row r="305" spans="1:43" x14ac:dyDescent="0.35">
      <c r="A305" s="52">
        <v>302</v>
      </c>
      <c r="B305" s="52" t="s">
        <v>1160</v>
      </c>
      <c r="C305" s="93"/>
      <c r="D305" s="52" t="s">
        <v>539</v>
      </c>
      <c r="E305" s="52" t="s">
        <v>523</v>
      </c>
      <c r="F305" s="52" t="s">
        <v>524</v>
      </c>
      <c r="G305" s="52" t="s">
        <v>556</v>
      </c>
      <c r="H305" s="52" t="s">
        <v>551</v>
      </c>
      <c r="I305" s="52" t="s">
        <v>552</v>
      </c>
      <c r="J305" s="52" t="s">
        <v>140</v>
      </c>
      <c r="K305" s="52" t="s">
        <v>529</v>
      </c>
      <c r="L305" s="52" t="s">
        <v>530</v>
      </c>
      <c r="M305" s="52" t="s">
        <v>553</v>
      </c>
      <c r="N305" s="52" t="s">
        <v>532</v>
      </c>
      <c r="O305" s="52" t="s">
        <v>554</v>
      </c>
      <c r="P305" s="52" t="s">
        <v>563</v>
      </c>
      <c r="Q305" s="52" t="s">
        <v>544</v>
      </c>
      <c r="R305" s="52" t="s">
        <v>567</v>
      </c>
      <c r="S305" s="52" t="s">
        <v>546</v>
      </c>
      <c r="T305" s="52" t="s">
        <v>547</v>
      </c>
      <c r="U305" s="52" t="s">
        <v>548</v>
      </c>
      <c r="V305" s="52" t="s">
        <v>155</v>
      </c>
      <c r="W305" s="52" t="s">
        <v>156</v>
      </c>
      <c r="X305" s="104">
        <v>7</v>
      </c>
      <c r="Y305" s="104">
        <v>5</v>
      </c>
      <c r="Z305" s="104">
        <v>7</v>
      </c>
      <c r="AA305" s="104">
        <v>2</v>
      </c>
      <c r="AB305" s="104">
        <v>6</v>
      </c>
      <c r="AC305" s="104">
        <v>5</v>
      </c>
      <c r="AD305" s="104">
        <v>2</v>
      </c>
      <c r="AE305" s="104">
        <v>5</v>
      </c>
      <c r="AF305" s="104">
        <v>6</v>
      </c>
      <c r="AG305" s="104">
        <v>4</v>
      </c>
      <c r="AH305" s="104">
        <v>5</v>
      </c>
      <c r="AI305" s="104">
        <v>2</v>
      </c>
      <c r="AJ305" s="104">
        <v>8</v>
      </c>
      <c r="AK305" s="104">
        <v>5</v>
      </c>
      <c r="AL305" s="104">
        <v>6</v>
      </c>
      <c r="AM305" s="104">
        <v>5</v>
      </c>
      <c r="AN305" s="104">
        <v>2</v>
      </c>
      <c r="AO305" s="104">
        <v>3</v>
      </c>
      <c r="AP305" s="104">
        <v>2</v>
      </c>
      <c r="AQ305" s="104">
        <v>3</v>
      </c>
    </row>
    <row r="306" spans="1:43" x14ac:dyDescent="0.35">
      <c r="A306" s="52">
        <v>303</v>
      </c>
      <c r="B306" s="52" t="s">
        <v>1057</v>
      </c>
      <c r="C306" s="93"/>
      <c r="D306" s="52" t="s">
        <v>522</v>
      </c>
      <c r="E306" s="52" t="s">
        <v>540</v>
      </c>
      <c r="F306" s="52" t="s">
        <v>148</v>
      </c>
      <c r="G306" s="52" t="s">
        <v>556</v>
      </c>
      <c r="H306" s="52" t="s">
        <v>566</v>
      </c>
      <c r="I306" s="52" t="s">
        <v>541</v>
      </c>
      <c r="J306" s="52" t="s">
        <v>558</v>
      </c>
      <c r="K306" s="52" t="s">
        <v>529</v>
      </c>
      <c r="L306" s="52" t="s">
        <v>542</v>
      </c>
      <c r="M306" s="52" t="s">
        <v>553</v>
      </c>
      <c r="N306" s="52" t="s">
        <v>532</v>
      </c>
      <c r="O306" s="52" t="s">
        <v>554</v>
      </c>
      <c r="P306" s="52" t="s">
        <v>534</v>
      </c>
      <c r="Q306" s="52" t="s">
        <v>544</v>
      </c>
      <c r="R306" s="52" t="s">
        <v>567</v>
      </c>
      <c r="S306" s="52" t="s">
        <v>568</v>
      </c>
      <c r="T306" s="52" t="s">
        <v>146</v>
      </c>
      <c r="U306" s="52" t="s">
        <v>548</v>
      </c>
      <c r="V306" s="52" t="s">
        <v>81</v>
      </c>
      <c r="W306" s="52" t="s">
        <v>549</v>
      </c>
      <c r="X306" s="104">
        <v>3</v>
      </c>
      <c r="Y306" s="104">
        <v>4</v>
      </c>
      <c r="Z306" s="104">
        <v>3</v>
      </c>
      <c r="AA306" s="104">
        <v>2</v>
      </c>
      <c r="AB306" s="104">
        <v>5</v>
      </c>
      <c r="AC306" s="104">
        <v>7</v>
      </c>
      <c r="AD306" s="104">
        <v>5</v>
      </c>
      <c r="AE306" s="104">
        <v>4</v>
      </c>
      <c r="AF306" s="104">
        <v>5</v>
      </c>
      <c r="AG306" s="104">
        <v>5</v>
      </c>
      <c r="AH306" s="104">
        <v>6</v>
      </c>
      <c r="AI306" s="104">
        <v>3</v>
      </c>
      <c r="AJ306" s="104">
        <v>4</v>
      </c>
      <c r="AK306" s="104">
        <v>6</v>
      </c>
      <c r="AL306" s="104">
        <v>6</v>
      </c>
      <c r="AM306" s="104">
        <v>8</v>
      </c>
      <c r="AN306" s="104">
        <v>1</v>
      </c>
      <c r="AO306" s="104">
        <v>2</v>
      </c>
      <c r="AP306" s="104">
        <v>4</v>
      </c>
      <c r="AQ306" s="104">
        <v>7</v>
      </c>
    </row>
    <row r="307" spans="1:43" x14ac:dyDescent="0.35">
      <c r="A307" s="52">
        <v>304</v>
      </c>
      <c r="B307" s="52" t="s">
        <v>723</v>
      </c>
      <c r="C307" s="93"/>
    </row>
    <row r="308" spans="1:43" x14ac:dyDescent="0.35">
      <c r="A308" s="52">
        <v>305</v>
      </c>
      <c r="B308" s="52" t="s">
        <v>723</v>
      </c>
      <c r="C308" s="93"/>
    </row>
    <row r="309" spans="1:43" x14ac:dyDescent="0.35">
      <c r="A309" s="52">
        <v>306</v>
      </c>
      <c r="B309" s="52" t="s">
        <v>723</v>
      </c>
      <c r="C309" s="93"/>
    </row>
    <row r="310" spans="1:43" x14ac:dyDescent="0.35">
      <c r="A310" s="52">
        <v>307</v>
      </c>
      <c r="B310" s="52" t="s">
        <v>723</v>
      </c>
      <c r="C310" s="93"/>
    </row>
    <row r="311" spans="1:43" x14ac:dyDescent="0.35">
      <c r="A311" s="52">
        <v>308</v>
      </c>
      <c r="B311" s="52" t="s">
        <v>723</v>
      </c>
      <c r="C311" s="93"/>
    </row>
    <row r="312" spans="1:43" x14ac:dyDescent="0.35">
      <c r="A312" s="52">
        <v>309</v>
      </c>
      <c r="B312" s="52" t="s">
        <v>723</v>
      </c>
      <c r="C312" s="93"/>
    </row>
    <row r="313" spans="1:43" x14ac:dyDescent="0.35">
      <c r="A313" s="52">
        <v>310</v>
      </c>
      <c r="B313" s="52" t="s">
        <v>723</v>
      </c>
      <c r="C313" s="93"/>
    </row>
    <row r="314" spans="1:43" x14ac:dyDescent="0.35">
      <c r="A314" s="52">
        <v>311</v>
      </c>
      <c r="B314" s="52" t="s">
        <v>723</v>
      </c>
      <c r="C314" s="93"/>
    </row>
    <row r="315" spans="1:43" x14ac:dyDescent="0.35">
      <c r="A315" s="52">
        <v>312</v>
      </c>
      <c r="B315" s="52" t="s">
        <v>723</v>
      </c>
      <c r="C315" s="93"/>
    </row>
    <row r="316" spans="1:43" x14ac:dyDescent="0.35">
      <c r="A316" s="52">
        <v>313</v>
      </c>
      <c r="B316" s="52" t="s">
        <v>723</v>
      </c>
      <c r="C316" s="93"/>
    </row>
    <row r="317" spans="1:43" x14ac:dyDescent="0.35">
      <c r="A317" s="52">
        <v>314</v>
      </c>
      <c r="B317" s="52" t="s">
        <v>723</v>
      </c>
      <c r="C317" s="93"/>
    </row>
    <row r="318" spans="1:43" x14ac:dyDescent="0.35">
      <c r="A318" s="52">
        <v>315</v>
      </c>
      <c r="B318" s="52" t="s">
        <v>723</v>
      </c>
      <c r="C318" s="93"/>
    </row>
    <row r="319" spans="1:43" x14ac:dyDescent="0.35">
      <c r="A319" s="52">
        <v>316</v>
      </c>
      <c r="B319" s="52" t="s">
        <v>723</v>
      </c>
      <c r="C319" s="93"/>
    </row>
    <row r="320" spans="1:43" x14ac:dyDescent="0.35">
      <c r="A320" s="52">
        <v>317</v>
      </c>
      <c r="B320" s="52" t="s">
        <v>723</v>
      </c>
      <c r="C320" s="93"/>
    </row>
    <row r="321" spans="1:3" x14ac:dyDescent="0.35">
      <c r="A321" s="52">
        <v>318</v>
      </c>
      <c r="B321" s="52" t="s">
        <v>723</v>
      </c>
      <c r="C321" s="93"/>
    </row>
    <row r="322" spans="1:3" x14ac:dyDescent="0.35">
      <c r="A322" s="52">
        <v>319</v>
      </c>
      <c r="B322" s="52" t="s">
        <v>723</v>
      </c>
      <c r="C322" s="93"/>
    </row>
    <row r="323" spans="1:3" x14ac:dyDescent="0.35">
      <c r="A323" s="52">
        <v>320</v>
      </c>
      <c r="B323" s="52" t="s">
        <v>723</v>
      </c>
      <c r="C323" s="93"/>
    </row>
    <row r="324" spans="1:3" x14ac:dyDescent="0.35">
      <c r="A324" s="52">
        <v>321</v>
      </c>
      <c r="B324" s="52" t="s">
        <v>723</v>
      </c>
      <c r="C324" s="93"/>
    </row>
    <row r="325" spans="1:3" x14ac:dyDescent="0.35">
      <c r="A325" s="52">
        <v>322</v>
      </c>
      <c r="B325" s="52" t="s">
        <v>723</v>
      </c>
      <c r="C325" s="93"/>
    </row>
    <row r="326" spans="1:3" x14ac:dyDescent="0.35">
      <c r="A326" s="52">
        <v>323</v>
      </c>
      <c r="B326" s="52" t="s">
        <v>723</v>
      </c>
      <c r="C326" s="93"/>
    </row>
    <row r="327" spans="1:3" x14ac:dyDescent="0.35">
      <c r="A327" s="52">
        <v>324</v>
      </c>
      <c r="B327" s="52" t="s">
        <v>723</v>
      </c>
      <c r="C327" s="93"/>
    </row>
    <row r="328" spans="1:3" x14ac:dyDescent="0.35">
      <c r="A328" s="52">
        <v>325</v>
      </c>
      <c r="B328" s="52" t="s">
        <v>723</v>
      </c>
      <c r="C328" s="93"/>
    </row>
    <row r="329" spans="1:3" x14ac:dyDescent="0.35">
      <c r="A329" s="52">
        <v>326</v>
      </c>
      <c r="B329" s="52" t="s">
        <v>723</v>
      </c>
      <c r="C329" s="93"/>
    </row>
    <row r="330" spans="1:3" x14ac:dyDescent="0.35">
      <c r="A330" s="52">
        <v>327</v>
      </c>
      <c r="B330" s="52" t="s">
        <v>723</v>
      </c>
      <c r="C330" s="93"/>
    </row>
    <row r="331" spans="1:3" x14ac:dyDescent="0.35">
      <c r="A331" s="52">
        <v>328</v>
      </c>
      <c r="B331" s="52" t="s">
        <v>723</v>
      </c>
      <c r="C331" s="93"/>
    </row>
    <row r="332" spans="1:3" x14ac:dyDescent="0.35">
      <c r="A332" s="52">
        <v>329</v>
      </c>
      <c r="B332" s="52" t="s">
        <v>723</v>
      </c>
      <c r="C332" s="93"/>
    </row>
    <row r="333" spans="1:3" x14ac:dyDescent="0.35">
      <c r="A333" s="52">
        <v>330</v>
      </c>
      <c r="B333" s="52" t="s">
        <v>723</v>
      </c>
      <c r="C333" s="93"/>
    </row>
    <row r="334" spans="1:3" x14ac:dyDescent="0.35">
      <c r="A334" s="52">
        <v>331</v>
      </c>
      <c r="B334" s="52" t="s">
        <v>723</v>
      </c>
      <c r="C334" s="93"/>
    </row>
    <row r="335" spans="1:3" x14ac:dyDescent="0.35">
      <c r="A335" s="52">
        <v>332</v>
      </c>
      <c r="B335" s="52" t="s">
        <v>723</v>
      </c>
      <c r="C335" s="93"/>
    </row>
    <row r="336" spans="1:3" x14ac:dyDescent="0.35">
      <c r="A336" s="52">
        <v>333</v>
      </c>
      <c r="B336" s="52" t="s">
        <v>723</v>
      </c>
      <c r="C336" s="93"/>
    </row>
    <row r="337" spans="1:3" x14ac:dyDescent="0.35">
      <c r="A337" s="52">
        <v>334</v>
      </c>
      <c r="B337" s="52" t="s">
        <v>723</v>
      </c>
      <c r="C337" s="93"/>
    </row>
    <row r="338" spans="1:3" x14ac:dyDescent="0.35">
      <c r="A338" s="52">
        <v>335</v>
      </c>
      <c r="B338" s="52" t="s">
        <v>723</v>
      </c>
      <c r="C338" s="93"/>
    </row>
    <row r="339" spans="1:3" x14ac:dyDescent="0.35">
      <c r="A339" s="52">
        <v>336</v>
      </c>
      <c r="B339" s="52" t="s">
        <v>723</v>
      </c>
      <c r="C339" s="93"/>
    </row>
    <row r="340" spans="1:3" x14ac:dyDescent="0.35">
      <c r="A340" s="52">
        <v>337</v>
      </c>
      <c r="B340" s="52" t="s">
        <v>723</v>
      </c>
      <c r="C340" s="93"/>
    </row>
    <row r="341" spans="1:3" x14ac:dyDescent="0.35">
      <c r="A341" s="52">
        <v>338</v>
      </c>
      <c r="B341" s="52" t="s">
        <v>723</v>
      </c>
      <c r="C341" s="93"/>
    </row>
    <row r="342" spans="1:3" x14ac:dyDescent="0.35">
      <c r="A342" s="52">
        <v>339</v>
      </c>
      <c r="B342" s="52" t="s">
        <v>723</v>
      </c>
      <c r="C342" s="93"/>
    </row>
    <row r="343" spans="1:3" x14ac:dyDescent="0.35">
      <c r="A343" s="52">
        <v>340</v>
      </c>
      <c r="B343" s="52" t="s">
        <v>723</v>
      </c>
      <c r="C343" s="93"/>
    </row>
    <row r="344" spans="1:3" x14ac:dyDescent="0.35">
      <c r="A344" s="52">
        <v>341</v>
      </c>
      <c r="B344" s="52" t="s">
        <v>723</v>
      </c>
      <c r="C344" s="93"/>
    </row>
    <row r="345" spans="1:3" x14ac:dyDescent="0.35">
      <c r="A345" s="52">
        <v>342</v>
      </c>
      <c r="B345" s="52" t="s">
        <v>723</v>
      </c>
      <c r="C345" s="93"/>
    </row>
    <row r="346" spans="1:3" x14ac:dyDescent="0.35">
      <c r="A346" s="52">
        <v>343</v>
      </c>
      <c r="B346" s="52" t="s">
        <v>723</v>
      </c>
      <c r="C346" s="93"/>
    </row>
    <row r="347" spans="1:3" x14ac:dyDescent="0.35">
      <c r="A347" s="52">
        <v>344</v>
      </c>
      <c r="B347" s="52" t="s">
        <v>723</v>
      </c>
      <c r="C347" s="93"/>
    </row>
    <row r="348" spans="1:3" x14ac:dyDescent="0.35">
      <c r="A348" s="52">
        <v>345</v>
      </c>
      <c r="B348" s="52" t="s">
        <v>723</v>
      </c>
      <c r="C348" s="93"/>
    </row>
    <row r="349" spans="1:3" x14ac:dyDescent="0.35">
      <c r="A349" s="52">
        <v>346</v>
      </c>
      <c r="B349" s="52" t="s">
        <v>723</v>
      </c>
      <c r="C349" s="93"/>
    </row>
    <row r="350" spans="1:3" x14ac:dyDescent="0.35">
      <c r="A350" s="52">
        <v>347</v>
      </c>
      <c r="B350" s="52" t="s">
        <v>723</v>
      </c>
      <c r="C350" s="93"/>
    </row>
    <row r="351" spans="1:3" x14ac:dyDescent="0.35">
      <c r="A351" s="52">
        <v>348</v>
      </c>
      <c r="B351" s="52" t="s">
        <v>723</v>
      </c>
      <c r="C351" s="93"/>
    </row>
    <row r="352" spans="1:3" x14ac:dyDescent="0.35">
      <c r="A352" s="52">
        <v>349</v>
      </c>
      <c r="B352" s="52" t="s">
        <v>723</v>
      </c>
      <c r="C352" s="93"/>
    </row>
    <row r="353" spans="1:3" x14ac:dyDescent="0.35">
      <c r="A353" s="52">
        <v>350</v>
      </c>
      <c r="B353" s="52" t="s">
        <v>723</v>
      </c>
      <c r="C353" s="93"/>
    </row>
    <row r="354" spans="1:3" x14ac:dyDescent="0.35">
      <c r="A354" s="52">
        <v>351</v>
      </c>
      <c r="B354" s="52" t="s">
        <v>723</v>
      </c>
      <c r="C354" s="93"/>
    </row>
    <row r="355" spans="1:3" x14ac:dyDescent="0.35">
      <c r="A355" s="52">
        <v>352</v>
      </c>
      <c r="B355" s="52" t="s">
        <v>723</v>
      </c>
      <c r="C355" s="93"/>
    </row>
    <row r="356" spans="1:3" x14ac:dyDescent="0.35">
      <c r="A356" s="52">
        <v>353</v>
      </c>
      <c r="B356" s="52" t="s">
        <v>723</v>
      </c>
      <c r="C356" s="93"/>
    </row>
    <row r="357" spans="1:3" x14ac:dyDescent="0.35">
      <c r="A357" s="52">
        <v>354</v>
      </c>
      <c r="B357" s="52" t="s">
        <v>723</v>
      </c>
      <c r="C357" s="93"/>
    </row>
    <row r="358" spans="1:3" x14ac:dyDescent="0.35">
      <c r="A358" s="52">
        <v>355</v>
      </c>
      <c r="B358" s="52" t="s">
        <v>723</v>
      </c>
      <c r="C358" s="93"/>
    </row>
    <row r="359" spans="1:3" x14ac:dyDescent="0.35">
      <c r="A359" s="52">
        <v>356</v>
      </c>
      <c r="B359" s="52" t="s">
        <v>723</v>
      </c>
      <c r="C359" s="93"/>
    </row>
    <row r="360" spans="1:3" x14ac:dyDescent="0.35">
      <c r="A360" s="52">
        <v>357</v>
      </c>
      <c r="B360" s="52" t="s">
        <v>723</v>
      </c>
      <c r="C360" s="93"/>
    </row>
    <row r="361" spans="1:3" x14ac:dyDescent="0.35">
      <c r="A361" s="52">
        <v>358</v>
      </c>
      <c r="B361" s="52" t="s">
        <v>723</v>
      </c>
      <c r="C361" s="93"/>
    </row>
    <row r="362" spans="1:3" x14ac:dyDescent="0.35">
      <c r="A362" s="52">
        <v>359</v>
      </c>
      <c r="B362" s="52" t="s">
        <v>723</v>
      </c>
      <c r="C362" s="93"/>
    </row>
    <row r="363" spans="1:3" x14ac:dyDescent="0.35">
      <c r="A363" s="52">
        <v>360</v>
      </c>
      <c r="B363" s="52" t="s">
        <v>723</v>
      </c>
      <c r="C363" s="93"/>
    </row>
    <row r="364" spans="1:3" x14ac:dyDescent="0.35">
      <c r="A364" s="52">
        <v>361</v>
      </c>
      <c r="B364" s="52" t="s">
        <v>723</v>
      </c>
      <c r="C364" s="93"/>
    </row>
    <row r="365" spans="1:3" x14ac:dyDescent="0.35">
      <c r="A365" s="52">
        <v>362</v>
      </c>
      <c r="B365" s="52" t="s">
        <v>723</v>
      </c>
      <c r="C365" s="93"/>
    </row>
    <row r="366" spans="1:3" x14ac:dyDescent="0.35">
      <c r="A366" s="52">
        <v>363</v>
      </c>
      <c r="B366" s="52" t="s">
        <v>723</v>
      </c>
      <c r="C366" s="93"/>
    </row>
    <row r="367" spans="1:3" x14ac:dyDescent="0.35">
      <c r="A367" s="52">
        <v>364</v>
      </c>
      <c r="B367" s="52" t="s">
        <v>723</v>
      </c>
      <c r="C367" s="93"/>
    </row>
    <row r="368" spans="1:3" x14ac:dyDescent="0.35">
      <c r="A368" s="52">
        <v>365</v>
      </c>
      <c r="B368" s="52" t="s">
        <v>723</v>
      </c>
      <c r="C368" s="93"/>
    </row>
    <row r="369" spans="1:3" x14ac:dyDescent="0.35">
      <c r="A369" s="52">
        <v>366</v>
      </c>
      <c r="B369" s="52" t="s">
        <v>723</v>
      </c>
      <c r="C369" s="93"/>
    </row>
    <row r="370" spans="1:3" x14ac:dyDescent="0.35">
      <c r="A370" s="52">
        <v>367</v>
      </c>
      <c r="B370" s="52" t="s">
        <v>723</v>
      </c>
      <c r="C370" s="93"/>
    </row>
    <row r="371" spans="1:3" x14ac:dyDescent="0.35">
      <c r="A371" s="52">
        <v>368</v>
      </c>
      <c r="B371" s="52" t="s">
        <v>723</v>
      </c>
      <c r="C371" s="93"/>
    </row>
    <row r="372" spans="1:3" x14ac:dyDescent="0.35">
      <c r="A372" s="52">
        <v>369</v>
      </c>
      <c r="B372" s="52" t="s">
        <v>723</v>
      </c>
      <c r="C372" s="93"/>
    </row>
    <row r="373" spans="1:3" x14ac:dyDescent="0.35">
      <c r="A373" s="52">
        <v>370</v>
      </c>
      <c r="B373" s="52" t="s">
        <v>723</v>
      </c>
      <c r="C373" s="93"/>
    </row>
    <row r="374" spans="1:3" x14ac:dyDescent="0.35">
      <c r="A374" s="52">
        <v>371</v>
      </c>
      <c r="B374" s="52" t="s">
        <v>723</v>
      </c>
      <c r="C374" s="93"/>
    </row>
    <row r="375" spans="1:3" x14ac:dyDescent="0.35">
      <c r="A375" s="52">
        <v>372</v>
      </c>
      <c r="B375" s="52" t="s">
        <v>723</v>
      </c>
      <c r="C375" s="93"/>
    </row>
    <row r="376" spans="1:3" x14ac:dyDescent="0.35">
      <c r="A376" s="52">
        <v>373</v>
      </c>
      <c r="B376" s="52" t="s">
        <v>723</v>
      </c>
      <c r="C376" s="93"/>
    </row>
    <row r="377" spans="1:3" x14ac:dyDescent="0.35">
      <c r="A377" s="52">
        <v>374</v>
      </c>
      <c r="B377" s="52" t="s">
        <v>723</v>
      </c>
      <c r="C377" s="93"/>
    </row>
    <row r="378" spans="1:3" x14ac:dyDescent="0.35">
      <c r="A378" s="52">
        <v>375</v>
      </c>
      <c r="B378" s="52" t="s">
        <v>723</v>
      </c>
      <c r="C378" s="93"/>
    </row>
    <row r="379" spans="1:3" x14ac:dyDescent="0.35">
      <c r="A379" s="52">
        <v>376</v>
      </c>
      <c r="B379" s="52" t="s">
        <v>723</v>
      </c>
      <c r="C379" s="93"/>
    </row>
    <row r="380" spans="1:3" x14ac:dyDescent="0.35">
      <c r="A380" s="52">
        <v>377</v>
      </c>
      <c r="B380" s="52" t="s">
        <v>723</v>
      </c>
      <c r="C380" s="93"/>
    </row>
    <row r="381" spans="1:3" x14ac:dyDescent="0.35">
      <c r="A381" s="52">
        <v>378</v>
      </c>
      <c r="B381" s="52" t="s">
        <v>723</v>
      </c>
      <c r="C381" s="93"/>
    </row>
    <row r="382" spans="1:3" x14ac:dyDescent="0.35">
      <c r="A382" s="52">
        <v>379</v>
      </c>
      <c r="B382" s="52" t="s">
        <v>723</v>
      </c>
      <c r="C382" s="93"/>
    </row>
    <row r="383" spans="1:3" x14ac:dyDescent="0.35">
      <c r="A383" s="52">
        <v>380</v>
      </c>
      <c r="B383" s="52" t="s">
        <v>723</v>
      </c>
      <c r="C383" s="93"/>
    </row>
    <row r="384" spans="1:3" x14ac:dyDescent="0.35">
      <c r="A384" s="52">
        <v>381</v>
      </c>
      <c r="B384" s="52" t="s">
        <v>723</v>
      </c>
      <c r="C384" s="93"/>
    </row>
    <row r="385" spans="1:3" x14ac:dyDescent="0.35">
      <c r="A385" s="52">
        <v>382</v>
      </c>
      <c r="B385" s="52" t="s">
        <v>723</v>
      </c>
      <c r="C385" s="93"/>
    </row>
    <row r="386" spans="1:3" x14ac:dyDescent="0.35">
      <c r="A386" s="52">
        <v>383</v>
      </c>
      <c r="B386" s="52" t="s">
        <v>723</v>
      </c>
      <c r="C386" s="93"/>
    </row>
    <row r="387" spans="1:3" x14ac:dyDescent="0.35">
      <c r="A387" s="52">
        <v>384</v>
      </c>
      <c r="B387" s="52" t="s">
        <v>723</v>
      </c>
      <c r="C387" s="93"/>
    </row>
    <row r="388" spans="1:3" x14ac:dyDescent="0.35">
      <c r="A388" s="52">
        <v>385</v>
      </c>
      <c r="B388" s="52" t="s">
        <v>723</v>
      </c>
      <c r="C388" s="93"/>
    </row>
    <row r="389" spans="1:3" x14ac:dyDescent="0.35">
      <c r="A389" s="52">
        <v>386</v>
      </c>
      <c r="B389" s="52" t="s">
        <v>723</v>
      </c>
      <c r="C389" s="93"/>
    </row>
    <row r="390" spans="1:3" x14ac:dyDescent="0.35">
      <c r="A390" s="52">
        <v>387</v>
      </c>
      <c r="B390" s="52" t="s">
        <v>723</v>
      </c>
      <c r="C390" s="93"/>
    </row>
    <row r="391" spans="1:3" x14ac:dyDescent="0.35">
      <c r="A391" s="52">
        <v>388</v>
      </c>
      <c r="B391" s="52" t="s">
        <v>723</v>
      </c>
      <c r="C391" s="93"/>
    </row>
    <row r="392" spans="1:3" x14ac:dyDescent="0.35">
      <c r="A392" s="52">
        <v>389</v>
      </c>
      <c r="B392" s="52" t="s">
        <v>723</v>
      </c>
      <c r="C392" s="93"/>
    </row>
    <row r="393" spans="1:3" x14ac:dyDescent="0.35">
      <c r="A393" s="52">
        <v>390</v>
      </c>
      <c r="B393" s="52" t="s">
        <v>723</v>
      </c>
      <c r="C393" s="93"/>
    </row>
    <row r="394" spans="1:3" x14ac:dyDescent="0.35">
      <c r="A394" s="52">
        <v>391</v>
      </c>
      <c r="B394" s="52" t="s">
        <v>723</v>
      </c>
      <c r="C394" s="93"/>
    </row>
    <row r="395" spans="1:3" x14ac:dyDescent="0.35">
      <c r="A395" s="52">
        <v>392</v>
      </c>
      <c r="B395" s="52" t="s">
        <v>723</v>
      </c>
      <c r="C395" s="93"/>
    </row>
    <row r="396" spans="1:3" x14ac:dyDescent="0.35">
      <c r="A396" s="52">
        <v>393</v>
      </c>
      <c r="B396" s="52" t="s">
        <v>723</v>
      </c>
      <c r="C396" s="93"/>
    </row>
    <row r="397" spans="1:3" x14ac:dyDescent="0.35">
      <c r="A397" s="52">
        <v>394</v>
      </c>
      <c r="B397" s="52" t="s">
        <v>723</v>
      </c>
      <c r="C397" s="93"/>
    </row>
    <row r="398" spans="1:3" x14ac:dyDescent="0.35">
      <c r="A398" s="52">
        <v>395</v>
      </c>
      <c r="B398" s="52" t="s">
        <v>723</v>
      </c>
      <c r="C398" s="93"/>
    </row>
    <row r="399" spans="1:3" x14ac:dyDescent="0.35">
      <c r="A399" s="52">
        <v>396</v>
      </c>
      <c r="B399" s="52" t="s">
        <v>723</v>
      </c>
      <c r="C399" s="93"/>
    </row>
    <row r="400" spans="1:3" x14ac:dyDescent="0.35">
      <c r="A400" s="52">
        <v>397</v>
      </c>
      <c r="B400" s="52" t="s">
        <v>723</v>
      </c>
      <c r="C400" s="93"/>
    </row>
    <row r="401" spans="1:3" x14ac:dyDescent="0.35">
      <c r="A401" s="52">
        <v>398</v>
      </c>
      <c r="B401" s="52" t="s">
        <v>723</v>
      </c>
      <c r="C401" s="93"/>
    </row>
    <row r="402" spans="1:3" x14ac:dyDescent="0.35">
      <c r="A402" s="52">
        <v>399</v>
      </c>
      <c r="B402" s="52" t="s">
        <v>723</v>
      </c>
      <c r="C402" s="93"/>
    </row>
    <row r="403" spans="1:3" x14ac:dyDescent="0.35">
      <c r="A403" s="52">
        <v>400</v>
      </c>
      <c r="B403" s="52" t="s">
        <v>723</v>
      </c>
      <c r="C403" s="93"/>
    </row>
    <row r="404" spans="1:3" x14ac:dyDescent="0.35">
      <c r="A404" s="52">
        <v>401</v>
      </c>
      <c r="B404" s="52" t="s">
        <v>723</v>
      </c>
      <c r="C404" s="93"/>
    </row>
    <row r="405" spans="1:3" x14ac:dyDescent="0.35">
      <c r="A405" s="52">
        <v>402</v>
      </c>
      <c r="B405" s="52" t="s">
        <v>723</v>
      </c>
      <c r="C405" s="93"/>
    </row>
    <row r="406" spans="1:3" x14ac:dyDescent="0.35">
      <c r="A406" s="52">
        <v>403</v>
      </c>
      <c r="B406" s="52" t="s">
        <v>723</v>
      </c>
      <c r="C406" s="93"/>
    </row>
    <row r="407" spans="1:3" x14ac:dyDescent="0.35">
      <c r="A407" s="52">
        <v>404</v>
      </c>
      <c r="B407" s="52" t="s">
        <v>723</v>
      </c>
      <c r="C407" s="93"/>
    </row>
    <row r="408" spans="1:3" x14ac:dyDescent="0.35">
      <c r="A408" s="52">
        <v>405</v>
      </c>
      <c r="B408" s="52" t="s">
        <v>723</v>
      </c>
      <c r="C408" s="93"/>
    </row>
    <row r="409" spans="1:3" x14ac:dyDescent="0.35">
      <c r="A409" s="52">
        <v>406</v>
      </c>
      <c r="B409" s="52" t="s">
        <v>723</v>
      </c>
      <c r="C409" s="93"/>
    </row>
    <row r="410" spans="1:3" x14ac:dyDescent="0.35">
      <c r="A410" s="52">
        <v>407</v>
      </c>
      <c r="B410" s="52" t="s">
        <v>723</v>
      </c>
      <c r="C410" s="93"/>
    </row>
    <row r="411" spans="1:3" x14ac:dyDescent="0.35">
      <c r="A411" s="52">
        <v>408</v>
      </c>
      <c r="B411" s="52" t="s">
        <v>723</v>
      </c>
      <c r="C411" s="93"/>
    </row>
    <row r="412" spans="1:3" x14ac:dyDescent="0.35">
      <c r="A412" s="52">
        <v>409</v>
      </c>
      <c r="B412" s="52" t="s">
        <v>723</v>
      </c>
      <c r="C412" s="93"/>
    </row>
    <row r="413" spans="1:3" x14ac:dyDescent="0.35">
      <c r="A413" s="52">
        <v>410</v>
      </c>
      <c r="B413" s="52" t="s">
        <v>723</v>
      </c>
      <c r="C413" s="93"/>
    </row>
    <row r="414" spans="1:3" x14ac:dyDescent="0.35">
      <c r="A414" s="52">
        <v>411</v>
      </c>
      <c r="B414" s="52" t="s">
        <v>723</v>
      </c>
      <c r="C414" s="93"/>
    </row>
    <row r="415" spans="1:3" x14ac:dyDescent="0.35">
      <c r="A415" s="52">
        <v>412</v>
      </c>
      <c r="B415" s="52" t="s">
        <v>723</v>
      </c>
      <c r="C415" s="93"/>
    </row>
    <row r="416" spans="1:3" x14ac:dyDescent="0.35">
      <c r="A416" s="52">
        <v>413</v>
      </c>
      <c r="B416" s="52" t="s">
        <v>723</v>
      </c>
      <c r="C416" s="93"/>
    </row>
    <row r="417" spans="1:3" x14ac:dyDescent="0.35">
      <c r="A417" s="52">
        <v>414</v>
      </c>
      <c r="B417" s="52" t="s">
        <v>723</v>
      </c>
      <c r="C417" s="93"/>
    </row>
    <row r="418" spans="1:3" x14ac:dyDescent="0.35">
      <c r="A418" s="52">
        <v>415</v>
      </c>
      <c r="B418" s="52" t="s">
        <v>723</v>
      </c>
      <c r="C418" s="93"/>
    </row>
    <row r="419" spans="1:3" x14ac:dyDescent="0.35">
      <c r="A419" s="52">
        <v>416</v>
      </c>
      <c r="B419" s="52" t="s">
        <v>723</v>
      </c>
      <c r="C419" s="93"/>
    </row>
    <row r="420" spans="1:3" x14ac:dyDescent="0.35">
      <c r="A420" s="52">
        <v>417</v>
      </c>
      <c r="B420" s="52" t="s">
        <v>723</v>
      </c>
      <c r="C420" s="93"/>
    </row>
    <row r="421" spans="1:3" x14ac:dyDescent="0.35">
      <c r="A421" s="52">
        <v>418</v>
      </c>
      <c r="B421" s="52" t="s">
        <v>723</v>
      </c>
      <c r="C421" s="93"/>
    </row>
    <row r="422" spans="1:3" x14ac:dyDescent="0.35">
      <c r="A422" s="52">
        <v>419</v>
      </c>
      <c r="B422" s="52" t="s">
        <v>723</v>
      </c>
      <c r="C422" s="93"/>
    </row>
    <row r="423" spans="1:3" x14ac:dyDescent="0.35">
      <c r="A423" s="52">
        <v>420</v>
      </c>
      <c r="B423" s="52" t="s">
        <v>723</v>
      </c>
      <c r="C423" s="93"/>
    </row>
    <row r="424" spans="1:3" x14ac:dyDescent="0.35">
      <c r="A424" s="52">
        <v>421</v>
      </c>
      <c r="B424" s="52" t="s">
        <v>723</v>
      </c>
      <c r="C424" s="93"/>
    </row>
    <row r="425" spans="1:3" x14ac:dyDescent="0.35">
      <c r="A425" s="52">
        <v>422</v>
      </c>
      <c r="B425" s="52" t="s">
        <v>723</v>
      </c>
      <c r="C425" s="93"/>
    </row>
    <row r="426" spans="1:3" x14ac:dyDescent="0.35">
      <c r="A426" s="52">
        <v>423</v>
      </c>
      <c r="B426" s="52" t="s">
        <v>723</v>
      </c>
      <c r="C426" s="93"/>
    </row>
    <row r="427" spans="1:3" x14ac:dyDescent="0.35">
      <c r="A427" s="52">
        <v>424</v>
      </c>
      <c r="B427" s="52" t="s">
        <v>723</v>
      </c>
      <c r="C427" s="93"/>
    </row>
    <row r="428" spans="1:3" x14ac:dyDescent="0.35">
      <c r="A428" s="52">
        <v>425</v>
      </c>
      <c r="B428" s="52" t="s">
        <v>723</v>
      </c>
      <c r="C428" s="93"/>
    </row>
    <row r="429" spans="1:3" x14ac:dyDescent="0.35">
      <c r="A429" s="52">
        <v>426</v>
      </c>
      <c r="B429" s="52" t="s">
        <v>723</v>
      </c>
      <c r="C429" s="93"/>
    </row>
    <row r="430" spans="1:3" x14ac:dyDescent="0.35">
      <c r="A430" s="52">
        <v>427</v>
      </c>
      <c r="B430" s="52" t="s">
        <v>723</v>
      </c>
      <c r="C430" s="93"/>
    </row>
    <row r="431" spans="1:3" x14ac:dyDescent="0.35">
      <c r="A431" s="52">
        <v>428</v>
      </c>
      <c r="B431" s="52" t="s">
        <v>723</v>
      </c>
      <c r="C431" s="93"/>
    </row>
    <row r="432" spans="1:3" x14ac:dyDescent="0.35">
      <c r="A432" s="52">
        <v>429</v>
      </c>
      <c r="B432" s="52" t="s">
        <v>723</v>
      </c>
      <c r="C432" s="93"/>
    </row>
    <row r="433" spans="1:3" x14ac:dyDescent="0.35">
      <c r="A433" s="52">
        <v>430</v>
      </c>
      <c r="B433" s="52" t="s">
        <v>723</v>
      </c>
      <c r="C433" s="93"/>
    </row>
    <row r="434" spans="1:3" x14ac:dyDescent="0.35">
      <c r="A434" s="52">
        <v>431</v>
      </c>
      <c r="B434" s="52" t="s">
        <v>723</v>
      </c>
      <c r="C434" s="93"/>
    </row>
    <row r="435" spans="1:3" x14ac:dyDescent="0.35">
      <c r="A435" s="52">
        <v>432</v>
      </c>
      <c r="B435" s="52" t="s">
        <v>723</v>
      </c>
      <c r="C435" s="93"/>
    </row>
    <row r="436" spans="1:3" x14ac:dyDescent="0.35">
      <c r="A436" s="52">
        <v>433</v>
      </c>
      <c r="B436" s="52" t="s">
        <v>723</v>
      </c>
      <c r="C436" s="93"/>
    </row>
    <row r="437" spans="1:3" x14ac:dyDescent="0.35">
      <c r="A437" s="52">
        <v>434</v>
      </c>
      <c r="B437" s="52" t="s">
        <v>723</v>
      </c>
      <c r="C437" s="93"/>
    </row>
    <row r="438" spans="1:3" x14ac:dyDescent="0.35">
      <c r="A438" s="52">
        <v>435</v>
      </c>
      <c r="B438" s="52" t="s">
        <v>723</v>
      </c>
      <c r="C438" s="93"/>
    </row>
    <row r="439" spans="1:3" x14ac:dyDescent="0.35">
      <c r="A439" s="52">
        <v>436</v>
      </c>
      <c r="B439" s="52" t="s">
        <v>723</v>
      </c>
      <c r="C439" s="93"/>
    </row>
    <row r="440" spans="1:3" x14ac:dyDescent="0.35">
      <c r="A440" s="52">
        <v>437</v>
      </c>
      <c r="B440" s="52" t="s">
        <v>723</v>
      </c>
      <c r="C440" s="93"/>
    </row>
    <row r="441" spans="1:3" x14ac:dyDescent="0.35">
      <c r="A441" s="52">
        <v>438</v>
      </c>
      <c r="B441" s="52" t="s">
        <v>723</v>
      </c>
      <c r="C441" s="93"/>
    </row>
    <row r="442" spans="1:3" x14ac:dyDescent="0.35">
      <c r="A442" s="52">
        <v>439</v>
      </c>
      <c r="B442" s="52" t="s">
        <v>723</v>
      </c>
      <c r="C442" s="93"/>
    </row>
    <row r="443" spans="1:3" x14ac:dyDescent="0.35">
      <c r="A443" s="52">
        <v>440</v>
      </c>
      <c r="B443" s="52" t="s">
        <v>723</v>
      </c>
      <c r="C443" s="93"/>
    </row>
    <row r="444" spans="1:3" x14ac:dyDescent="0.35">
      <c r="A444" s="52">
        <v>441</v>
      </c>
      <c r="B444" s="52" t="s">
        <v>723</v>
      </c>
      <c r="C444" s="93"/>
    </row>
    <row r="445" spans="1:3" x14ac:dyDescent="0.35">
      <c r="A445" s="52">
        <v>442</v>
      </c>
      <c r="B445" s="52" t="s">
        <v>723</v>
      </c>
      <c r="C445" s="93"/>
    </row>
    <row r="446" spans="1:3" x14ac:dyDescent="0.35">
      <c r="A446" s="52">
        <v>443</v>
      </c>
      <c r="B446" s="52" t="s">
        <v>723</v>
      </c>
      <c r="C446" s="93"/>
    </row>
    <row r="447" spans="1:3" x14ac:dyDescent="0.35">
      <c r="A447" s="52">
        <v>444</v>
      </c>
      <c r="B447" s="52" t="s">
        <v>723</v>
      </c>
      <c r="C447" s="93"/>
    </row>
    <row r="448" spans="1:3" x14ac:dyDescent="0.35">
      <c r="A448" s="52">
        <v>445</v>
      </c>
      <c r="B448" s="52" t="s">
        <v>723</v>
      </c>
      <c r="C448" s="93"/>
    </row>
    <row r="449" spans="1:3" x14ac:dyDescent="0.35">
      <c r="A449" s="52">
        <v>446</v>
      </c>
      <c r="B449" s="52" t="s">
        <v>723</v>
      </c>
      <c r="C449" s="93"/>
    </row>
    <row r="450" spans="1:3" x14ac:dyDescent="0.35">
      <c r="A450" s="52">
        <v>447</v>
      </c>
      <c r="B450" s="52" t="s">
        <v>723</v>
      </c>
      <c r="C450" s="93"/>
    </row>
    <row r="451" spans="1:3" x14ac:dyDescent="0.35">
      <c r="A451" s="52">
        <v>448</v>
      </c>
      <c r="B451" s="52" t="s">
        <v>723</v>
      </c>
      <c r="C451" s="93"/>
    </row>
    <row r="452" spans="1:3" x14ac:dyDescent="0.35">
      <c r="A452" s="52">
        <v>449</v>
      </c>
      <c r="B452" s="52" t="s">
        <v>723</v>
      </c>
      <c r="C452" s="93"/>
    </row>
    <row r="453" spans="1:3" x14ac:dyDescent="0.35">
      <c r="A453" s="52">
        <v>450</v>
      </c>
      <c r="B453" s="52" t="s">
        <v>723</v>
      </c>
      <c r="C453" s="93"/>
    </row>
    <row r="454" spans="1:3" x14ac:dyDescent="0.35">
      <c r="A454" s="52">
        <v>451</v>
      </c>
      <c r="B454" s="52" t="s">
        <v>723</v>
      </c>
      <c r="C454" s="93"/>
    </row>
    <row r="455" spans="1:3" x14ac:dyDescent="0.35">
      <c r="A455" s="52">
        <v>452</v>
      </c>
      <c r="B455" s="52" t="s">
        <v>723</v>
      </c>
      <c r="C455" s="93"/>
    </row>
    <row r="456" spans="1:3" x14ac:dyDescent="0.35">
      <c r="A456" s="52">
        <v>453</v>
      </c>
      <c r="B456" s="52" t="s">
        <v>723</v>
      </c>
      <c r="C456" s="93"/>
    </row>
    <row r="457" spans="1:3" x14ac:dyDescent="0.35">
      <c r="A457" s="52">
        <v>454</v>
      </c>
      <c r="B457" s="52" t="s">
        <v>723</v>
      </c>
      <c r="C457" s="93"/>
    </row>
    <row r="458" spans="1:3" x14ac:dyDescent="0.35">
      <c r="A458" s="52">
        <v>455</v>
      </c>
      <c r="B458" s="52" t="s">
        <v>723</v>
      </c>
      <c r="C458" s="93"/>
    </row>
    <row r="459" spans="1:3" x14ac:dyDescent="0.35">
      <c r="A459" s="52">
        <v>456</v>
      </c>
      <c r="B459" s="52" t="s">
        <v>723</v>
      </c>
      <c r="C459" s="93"/>
    </row>
    <row r="460" spans="1:3" x14ac:dyDescent="0.35">
      <c r="A460" s="52">
        <v>457</v>
      </c>
      <c r="B460" s="52" t="s">
        <v>723</v>
      </c>
      <c r="C460" s="93"/>
    </row>
    <row r="461" spans="1:3" x14ac:dyDescent="0.35">
      <c r="A461" s="52">
        <v>458</v>
      </c>
      <c r="B461" s="52" t="s">
        <v>723</v>
      </c>
      <c r="C461" s="93"/>
    </row>
    <row r="462" spans="1:3" x14ac:dyDescent="0.35">
      <c r="A462" s="52">
        <v>459</v>
      </c>
      <c r="B462" s="52" t="s">
        <v>723</v>
      </c>
      <c r="C462" s="93"/>
    </row>
    <row r="463" spans="1:3" x14ac:dyDescent="0.35">
      <c r="A463" s="52">
        <v>460</v>
      </c>
      <c r="B463" s="52" t="s">
        <v>723</v>
      </c>
      <c r="C463" s="93"/>
    </row>
    <row r="464" spans="1:3" x14ac:dyDescent="0.35">
      <c r="A464" s="52">
        <v>461</v>
      </c>
      <c r="B464" s="52" t="s">
        <v>723</v>
      </c>
      <c r="C464" s="93"/>
    </row>
    <row r="465" spans="1:3" x14ac:dyDescent="0.35">
      <c r="A465" s="52">
        <v>462</v>
      </c>
      <c r="B465" s="52" t="s">
        <v>723</v>
      </c>
      <c r="C465" s="93"/>
    </row>
    <row r="466" spans="1:3" x14ac:dyDescent="0.35">
      <c r="A466" s="52">
        <v>463</v>
      </c>
      <c r="B466" s="52" t="s">
        <v>723</v>
      </c>
      <c r="C466" s="93"/>
    </row>
    <row r="467" spans="1:3" x14ac:dyDescent="0.35">
      <c r="A467" s="52">
        <v>464</v>
      </c>
      <c r="B467" s="52" t="s">
        <v>723</v>
      </c>
      <c r="C467" s="93"/>
    </row>
    <row r="468" spans="1:3" x14ac:dyDescent="0.35">
      <c r="A468" s="52">
        <v>465</v>
      </c>
      <c r="B468" s="52" t="s">
        <v>723</v>
      </c>
      <c r="C468" s="93"/>
    </row>
    <row r="469" spans="1:3" x14ac:dyDescent="0.35">
      <c r="A469" s="52">
        <v>466</v>
      </c>
      <c r="B469" s="52" t="s">
        <v>723</v>
      </c>
      <c r="C469" s="93"/>
    </row>
    <row r="470" spans="1:3" x14ac:dyDescent="0.35">
      <c r="A470" s="52">
        <v>467</v>
      </c>
      <c r="B470" s="52" t="s">
        <v>723</v>
      </c>
      <c r="C470" s="93"/>
    </row>
    <row r="471" spans="1:3" x14ac:dyDescent="0.35">
      <c r="A471" s="52">
        <v>468</v>
      </c>
      <c r="B471" s="52" t="s">
        <v>723</v>
      </c>
      <c r="C471" s="93"/>
    </row>
    <row r="472" spans="1:3" x14ac:dyDescent="0.35">
      <c r="A472" s="52">
        <v>469</v>
      </c>
      <c r="B472" s="52" t="s">
        <v>723</v>
      </c>
      <c r="C472" s="93"/>
    </row>
    <row r="473" spans="1:3" x14ac:dyDescent="0.35">
      <c r="A473" s="52">
        <v>470</v>
      </c>
      <c r="B473" s="52" t="s">
        <v>723</v>
      </c>
      <c r="C473" s="93"/>
    </row>
    <row r="474" spans="1:3" x14ac:dyDescent="0.35">
      <c r="A474" s="52">
        <v>471</v>
      </c>
      <c r="B474" s="52" t="s">
        <v>723</v>
      </c>
      <c r="C474" s="93"/>
    </row>
    <row r="475" spans="1:3" x14ac:dyDescent="0.35">
      <c r="A475" s="52">
        <v>472</v>
      </c>
      <c r="B475" s="52" t="s">
        <v>723</v>
      </c>
      <c r="C475" s="93"/>
    </row>
    <row r="476" spans="1:3" x14ac:dyDescent="0.35">
      <c r="A476" s="52">
        <v>473</v>
      </c>
      <c r="B476" s="52" t="s">
        <v>723</v>
      </c>
      <c r="C476" s="93"/>
    </row>
    <row r="477" spans="1:3" x14ac:dyDescent="0.35">
      <c r="A477" s="52">
        <v>474</v>
      </c>
      <c r="B477" s="52" t="s">
        <v>723</v>
      </c>
      <c r="C477" s="93"/>
    </row>
    <row r="478" spans="1:3" x14ac:dyDescent="0.35">
      <c r="A478" s="52">
        <v>475</v>
      </c>
      <c r="B478" s="52" t="s">
        <v>723</v>
      </c>
      <c r="C478" s="93"/>
    </row>
    <row r="479" spans="1:3" x14ac:dyDescent="0.35">
      <c r="A479" s="52">
        <v>476</v>
      </c>
      <c r="B479" s="52" t="s">
        <v>723</v>
      </c>
      <c r="C479" s="93"/>
    </row>
    <row r="480" spans="1:3" x14ac:dyDescent="0.35">
      <c r="A480" s="52">
        <v>477</v>
      </c>
      <c r="B480" s="52" t="s">
        <v>723</v>
      </c>
      <c r="C480" s="93"/>
    </row>
    <row r="481" spans="1:3" x14ac:dyDescent="0.35">
      <c r="A481" s="52">
        <v>478</v>
      </c>
      <c r="B481" s="52" t="s">
        <v>723</v>
      </c>
      <c r="C481" s="93"/>
    </row>
    <row r="482" spans="1:3" x14ac:dyDescent="0.35">
      <c r="A482" s="52">
        <v>479</v>
      </c>
      <c r="B482" s="52" t="s">
        <v>723</v>
      </c>
      <c r="C482" s="93"/>
    </row>
    <row r="483" spans="1:3" x14ac:dyDescent="0.35">
      <c r="A483" s="52">
        <v>480</v>
      </c>
      <c r="B483" s="52" t="s">
        <v>723</v>
      </c>
      <c r="C483" s="93"/>
    </row>
    <row r="484" spans="1:3" x14ac:dyDescent="0.35">
      <c r="A484" s="52">
        <v>481</v>
      </c>
      <c r="B484" s="52" t="s">
        <v>723</v>
      </c>
      <c r="C484" s="93"/>
    </row>
    <row r="485" spans="1:3" x14ac:dyDescent="0.35">
      <c r="A485" s="52">
        <v>482</v>
      </c>
      <c r="B485" s="52" t="s">
        <v>723</v>
      </c>
      <c r="C485" s="93"/>
    </row>
    <row r="486" spans="1:3" x14ac:dyDescent="0.35">
      <c r="A486" s="52">
        <v>483</v>
      </c>
      <c r="B486" s="52" t="s">
        <v>723</v>
      </c>
      <c r="C486" s="93"/>
    </row>
    <row r="487" spans="1:3" x14ac:dyDescent="0.35">
      <c r="A487" s="52">
        <v>484</v>
      </c>
      <c r="B487" s="52" t="s">
        <v>723</v>
      </c>
      <c r="C487" s="93"/>
    </row>
    <row r="488" spans="1:3" x14ac:dyDescent="0.35">
      <c r="A488" s="52">
        <v>485</v>
      </c>
      <c r="B488" s="52" t="s">
        <v>723</v>
      </c>
      <c r="C488" s="93"/>
    </row>
    <row r="489" spans="1:3" x14ac:dyDescent="0.35">
      <c r="A489" s="52">
        <v>486</v>
      </c>
      <c r="B489" s="52" t="s">
        <v>723</v>
      </c>
      <c r="C489" s="93"/>
    </row>
    <row r="490" spans="1:3" x14ac:dyDescent="0.35">
      <c r="A490" s="52">
        <v>487</v>
      </c>
      <c r="B490" s="52" t="s">
        <v>723</v>
      </c>
      <c r="C490" s="93"/>
    </row>
    <row r="491" spans="1:3" x14ac:dyDescent="0.35">
      <c r="A491" s="52">
        <v>488</v>
      </c>
      <c r="B491" s="52" t="s">
        <v>723</v>
      </c>
      <c r="C491" s="93"/>
    </row>
    <row r="492" spans="1:3" x14ac:dyDescent="0.35">
      <c r="A492" s="52">
        <v>489</v>
      </c>
      <c r="B492" s="52" t="s">
        <v>723</v>
      </c>
      <c r="C492" s="93"/>
    </row>
    <row r="493" spans="1:3" x14ac:dyDescent="0.35">
      <c r="A493" s="52">
        <v>490</v>
      </c>
      <c r="B493" s="52" t="s">
        <v>723</v>
      </c>
      <c r="C493" s="93"/>
    </row>
    <row r="494" spans="1:3" x14ac:dyDescent="0.35">
      <c r="A494" s="52">
        <v>491</v>
      </c>
      <c r="B494" s="52" t="s">
        <v>723</v>
      </c>
      <c r="C494" s="93"/>
    </row>
    <row r="495" spans="1:3" x14ac:dyDescent="0.35">
      <c r="A495" s="52">
        <v>492</v>
      </c>
      <c r="B495" s="52" t="s">
        <v>723</v>
      </c>
      <c r="C495" s="93"/>
    </row>
    <row r="496" spans="1:3" x14ac:dyDescent="0.35">
      <c r="A496" s="52">
        <v>493</v>
      </c>
      <c r="B496" s="52" t="s">
        <v>723</v>
      </c>
      <c r="C496" s="93"/>
    </row>
    <row r="497" spans="1:3" x14ac:dyDescent="0.35">
      <c r="A497" s="52">
        <v>494</v>
      </c>
      <c r="B497" s="52" t="s">
        <v>723</v>
      </c>
      <c r="C497" s="93"/>
    </row>
    <row r="498" spans="1:3" x14ac:dyDescent="0.35">
      <c r="A498" s="52">
        <v>495</v>
      </c>
      <c r="B498" s="52" t="s">
        <v>723</v>
      </c>
      <c r="C498" s="93"/>
    </row>
    <row r="499" spans="1:3" x14ac:dyDescent="0.35">
      <c r="A499" s="52">
        <v>496</v>
      </c>
      <c r="B499" s="52" t="s">
        <v>723</v>
      </c>
      <c r="C499" s="93"/>
    </row>
    <row r="500" spans="1:3" x14ac:dyDescent="0.35">
      <c r="A500" s="52">
        <v>497</v>
      </c>
      <c r="B500" s="52" t="s">
        <v>723</v>
      </c>
      <c r="C500" s="93"/>
    </row>
    <row r="501" spans="1:3" x14ac:dyDescent="0.35">
      <c r="A501" s="52">
        <v>498</v>
      </c>
      <c r="B501" s="52" t="s">
        <v>723</v>
      </c>
      <c r="C501" s="93"/>
    </row>
    <row r="502" spans="1:3" x14ac:dyDescent="0.35">
      <c r="A502" s="52">
        <v>499</v>
      </c>
      <c r="B502" s="52" t="s">
        <v>723</v>
      </c>
      <c r="C502" s="93"/>
    </row>
    <row r="503" spans="1:3" x14ac:dyDescent="0.35">
      <c r="A503" s="52">
        <v>500</v>
      </c>
      <c r="B503" s="52" t="s">
        <v>723</v>
      </c>
      <c r="C503" s="93"/>
    </row>
  </sheetData>
  <mergeCells count="23">
    <mergeCell ref="BG2:BI2"/>
    <mergeCell ref="BJ2:BK2"/>
    <mergeCell ref="AR2:AT2"/>
    <mergeCell ref="AU2:AW2"/>
    <mergeCell ref="AX2:AY2"/>
    <mergeCell ref="AZ2:BC2"/>
    <mergeCell ref="BD2:BF2"/>
    <mergeCell ref="L2:O2"/>
    <mergeCell ref="P2:R2"/>
    <mergeCell ref="AJ2:AL2"/>
    <mergeCell ref="AM2:AO2"/>
    <mergeCell ref="AP2:AQ2"/>
    <mergeCell ref="S2:U2"/>
    <mergeCell ref="V2:W2"/>
    <mergeCell ref="X2:Z2"/>
    <mergeCell ref="AA2:AC2"/>
    <mergeCell ref="AD2:AE2"/>
    <mergeCell ref="AF2:AI2"/>
    <mergeCell ref="A2:A3"/>
    <mergeCell ref="B2:B3"/>
    <mergeCell ref="D2:F2"/>
    <mergeCell ref="G2:I2"/>
    <mergeCell ref="J2:K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F39AB-2102-4733-904C-D3185C6A000B}">
  <sheetPr codeName="Sheet2"/>
  <dimension ref="A1:XFA502"/>
  <sheetViews>
    <sheetView topLeftCell="A3" workbookViewId="0">
      <selection activeCell="B4" sqref="B4:B306"/>
    </sheetView>
  </sheetViews>
  <sheetFormatPr defaultRowHeight="14.5" x14ac:dyDescent="0.35"/>
  <cols>
    <col min="1" max="1" width="7.1796875" bestFit="1" customWidth="1"/>
    <col min="2" max="2" width="28.54296875" customWidth="1"/>
    <col min="3" max="3" width="21.453125" customWidth="1"/>
    <col min="4" max="6" width="35.7265625" customWidth="1"/>
    <col min="7" max="7" width="50" customWidth="1"/>
    <col min="16381" max="16381" width="9.1796875"/>
  </cols>
  <sheetData>
    <row r="1" spans="1:33" x14ac:dyDescent="0.35">
      <c r="B1">
        <v>1</v>
      </c>
      <c r="C1">
        <v>2</v>
      </c>
      <c r="D1">
        <v>3</v>
      </c>
      <c r="E1">
        <v>4</v>
      </c>
      <c r="F1">
        <v>5</v>
      </c>
      <c r="G1">
        <v>6</v>
      </c>
      <c r="H1">
        <v>7</v>
      </c>
      <c r="I1">
        <v>8</v>
      </c>
      <c r="J1">
        <v>9</v>
      </c>
      <c r="K1">
        <v>10</v>
      </c>
      <c r="L1">
        <v>11</v>
      </c>
      <c r="M1">
        <v>12</v>
      </c>
      <c r="N1">
        <v>13</v>
      </c>
      <c r="O1">
        <v>14</v>
      </c>
      <c r="P1">
        <v>15</v>
      </c>
      <c r="Q1">
        <v>16</v>
      </c>
      <c r="R1">
        <v>17</v>
      </c>
      <c r="S1">
        <v>18</v>
      </c>
      <c r="T1">
        <v>19</v>
      </c>
    </row>
    <row r="2" spans="1:33" x14ac:dyDescent="0.35">
      <c r="H2" s="3"/>
      <c r="I2" s="123" t="s">
        <v>36</v>
      </c>
      <c r="J2" s="123"/>
      <c r="K2" s="123"/>
      <c r="L2" s="123"/>
      <c r="M2" s="123" t="s">
        <v>37</v>
      </c>
      <c r="N2" s="123"/>
      <c r="O2" s="123"/>
      <c r="P2" s="123"/>
      <c r="Q2" s="123" t="s">
        <v>38</v>
      </c>
      <c r="R2" s="123"/>
      <c r="S2" s="123"/>
      <c r="T2" s="123"/>
      <c r="V2" s="35"/>
      <c r="W2" s="35"/>
      <c r="X2" s="35"/>
      <c r="Y2" s="35"/>
      <c r="Z2" s="35"/>
      <c r="AA2" s="35"/>
      <c r="AB2" s="35"/>
      <c r="AC2" s="35"/>
      <c r="AD2" s="35"/>
      <c r="AE2" s="35"/>
      <c r="AF2" s="35"/>
      <c r="AG2" s="35"/>
    </row>
    <row r="3" spans="1:33" x14ac:dyDescent="0.35">
      <c r="A3" s="9" t="s">
        <v>30</v>
      </c>
      <c r="B3" s="9" t="s">
        <v>0</v>
      </c>
      <c r="C3" s="9" t="s">
        <v>31</v>
      </c>
      <c r="D3" s="10" t="s">
        <v>32</v>
      </c>
      <c r="E3" s="10" t="s">
        <v>33</v>
      </c>
      <c r="F3" s="10" t="s">
        <v>34</v>
      </c>
      <c r="G3" s="11" t="s">
        <v>35</v>
      </c>
      <c r="H3" s="12" t="s">
        <v>39</v>
      </c>
      <c r="I3" s="11" t="s">
        <v>23</v>
      </c>
      <c r="J3" s="11" t="s">
        <v>15</v>
      </c>
      <c r="K3" s="11" t="s">
        <v>20</v>
      </c>
      <c r="L3" s="11" t="s">
        <v>22</v>
      </c>
      <c r="M3" s="11" t="s">
        <v>23</v>
      </c>
      <c r="N3" s="11" t="s">
        <v>15</v>
      </c>
      <c r="O3" s="11" t="s">
        <v>20</v>
      </c>
      <c r="P3" s="11" t="s">
        <v>22</v>
      </c>
      <c r="Q3" s="11" t="s">
        <v>23</v>
      </c>
      <c r="R3" s="11" t="s">
        <v>15</v>
      </c>
      <c r="S3" s="11" t="s">
        <v>20</v>
      </c>
      <c r="T3" s="11" t="s">
        <v>22</v>
      </c>
      <c r="V3" s="34"/>
      <c r="W3" s="34"/>
      <c r="X3" s="34"/>
      <c r="Y3" s="34"/>
      <c r="Z3" s="34"/>
      <c r="AA3" s="34"/>
      <c r="AB3" s="34"/>
      <c r="AC3" s="34"/>
      <c r="AD3" s="34"/>
      <c r="AE3" s="34"/>
      <c r="AF3" s="34"/>
      <c r="AG3" s="34"/>
    </row>
    <row r="4" spans="1:33" x14ac:dyDescent="0.35">
      <c r="A4">
        <v>1</v>
      </c>
      <c r="B4" s="21" t="s">
        <v>1055</v>
      </c>
      <c r="C4" s="30"/>
      <c r="D4" t="s">
        <v>590</v>
      </c>
      <c r="E4" t="s">
        <v>88</v>
      </c>
      <c r="F4" t="s">
        <v>589</v>
      </c>
      <c r="G4" t="s">
        <v>591</v>
      </c>
      <c r="H4" t="s">
        <v>630</v>
      </c>
      <c r="I4">
        <v>1</v>
      </c>
      <c r="J4">
        <v>-2.5</v>
      </c>
      <c r="K4">
        <v>-1.5</v>
      </c>
      <c r="L4">
        <v>0.5</v>
      </c>
      <c r="M4">
        <v>1.5</v>
      </c>
      <c r="N4">
        <v>-3.5</v>
      </c>
      <c r="O4">
        <v>2.5</v>
      </c>
      <c r="P4">
        <v>7</v>
      </c>
      <c r="Q4">
        <v>1.3</v>
      </c>
      <c r="R4">
        <v>-3.5</v>
      </c>
      <c r="S4">
        <v>0</v>
      </c>
      <c r="T4">
        <v>4.3</v>
      </c>
    </row>
    <row r="5" spans="1:33" x14ac:dyDescent="0.35">
      <c r="A5">
        <v>2</v>
      </c>
      <c r="B5" s="21" t="s">
        <v>322</v>
      </c>
      <c r="C5" s="30"/>
      <c r="D5" t="s">
        <v>589</v>
      </c>
      <c r="E5" t="s">
        <v>590</v>
      </c>
      <c r="F5" t="s">
        <v>589</v>
      </c>
      <c r="G5" t="s">
        <v>591</v>
      </c>
      <c r="H5" t="s">
        <v>630</v>
      </c>
      <c r="I5">
        <v>3</v>
      </c>
      <c r="J5">
        <v>-4.5999999999999996</v>
      </c>
      <c r="K5">
        <v>-5.7</v>
      </c>
      <c r="L5">
        <v>5.3</v>
      </c>
      <c r="M5">
        <v>4.3</v>
      </c>
      <c r="N5">
        <v>-4.3</v>
      </c>
      <c r="O5">
        <v>1.5</v>
      </c>
      <c r="P5">
        <v>2.5</v>
      </c>
      <c r="Q5">
        <v>3.5</v>
      </c>
      <c r="R5">
        <v>-4.7</v>
      </c>
      <c r="S5">
        <v>-2</v>
      </c>
      <c r="T5">
        <v>4.3</v>
      </c>
    </row>
    <row r="6" spans="1:33" x14ac:dyDescent="0.35">
      <c r="A6">
        <v>3</v>
      </c>
      <c r="B6" s="21" t="s">
        <v>1198</v>
      </c>
      <c r="C6" s="30"/>
      <c r="D6" t="s">
        <v>589</v>
      </c>
      <c r="E6" t="s">
        <v>590</v>
      </c>
      <c r="F6" t="s">
        <v>589</v>
      </c>
      <c r="G6" t="s">
        <v>591</v>
      </c>
      <c r="H6" t="s">
        <v>630</v>
      </c>
      <c r="I6">
        <v>0.5</v>
      </c>
      <c r="J6">
        <v>-1.3</v>
      </c>
      <c r="K6">
        <v>-1.5</v>
      </c>
      <c r="L6">
        <v>2</v>
      </c>
      <c r="M6">
        <v>2.5</v>
      </c>
      <c r="N6">
        <v>0</v>
      </c>
      <c r="O6">
        <v>0.5</v>
      </c>
      <c r="P6">
        <v>1.5</v>
      </c>
      <c r="Q6">
        <v>1.3</v>
      </c>
      <c r="R6">
        <v>-1.5</v>
      </c>
      <c r="S6">
        <v>-1</v>
      </c>
      <c r="T6">
        <v>1.5</v>
      </c>
    </row>
    <row r="7" spans="1:33" x14ac:dyDescent="0.35">
      <c r="A7">
        <v>4</v>
      </c>
      <c r="B7" s="21" t="s">
        <v>1241</v>
      </c>
      <c r="C7" s="30"/>
      <c r="D7" t="s">
        <v>602</v>
      </c>
      <c r="E7" t="s">
        <v>606</v>
      </c>
      <c r="F7" t="s">
        <v>606</v>
      </c>
      <c r="G7" t="s">
        <v>622</v>
      </c>
      <c r="H7" t="s">
        <v>643</v>
      </c>
      <c r="I7">
        <v>-1.7</v>
      </c>
      <c r="J7">
        <v>3.5</v>
      </c>
      <c r="K7">
        <v>1</v>
      </c>
      <c r="L7">
        <v>-1.5</v>
      </c>
      <c r="M7">
        <v>-1.3</v>
      </c>
      <c r="N7">
        <v>0.5</v>
      </c>
      <c r="O7">
        <v>4</v>
      </c>
      <c r="P7">
        <v>2.5</v>
      </c>
      <c r="Q7">
        <v>-1</v>
      </c>
      <c r="R7">
        <v>1.5</v>
      </c>
      <c r="S7">
        <v>3</v>
      </c>
      <c r="T7">
        <v>0.5</v>
      </c>
    </row>
    <row r="8" spans="1:33" x14ac:dyDescent="0.35">
      <c r="A8">
        <v>5</v>
      </c>
      <c r="B8" s="21" t="s">
        <v>1142</v>
      </c>
      <c r="C8" s="30"/>
      <c r="D8" t="s">
        <v>83</v>
      </c>
      <c r="E8" t="s">
        <v>83</v>
      </c>
      <c r="F8" t="s">
        <v>83</v>
      </c>
      <c r="G8" t="s">
        <v>594</v>
      </c>
      <c r="H8" t="s">
        <v>631</v>
      </c>
      <c r="I8">
        <v>-1.3</v>
      </c>
      <c r="J8">
        <v>-2.5</v>
      </c>
      <c r="K8">
        <v>2.5</v>
      </c>
      <c r="L8">
        <v>0.5</v>
      </c>
      <c r="M8">
        <v>0</v>
      </c>
      <c r="N8">
        <v>-3.5</v>
      </c>
      <c r="O8">
        <v>6</v>
      </c>
      <c r="P8">
        <v>2.5</v>
      </c>
      <c r="Q8">
        <v>-0.25</v>
      </c>
      <c r="R8">
        <v>-3.5</v>
      </c>
      <c r="S8">
        <v>4</v>
      </c>
      <c r="T8">
        <v>1.5</v>
      </c>
    </row>
    <row r="9" spans="1:33" x14ac:dyDescent="0.35">
      <c r="A9">
        <v>6</v>
      </c>
      <c r="B9" t="s">
        <v>701</v>
      </c>
      <c r="C9" s="30"/>
      <c r="D9" t="s">
        <v>590</v>
      </c>
      <c r="E9" t="s">
        <v>599</v>
      </c>
      <c r="F9" t="s">
        <v>589</v>
      </c>
      <c r="G9" t="s">
        <v>591</v>
      </c>
      <c r="H9" t="s">
        <v>630</v>
      </c>
      <c r="I9">
        <v>2</v>
      </c>
      <c r="J9">
        <v>-1.3</v>
      </c>
      <c r="K9">
        <v>-3.5</v>
      </c>
      <c r="L9">
        <v>0.5</v>
      </c>
      <c r="M9">
        <v>1.5</v>
      </c>
      <c r="N9">
        <v>-5.3</v>
      </c>
      <c r="O9">
        <v>0.5</v>
      </c>
      <c r="P9">
        <v>4</v>
      </c>
      <c r="Q9">
        <v>1.5</v>
      </c>
      <c r="R9">
        <v>-4.3</v>
      </c>
      <c r="S9">
        <v>-1.5</v>
      </c>
      <c r="T9">
        <v>3</v>
      </c>
    </row>
    <row r="10" spans="1:33" x14ac:dyDescent="0.35">
      <c r="A10">
        <v>7</v>
      </c>
      <c r="B10" t="s">
        <v>718</v>
      </c>
      <c r="C10" s="30"/>
      <c r="D10" t="s">
        <v>589</v>
      </c>
      <c r="E10" t="s">
        <v>87</v>
      </c>
      <c r="F10" t="s">
        <v>589</v>
      </c>
      <c r="G10" t="s">
        <v>591</v>
      </c>
      <c r="H10" t="s">
        <v>630</v>
      </c>
      <c r="I10">
        <v>0.5</v>
      </c>
      <c r="J10">
        <v>-2.5</v>
      </c>
      <c r="K10">
        <v>-5.7</v>
      </c>
      <c r="L10">
        <v>3</v>
      </c>
      <c r="M10">
        <v>2.5</v>
      </c>
      <c r="N10">
        <v>-2</v>
      </c>
      <c r="O10">
        <v>2.5</v>
      </c>
      <c r="P10">
        <v>0.5</v>
      </c>
      <c r="Q10">
        <v>1.3</v>
      </c>
      <c r="R10">
        <v>-3</v>
      </c>
      <c r="S10">
        <v>-1.5</v>
      </c>
      <c r="T10">
        <v>1.5</v>
      </c>
    </row>
    <row r="11" spans="1:33" x14ac:dyDescent="0.35">
      <c r="A11">
        <v>8</v>
      </c>
      <c r="B11" t="s">
        <v>345</v>
      </c>
      <c r="C11" s="30"/>
      <c r="D11" t="s">
        <v>602</v>
      </c>
      <c r="E11" t="s">
        <v>610</v>
      </c>
      <c r="F11" t="s">
        <v>624</v>
      </c>
      <c r="G11" t="s">
        <v>626</v>
      </c>
      <c r="H11" t="s">
        <v>647</v>
      </c>
      <c r="I11">
        <v>-4</v>
      </c>
      <c r="J11">
        <v>5.3</v>
      </c>
      <c r="K11">
        <v>2.5</v>
      </c>
      <c r="L11">
        <v>-3.5</v>
      </c>
      <c r="M11">
        <v>1.5</v>
      </c>
      <c r="N11">
        <v>0.5</v>
      </c>
      <c r="O11">
        <v>4</v>
      </c>
      <c r="P11">
        <v>0</v>
      </c>
      <c r="Q11">
        <v>-0.5</v>
      </c>
      <c r="R11">
        <v>3</v>
      </c>
      <c r="S11">
        <v>3.5</v>
      </c>
      <c r="T11">
        <v>-2.5</v>
      </c>
    </row>
    <row r="12" spans="1:33" x14ac:dyDescent="0.35">
      <c r="A12">
        <v>9</v>
      </c>
      <c r="B12" t="s">
        <v>328</v>
      </c>
      <c r="C12" s="30"/>
      <c r="D12" t="s">
        <v>82</v>
      </c>
      <c r="E12" t="s">
        <v>82</v>
      </c>
      <c r="F12" t="s">
        <v>82</v>
      </c>
      <c r="G12" t="s">
        <v>84</v>
      </c>
      <c r="H12" t="s">
        <v>85</v>
      </c>
      <c r="I12">
        <v>0</v>
      </c>
      <c r="J12">
        <v>-1.3</v>
      </c>
      <c r="K12">
        <v>0.5</v>
      </c>
      <c r="L12">
        <v>5.3</v>
      </c>
      <c r="M12">
        <v>-1.5</v>
      </c>
      <c r="N12">
        <v>-6.5</v>
      </c>
      <c r="O12">
        <v>7</v>
      </c>
      <c r="P12">
        <v>7</v>
      </c>
      <c r="Q12">
        <v>-0.5</v>
      </c>
      <c r="R12">
        <v>-5.7</v>
      </c>
      <c r="S12">
        <v>3.5</v>
      </c>
      <c r="T12">
        <v>6</v>
      </c>
    </row>
    <row r="13" spans="1:33" x14ac:dyDescent="0.35">
      <c r="A13">
        <v>10</v>
      </c>
      <c r="B13" t="s">
        <v>879</v>
      </c>
      <c r="C13" s="30"/>
      <c r="D13" t="s">
        <v>589</v>
      </c>
      <c r="E13" t="s">
        <v>589</v>
      </c>
      <c r="F13" t="s">
        <v>589</v>
      </c>
      <c r="G13" t="s">
        <v>591</v>
      </c>
      <c r="H13" t="s">
        <v>630</v>
      </c>
      <c r="I13">
        <v>0.5</v>
      </c>
      <c r="J13">
        <v>-1.3</v>
      </c>
      <c r="K13">
        <v>-3.5</v>
      </c>
      <c r="L13">
        <v>0.5</v>
      </c>
      <c r="M13">
        <v>1.5</v>
      </c>
      <c r="N13">
        <v>-4.3</v>
      </c>
      <c r="O13">
        <v>-1.3</v>
      </c>
      <c r="P13">
        <v>7</v>
      </c>
      <c r="Q13">
        <v>1</v>
      </c>
      <c r="R13">
        <v>-3.5</v>
      </c>
      <c r="S13">
        <v>-2</v>
      </c>
      <c r="T13">
        <v>4.3</v>
      </c>
    </row>
    <row r="14" spans="1:33" x14ac:dyDescent="0.35">
      <c r="A14">
        <v>11</v>
      </c>
      <c r="B14" t="s">
        <v>1162</v>
      </c>
      <c r="C14" s="30"/>
      <c r="D14" t="s">
        <v>607</v>
      </c>
      <c r="E14" t="s">
        <v>88</v>
      </c>
      <c r="F14" t="s">
        <v>82</v>
      </c>
      <c r="G14" t="s">
        <v>84</v>
      </c>
      <c r="H14" t="s">
        <v>85</v>
      </c>
      <c r="I14">
        <v>-5.3</v>
      </c>
      <c r="J14">
        <v>1</v>
      </c>
      <c r="K14">
        <v>0.5</v>
      </c>
      <c r="L14">
        <v>5.3</v>
      </c>
      <c r="M14">
        <v>0.5</v>
      </c>
      <c r="N14">
        <v>-4.3</v>
      </c>
      <c r="O14">
        <v>4</v>
      </c>
      <c r="P14">
        <v>5.6</v>
      </c>
      <c r="Q14">
        <v>-1.5</v>
      </c>
      <c r="R14">
        <v>-3</v>
      </c>
      <c r="S14">
        <v>2</v>
      </c>
      <c r="T14">
        <v>5.7</v>
      </c>
    </row>
    <row r="15" spans="1:33" x14ac:dyDescent="0.35">
      <c r="A15">
        <v>12</v>
      </c>
      <c r="B15" t="s">
        <v>353</v>
      </c>
      <c r="C15" s="30"/>
      <c r="D15" t="s">
        <v>82</v>
      </c>
      <c r="E15" t="s">
        <v>597</v>
      </c>
      <c r="F15" t="s">
        <v>82</v>
      </c>
      <c r="G15" t="s">
        <v>84</v>
      </c>
      <c r="H15" t="s">
        <v>85</v>
      </c>
      <c r="I15">
        <v>-2.5</v>
      </c>
      <c r="J15">
        <v>-2.5</v>
      </c>
      <c r="K15">
        <v>0.5</v>
      </c>
      <c r="L15">
        <v>3</v>
      </c>
      <c r="M15">
        <v>0.5</v>
      </c>
      <c r="N15">
        <v>-6</v>
      </c>
      <c r="O15">
        <v>6</v>
      </c>
      <c r="P15">
        <v>4</v>
      </c>
      <c r="Q15">
        <v>-0.5</v>
      </c>
      <c r="R15">
        <v>-5.7</v>
      </c>
      <c r="S15">
        <v>3</v>
      </c>
      <c r="T15">
        <v>4.3</v>
      </c>
    </row>
    <row r="16" spans="1:33" x14ac:dyDescent="0.35">
      <c r="A16">
        <v>13</v>
      </c>
      <c r="B16" t="s">
        <v>1225</v>
      </c>
      <c r="C16" s="30"/>
      <c r="D16" t="s">
        <v>82</v>
      </c>
      <c r="E16" t="s">
        <v>82</v>
      </c>
      <c r="F16" t="s">
        <v>82</v>
      </c>
      <c r="G16" t="s">
        <v>84</v>
      </c>
      <c r="H16" t="s">
        <v>85</v>
      </c>
      <c r="I16">
        <v>-1.7</v>
      </c>
      <c r="J16">
        <v>-4.5999999999999996</v>
      </c>
      <c r="K16">
        <v>0.5</v>
      </c>
      <c r="L16">
        <v>6.3</v>
      </c>
      <c r="M16">
        <v>0</v>
      </c>
      <c r="N16">
        <v>-6.5</v>
      </c>
      <c r="O16">
        <v>4</v>
      </c>
      <c r="P16">
        <v>5.6</v>
      </c>
      <c r="Q16">
        <v>-0.5</v>
      </c>
      <c r="R16">
        <v>-6.5</v>
      </c>
      <c r="S16">
        <v>2</v>
      </c>
      <c r="T16">
        <v>6.5</v>
      </c>
    </row>
    <row r="17" spans="1:20" x14ac:dyDescent="0.35">
      <c r="A17">
        <v>14</v>
      </c>
      <c r="B17" t="s">
        <v>1064</v>
      </c>
      <c r="C17" s="30"/>
      <c r="D17" t="s">
        <v>616</v>
      </c>
      <c r="E17" t="s">
        <v>599</v>
      </c>
      <c r="F17" t="s">
        <v>592</v>
      </c>
      <c r="G17" t="s">
        <v>617</v>
      </c>
      <c r="H17" t="s">
        <v>640</v>
      </c>
      <c r="I17">
        <v>-1.7</v>
      </c>
      <c r="J17">
        <v>3.5</v>
      </c>
      <c r="K17">
        <v>-0.7</v>
      </c>
      <c r="L17">
        <v>-1.5</v>
      </c>
      <c r="M17">
        <v>1.5</v>
      </c>
      <c r="N17">
        <v>0</v>
      </c>
      <c r="O17">
        <v>0.5</v>
      </c>
      <c r="P17">
        <v>5.6</v>
      </c>
      <c r="Q17">
        <v>0</v>
      </c>
      <c r="R17">
        <v>1</v>
      </c>
      <c r="S17">
        <v>-0.5</v>
      </c>
      <c r="T17">
        <v>3</v>
      </c>
    </row>
    <row r="18" spans="1:20" x14ac:dyDescent="0.35">
      <c r="A18">
        <v>15</v>
      </c>
      <c r="B18" t="s">
        <v>268</v>
      </c>
      <c r="C18" s="30"/>
      <c r="D18" t="s">
        <v>86</v>
      </c>
      <c r="E18" t="s">
        <v>599</v>
      </c>
      <c r="F18" t="s">
        <v>86</v>
      </c>
      <c r="G18" t="s">
        <v>601</v>
      </c>
      <c r="H18" t="s">
        <v>22</v>
      </c>
      <c r="I18">
        <v>-4</v>
      </c>
      <c r="J18">
        <v>-1.3</v>
      </c>
      <c r="K18">
        <v>-0.7</v>
      </c>
      <c r="L18">
        <v>5.7</v>
      </c>
      <c r="M18">
        <v>0.5</v>
      </c>
      <c r="N18">
        <v>-2</v>
      </c>
      <c r="O18">
        <v>0.5</v>
      </c>
      <c r="P18">
        <v>5.6</v>
      </c>
      <c r="Q18">
        <v>-1</v>
      </c>
      <c r="R18">
        <v>-2</v>
      </c>
      <c r="S18">
        <v>-0.5</v>
      </c>
      <c r="T18">
        <v>6</v>
      </c>
    </row>
    <row r="19" spans="1:20" x14ac:dyDescent="0.35">
      <c r="A19">
        <v>16</v>
      </c>
      <c r="B19" t="s">
        <v>1099</v>
      </c>
      <c r="C19" s="30"/>
      <c r="D19" t="s">
        <v>82</v>
      </c>
      <c r="E19" t="s">
        <v>82</v>
      </c>
      <c r="F19" t="s">
        <v>82</v>
      </c>
      <c r="G19" t="s">
        <v>84</v>
      </c>
      <c r="H19" t="s">
        <v>85</v>
      </c>
      <c r="I19">
        <v>-2.5</v>
      </c>
      <c r="J19">
        <v>-4.5999999999999996</v>
      </c>
      <c r="K19">
        <v>1</v>
      </c>
      <c r="L19">
        <v>5.3</v>
      </c>
      <c r="M19">
        <v>0</v>
      </c>
      <c r="N19">
        <v>-2</v>
      </c>
      <c r="O19">
        <v>2.5</v>
      </c>
      <c r="P19">
        <v>2.5</v>
      </c>
      <c r="Q19">
        <v>-1</v>
      </c>
      <c r="R19">
        <v>-3.5</v>
      </c>
      <c r="S19">
        <v>2</v>
      </c>
      <c r="T19">
        <v>4.3</v>
      </c>
    </row>
    <row r="20" spans="1:20" x14ac:dyDescent="0.35">
      <c r="A20">
        <v>17</v>
      </c>
      <c r="B20" t="s">
        <v>699</v>
      </c>
      <c r="C20" s="30"/>
      <c r="D20" t="s">
        <v>589</v>
      </c>
      <c r="E20" t="s">
        <v>599</v>
      </c>
      <c r="F20" t="s">
        <v>589</v>
      </c>
      <c r="G20" t="s">
        <v>591</v>
      </c>
      <c r="H20" t="s">
        <v>630</v>
      </c>
      <c r="I20">
        <v>0.5</v>
      </c>
      <c r="J20">
        <v>-1.3</v>
      </c>
      <c r="K20">
        <v>-3.5</v>
      </c>
      <c r="L20">
        <v>3</v>
      </c>
      <c r="M20">
        <v>2.5</v>
      </c>
      <c r="N20">
        <v>-6.5</v>
      </c>
      <c r="O20">
        <v>2.5</v>
      </c>
      <c r="P20">
        <v>4</v>
      </c>
      <c r="Q20">
        <v>1.3</v>
      </c>
      <c r="R20">
        <v>-5.7</v>
      </c>
      <c r="S20">
        <v>-0.5</v>
      </c>
      <c r="T20">
        <v>4.3</v>
      </c>
    </row>
    <row r="21" spans="1:20" x14ac:dyDescent="0.35">
      <c r="A21">
        <v>18</v>
      </c>
      <c r="B21" t="s">
        <v>1037</v>
      </c>
      <c r="C21" s="30"/>
      <c r="D21" t="s">
        <v>86</v>
      </c>
      <c r="E21" t="s">
        <v>83</v>
      </c>
      <c r="F21" t="s">
        <v>82</v>
      </c>
      <c r="G21" t="s">
        <v>84</v>
      </c>
      <c r="H21" t="s">
        <v>85</v>
      </c>
      <c r="I21">
        <v>-5.3</v>
      </c>
      <c r="J21">
        <v>-1.3</v>
      </c>
      <c r="K21">
        <v>-0.7</v>
      </c>
      <c r="L21">
        <v>6</v>
      </c>
      <c r="M21">
        <v>0</v>
      </c>
      <c r="N21">
        <v>-4.3</v>
      </c>
      <c r="O21">
        <v>7</v>
      </c>
      <c r="P21">
        <v>2.5</v>
      </c>
      <c r="Q21">
        <v>-2.5</v>
      </c>
      <c r="R21">
        <v>-3.5</v>
      </c>
      <c r="S21">
        <v>3</v>
      </c>
      <c r="T21">
        <v>5.7</v>
      </c>
    </row>
    <row r="22" spans="1:20" x14ac:dyDescent="0.35">
      <c r="A22">
        <v>19</v>
      </c>
      <c r="B22" t="s">
        <v>1079</v>
      </c>
      <c r="C22" s="30"/>
      <c r="D22" t="s">
        <v>86</v>
      </c>
      <c r="E22" t="s">
        <v>82</v>
      </c>
      <c r="F22" t="s">
        <v>82</v>
      </c>
      <c r="G22" t="s">
        <v>84</v>
      </c>
      <c r="H22" t="s">
        <v>85</v>
      </c>
      <c r="I22">
        <v>-2.5</v>
      </c>
      <c r="J22">
        <v>-1.3</v>
      </c>
      <c r="K22">
        <v>-0.7</v>
      </c>
      <c r="L22">
        <v>6</v>
      </c>
      <c r="M22">
        <v>-1.3</v>
      </c>
      <c r="N22">
        <v>-2</v>
      </c>
      <c r="O22">
        <v>4</v>
      </c>
      <c r="P22">
        <v>5.6</v>
      </c>
      <c r="Q22">
        <v>-1.5</v>
      </c>
      <c r="R22">
        <v>-2</v>
      </c>
      <c r="S22">
        <v>1.5</v>
      </c>
      <c r="T22">
        <v>6.3</v>
      </c>
    </row>
    <row r="23" spans="1:20" x14ac:dyDescent="0.35">
      <c r="A23">
        <v>20</v>
      </c>
      <c r="B23" t="s">
        <v>1035</v>
      </c>
      <c r="C23" s="30"/>
      <c r="D23" t="s">
        <v>86</v>
      </c>
      <c r="E23" t="s">
        <v>599</v>
      </c>
      <c r="F23" t="s">
        <v>589</v>
      </c>
      <c r="G23" t="s">
        <v>591</v>
      </c>
      <c r="H23" t="s">
        <v>630</v>
      </c>
      <c r="I23">
        <v>-1.3</v>
      </c>
      <c r="J23">
        <v>-1.3</v>
      </c>
      <c r="K23">
        <v>-1.5</v>
      </c>
      <c r="L23">
        <v>2</v>
      </c>
      <c r="M23">
        <v>2.5</v>
      </c>
      <c r="N23">
        <v>-4.3</v>
      </c>
      <c r="O23">
        <v>0.5</v>
      </c>
      <c r="P23">
        <v>5.6</v>
      </c>
      <c r="Q23">
        <v>0.7</v>
      </c>
      <c r="R23">
        <v>-3.5</v>
      </c>
      <c r="S23">
        <v>-1</v>
      </c>
      <c r="T23">
        <v>4.3</v>
      </c>
    </row>
    <row r="24" spans="1:20" x14ac:dyDescent="0.35">
      <c r="A24">
        <v>21</v>
      </c>
      <c r="B24" t="s">
        <v>1144</v>
      </c>
      <c r="C24" s="30"/>
      <c r="D24" t="s">
        <v>602</v>
      </c>
      <c r="E24" t="s">
        <v>91</v>
      </c>
      <c r="F24" t="s">
        <v>606</v>
      </c>
      <c r="G24" t="s">
        <v>622</v>
      </c>
      <c r="H24" t="s">
        <v>643</v>
      </c>
      <c r="I24">
        <v>-5.3</v>
      </c>
      <c r="J24">
        <v>5.3</v>
      </c>
      <c r="K24">
        <v>4.5999999999999996</v>
      </c>
      <c r="L24">
        <v>-3.5</v>
      </c>
      <c r="M24">
        <v>-3</v>
      </c>
      <c r="N24">
        <v>2.5</v>
      </c>
      <c r="O24">
        <v>4</v>
      </c>
      <c r="P24">
        <v>5.6</v>
      </c>
      <c r="Q24">
        <v>-3.5</v>
      </c>
      <c r="R24">
        <v>4</v>
      </c>
      <c r="S24">
        <v>4.7</v>
      </c>
      <c r="T24">
        <v>1.5</v>
      </c>
    </row>
    <row r="25" spans="1:20" x14ac:dyDescent="0.35">
      <c r="A25">
        <v>22</v>
      </c>
      <c r="B25" t="s">
        <v>1102</v>
      </c>
      <c r="C25" s="30"/>
      <c r="D25" t="s">
        <v>86</v>
      </c>
      <c r="E25" t="s">
        <v>599</v>
      </c>
      <c r="F25" t="s">
        <v>589</v>
      </c>
      <c r="G25" t="s">
        <v>591</v>
      </c>
      <c r="H25" t="s">
        <v>630</v>
      </c>
      <c r="I25">
        <v>0</v>
      </c>
      <c r="J25">
        <v>-2.5</v>
      </c>
      <c r="K25">
        <v>-1.5</v>
      </c>
      <c r="L25">
        <v>3</v>
      </c>
      <c r="M25">
        <v>0.5</v>
      </c>
      <c r="N25">
        <v>-4.3</v>
      </c>
      <c r="O25">
        <v>0.5</v>
      </c>
      <c r="P25">
        <v>7</v>
      </c>
      <c r="Q25">
        <v>0.5</v>
      </c>
      <c r="R25">
        <v>-4.3</v>
      </c>
      <c r="S25">
        <v>-1</v>
      </c>
      <c r="T25">
        <v>5.7</v>
      </c>
    </row>
    <row r="26" spans="1:20" x14ac:dyDescent="0.35">
      <c r="A26">
        <v>23</v>
      </c>
      <c r="B26" t="s">
        <v>669</v>
      </c>
      <c r="C26" s="30"/>
      <c r="D26" t="s">
        <v>86</v>
      </c>
      <c r="E26" t="s">
        <v>86</v>
      </c>
      <c r="F26" t="s">
        <v>589</v>
      </c>
      <c r="G26" t="s">
        <v>591</v>
      </c>
      <c r="H26" t="s">
        <v>630</v>
      </c>
      <c r="I26">
        <v>0</v>
      </c>
      <c r="J26">
        <v>-2.5</v>
      </c>
      <c r="K26">
        <v>-4.3</v>
      </c>
      <c r="L26">
        <v>6</v>
      </c>
      <c r="M26">
        <v>0.5</v>
      </c>
      <c r="N26">
        <v>0.5</v>
      </c>
      <c r="O26">
        <v>1.5</v>
      </c>
      <c r="P26">
        <v>1.5</v>
      </c>
      <c r="Q26">
        <v>0.5</v>
      </c>
      <c r="R26">
        <v>-1.5</v>
      </c>
      <c r="S26">
        <v>-1.5</v>
      </c>
      <c r="T26">
        <v>5.5</v>
      </c>
    </row>
    <row r="27" spans="1:20" x14ac:dyDescent="0.35">
      <c r="A27">
        <v>24</v>
      </c>
      <c r="B27" t="s">
        <v>1071</v>
      </c>
      <c r="C27" s="30"/>
      <c r="D27" t="s">
        <v>602</v>
      </c>
      <c r="E27" t="s">
        <v>87</v>
      </c>
      <c r="F27" t="s">
        <v>624</v>
      </c>
      <c r="G27" t="s">
        <v>626</v>
      </c>
      <c r="H27" t="s">
        <v>647</v>
      </c>
      <c r="I27">
        <v>-2.5</v>
      </c>
      <c r="J27">
        <v>3.5</v>
      </c>
      <c r="K27">
        <v>1</v>
      </c>
      <c r="L27">
        <v>-3.5</v>
      </c>
      <c r="M27">
        <v>2.5</v>
      </c>
      <c r="N27">
        <v>-2</v>
      </c>
      <c r="O27">
        <v>2.5</v>
      </c>
      <c r="P27">
        <v>1.5</v>
      </c>
      <c r="Q27">
        <v>0</v>
      </c>
      <c r="R27">
        <v>0.5</v>
      </c>
      <c r="S27">
        <v>2</v>
      </c>
      <c r="T27">
        <v>0</v>
      </c>
    </row>
    <row r="28" spans="1:20" x14ac:dyDescent="0.35">
      <c r="A28">
        <v>25</v>
      </c>
      <c r="B28" t="s">
        <v>708</v>
      </c>
      <c r="C28" s="30"/>
      <c r="D28" t="s">
        <v>86</v>
      </c>
      <c r="E28" t="s">
        <v>599</v>
      </c>
      <c r="F28" t="s">
        <v>589</v>
      </c>
      <c r="G28" t="s">
        <v>591</v>
      </c>
      <c r="H28" t="s">
        <v>630</v>
      </c>
      <c r="I28">
        <v>-1.3</v>
      </c>
      <c r="J28">
        <v>-4.5999999999999996</v>
      </c>
      <c r="K28">
        <v>-0.7</v>
      </c>
      <c r="L28">
        <v>5.3</v>
      </c>
      <c r="M28">
        <v>2.5</v>
      </c>
      <c r="N28">
        <v>-6</v>
      </c>
      <c r="O28">
        <v>1.5</v>
      </c>
      <c r="P28">
        <v>4</v>
      </c>
      <c r="Q28">
        <v>0.7</v>
      </c>
      <c r="R28">
        <v>-6</v>
      </c>
      <c r="S28">
        <v>0</v>
      </c>
      <c r="T28">
        <v>5.5</v>
      </c>
    </row>
    <row r="29" spans="1:20" x14ac:dyDescent="0.35">
      <c r="A29">
        <v>26</v>
      </c>
      <c r="B29" t="s">
        <v>664</v>
      </c>
      <c r="C29" s="30"/>
      <c r="D29" t="s">
        <v>83</v>
      </c>
      <c r="E29" t="s">
        <v>83</v>
      </c>
      <c r="F29" t="s">
        <v>83</v>
      </c>
      <c r="G29" t="s">
        <v>594</v>
      </c>
      <c r="H29" t="s">
        <v>631</v>
      </c>
      <c r="I29">
        <v>-4</v>
      </c>
      <c r="J29">
        <v>-4.5999999999999996</v>
      </c>
      <c r="K29">
        <v>4.5999999999999996</v>
      </c>
      <c r="L29">
        <v>2</v>
      </c>
      <c r="M29">
        <v>-2.5</v>
      </c>
      <c r="N29">
        <v>0</v>
      </c>
      <c r="O29">
        <v>6</v>
      </c>
      <c r="P29">
        <v>5.6</v>
      </c>
      <c r="Q29">
        <v>-3</v>
      </c>
      <c r="R29">
        <v>-3</v>
      </c>
      <c r="S29">
        <v>5</v>
      </c>
      <c r="T29">
        <v>4.3</v>
      </c>
    </row>
    <row r="30" spans="1:20" x14ac:dyDescent="0.35">
      <c r="A30">
        <v>27</v>
      </c>
      <c r="B30" t="s">
        <v>698</v>
      </c>
      <c r="C30" s="30"/>
      <c r="D30" t="s">
        <v>83</v>
      </c>
      <c r="E30" t="s">
        <v>87</v>
      </c>
      <c r="F30" t="s">
        <v>589</v>
      </c>
      <c r="G30" t="s">
        <v>591</v>
      </c>
      <c r="H30" t="s">
        <v>630</v>
      </c>
      <c r="I30">
        <v>-1.7</v>
      </c>
      <c r="J30">
        <v>-1.3</v>
      </c>
      <c r="K30">
        <v>4</v>
      </c>
      <c r="L30">
        <v>0.5</v>
      </c>
      <c r="M30">
        <v>2.5</v>
      </c>
      <c r="N30">
        <v>-2</v>
      </c>
      <c r="O30">
        <v>4</v>
      </c>
      <c r="P30">
        <v>1.5</v>
      </c>
      <c r="Q30">
        <v>0.5</v>
      </c>
      <c r="R30">
        <v>-2</v>
      </c>
      <c r="S30">
        <v>0</v>
      </c>
      <c r="T30">
        <v>0.5</v>
      </c>
    </row>
    <row r="31" spans="1:20" x14ac:dyDescent="0.35">
      <c r="A31">
        <v>28</v>
      </c>
      <c r="B31" t="s">
        <v>655</v>
      </c>
      <c r="C31" s="30"/>
      <c r="D31" t="s">
        <v>589</v>
      </c>
      <c r="E31" t="s">
        <v>590</v>
      </c>
      <c r="F31" t="s">
        <v>589</v>
      </c>
      <c r="G31" t="s">
        <v>591</v>
      </c>
      <c r="H31" t="s">
        <v>630</v>
      </c>
      <c r="I31">
        <v>1</v>
      </c>
      <c r="J31">
        <v>-2.5</v>
      </c>
      <c r="K31">
        <v>-3.5</v>
      </c>
      <c r="L31">
        <v>2</v>
      </c>
      <c r="M31">
        <v>2.5</v>
      </c>
      <c r="N31">
        <v>-2</v>
      </c>
      <c r="O31">
        <v>-1.3</v>
      </c>
      <c r="P31">
        <v>1.5</v>
      </c>
      <c r="Q31">
        <v>1.5</v>
      </c>
      <c r="R31">
        <v>-3</v>
      </c>
      <c r="S31">
        <v>-2</v>
      </c>
      <c r="T31">
        <v>1.5</v>
      </c>
    </row>
    <row r="32" spans="1:20" x14ac:dyDescent="0.35">
      <c r="A32">
        <v>29</v>
      </c>
      <c r="B32" t="s">
        <v>980</v>
      </c>
      <c r="C32" s="30"/>
      <c r="D32" t="s">
        <v>607</v>
      </c>
      <c r="E32" t="s">
        <v>83</v>
      </c>
      <c r="F32" t="s">
        <v>82</v>
      </c>
      <c r="G32" t="s">
        <v>84</v>
      </c>
      <c r="H32" t="s">
        <v>85</v>
      </c>
      <c r="I32">
        <v>-1.3</v>
      </c>
      <c r="J32">
        <v>1</v>
      </c>
      <c r="K32">
        <v>0.5</v>
      </c>
      <c r="L32">
        <v>2</v>
      </c>
      <c r="M32">
        <v>-1.3</v>
      </c>
      <c r="N32">
        <v>-2</v>
      </c>
      <c r="O32">
        <v>4</v>
      </c>
      <c r="P32">
        <v>2.5</v>
      </c>
      <c r="Q32">
        <v>-0.5</v>
      </c>
      <c r="R32">
        <v>-1.5</v>
      </c>
      <c r="S32">
        <v>2</v>
      </c>
      <c r="T32">
        <v>3</v>
      </c>
    </row>
    <row r="33" spans="1:20" x14ac:dyDescent="0.35">
      <c r="A33">
        <v>30</v>
      </c>
      <c r="B33" t="s">
        <v>685</v>
      </c>
      <c r="C33" s="30"/>
      <c r="D33" t="s">
        <v>607</v>
      </c>
      <c r="E33" t="s">
        <v>82</v>
      </c>
      <c r="F33" t="s">
        <v>91</v>
      </c>
      <c r="G33" t="s">
        <v>92</v>
      </c>
      <c r="H33" t="s">
        <v>93</v>
      </c>
      <c r="I33">
        <v>-5.3</v>
      </c>
      <c r="J33">
        <v>3</v>
      </c>
      <c r="K33">
        <v>1</v>
      </c>
      <c r="L33">
        <v>3</v>
      </c>
      <c r="M33">
        <v>-1.5</v>
      </c>
      <c r="N33">
        <v>0</v>
      </c>
      <c r="O33">
        <v>2.5</v>
      </c>
      <c r="P33">
        <v>4</v>
      </c>
      <c r="Q33">
        <v>-3</v>
      </c>
      <c r="R33">
        <v>0.5</v>
      </c>
      <c r="S33">
        <v>2</v>
      </c>
      <c r="T33">
        <v>4.3</v>
      </c>
    </row>
    <row r="34" spans="1:20" x14ac:dyDescent="0.35">
      <c r="A34">
        <v>31</v>
      </c>
      <c r="B34" t="s">
        <v>275</v>
      </c>
      <c r="C34" s="30"/>
      <c r="D34" t="s">
        <v>593</v>
      </c>
      <c r="E34" t="s">
        <v>82</v>
      </c>
      <c r="F34" t="s">
        <v>86</v>
      </c>
      <c r="G34" t="s">
        <v>601</v>
      </c>
      <c r="H34" t="s">
        <v>22</v>
      </c>
      <c r="I34">
        <v>-5.3</v>
      </c>
      <c r="J34">
        <v>3</v>
      </c>
      <c r="K34">
        <v>-0.7</v>
      </c>
      <c r="L34">
        <v>2</v>
      </c>
      <c r="M34">
        <v>0</v>
      </c>
      <c r="N34">
        <v>-2</v>
      </c>
      <c r="O34">
        <v>0.5</v>
      </c>
      <c r="P34">
        <v>7</v>
      </c>
      <c r="Q34">
        <v>-2.5</v>
      </c>
      <c r="R34">
        <v>0</v>
      </c>
      <c r="S34">
        <v>-0.5</v>
      </c>
      <c r="T34">
        <v>5.5</v>
      </c>
    </row>
    <row r="35" spans="1:20" x14ac:dyDescent="0.35">
      <c r="A35">
        <v>32</v>
      </c>
      <c r="B35" t="s">
        <v>1105</v>
      </c>
      <c r="C35" s="30"/>
      <c r="D35" t="s">
        <v>589</v>
      </c>
      <c r="E35" t="s">
        <v>589</v>
      </c>
      <c r="F35" t="s">
        <v>589</v>
      </c>
      <c r="G35" t="s">
        <v>591</v>
      </c>
      <c r="H35" t="s">
        <v>630</v>
      </c>
      <c r="I35">
        <v>1</v>
      </c>
      <c r="J35">
        <v>-2.5</v>
      </c>
      <c r="K35">
        <v>-3.5</v>
      </c>
      <c r="L35">
        <v>5.7</v>
      </c>
      <c r="M35">
        <v>0.5</v>
      </c>
      <c r="N35">
        <v>0.5</v>
      </c>
      <c r="O35">
        <v>4</v>
      </c>
      <c r="P35">
        <v>1.5</v>
      </c>
      <c r="Q35">
        <v>1</v>
      </c>
      <c r="R35">
        <v>-1.5</v>
      </c>
      <c r="S35">
        <v>0</v>
      </c>
      <c r="T35">
        <v>4.3</v>
      </c>
    </row>
    <row r="36" spans="1:20" x14ac:dyDescent="0.35">
      <c r="A36">
        <v>33</v>
      </c>
      <c r="B36" t="s">
        <v>323</v>
      </c>
      <c r="C36" s="30"/>
      <c r="D36" t="s">
        <v>86</v>
      </c>
      <c r="E36" t="s">
        <v>83</v>
      </c>
      <c r="F36" t="s">
        <v>82</v>
      </c>
      <c r="G36" t="s">
        <v>84</v>
      </c>
      <c r="H36" t="s">
        <v>85</v>
      </c>
      <c r="I36">
        <v>-1.3</v>
      </c>
      <c r="J36">
        <v>-1.3</v>
      </c>
      <c r="K36">
        <v>-1.5</v>
      </c>
      <c r="L36">
        <v>2</v>
      </c>
      <c r="M36">
        <v>-1.3</v>
      </c>
      <c r="N36">
        <v>-3.5</v>
      </c>
      <c r="O36">
        <v>6</v>
      </c>
      <c r="P36">
        <v>4</v>
      </c>
      <c r="Q36">
        <v>-0.5</v>
      </c>
      <c r="R36">
        <v>-3</v>
      </c>
      <c r="S36">
        <v>1.5</v>
      </c>
      <c r="T36">
        <v>4</v>
      </c>
    </row>
    <row r="37" spans="1:20" x14ac:dyDescent="0.35">
      <c r="A37">
        <v>34</v>
      </c>
      <c r="B37" t="s">
        <v>359</v>
      </c>
      <c r="C37" s="30"/>
      <c r="D37" t="s">
        <v>82</v>
      </c>
      <c r="E37" t="s">
        <v>599</v>
      </c>
      <c r="F37" t="s">
        <v>82</v>
      </c>
      <c r="G37" t="s">
        <v>84</v>
      </c>
      <c r="H37" t="s">
        <v>85</v>
      </c>
      <c r="I37">
        <v>-2.5</v>
      </c>
      <c r="J37">
        <v>-4.5999999999999996</v>
      </c>
      <c r="K37">
        <v>1</v>
      </c>
      <c r="L37">
        <v>5.7</v>
      </c>
      <c r="M37">
        <v>1.5</v>
      </c>
      <c r="N37">
        <v>-4.3</v>
      </c>
      <c r="O37">
        <v>1.5</v>
      </c>
      <c r="P37">
        <v>4</v>
      </c>
      <c r="Q37">
        <v>-0.25</v>
      </c>
      <c r="R37">
        <v>-4.7</v>
      </c>
      <c r="S37">
        <v>1.5</v>
      </c>
      <c r="T37">
        <v>5.7</v>
      </c>
    </row>
    <row r="38" spans="1:20" x14ac:dyDescent="0.35">
      <c r="A38">
        <v>35</v>
      </c>
      <c r="B38" t="s">
        <v>693</v>
      </c>
      <c r="C38" s="30"/>
      <c r="D38" t="s">
        <v>592</v>
      </c>
      <c r="E38" t="s">
        <v>610</v>
      </c>
      <c r="F38" t="s">
        <v>585</v>
      </c>
      <c r="G38" t="s">
        <v>611</v>
      </c>
      <c r="H38" t="s">
        <v>637</v>
      </c>
      <c r="I38">
        <v>1</v>
      </c>
      <c r="J38">
        <v>3.5</v>
      </c>
      <c r="K38">
        <v>-5.7</v>
      </c>
      <c r="L38">
        <v>2</v>
      </c>
      <c r="M38">
        <v>2.5</v>
      </c>
      <c r="N38">
        <v>0.5</v>
      </c>
      <c r="O38">
        <v>1.5</v>
      </c>
      <c r="P38">
        <v>0</v>
      </c>
      <c r="Q38">
        <v>1.5</v>
      </c>
      <c r="R38">
        <v>1.5</v>
      </c>
      <c r="S38">
        <v>-2</v>
      </c>
      <c r="T38">
        <v>0.3</v>
      </c>
    </row>
    <row r="39" spans="1:20" x14ac:dyDescent="0.35">
      <c r="A39">
        <v>36</v>
      </c>
      <c r="B39" t="s">
        <v>378</v>
      </c>
      <c r="C39" s="30"/>
      <c r="D39" t="s">
        <v>595</v>
      </c>
      <c r="E39" t="s">
        <v>83</v>
      </c>
      <c r="F39" t="s">
        <v>592</v>
      </c>
      <c r="G39" t="s">
        <v>617</v>
      </c>
      <c r="H39" t="s">
        <v>640</v>
      </c>
      <c r="I39">
        <v>-5.3</v>
      </c>
      <c r="J39">
        <v>3</v>
      </c>
      <c r="K39">
        <v>1</v>
      </c>
      <c r="L39">
        <v>2</v>
      </c>
      <c r="M39">
        <v>-1.5</v>
      </c>
      <c r="N39">
        <v>0</v>
      </c>
      <c r="O39">
        <v>7.5</v>
      </c>
      <c r="P39">
        <v>1.5</v>
      </c>
      <c r="Q39">
        <v>-3</v>
      </c>
      <c r="R39">
        <v>0.5</v>
      </c>
      <c r="S39">
        <v>0</v>
      </c>
      <c r="T39">
        <v>1.5</v>
      </c>
    </row>
    <row r="40" spans="1:20" x14ac:dyDescent="0.35">
      <c r="A40">
        <v>37</v>
      </c>
      <c r="B40" t="s">
        <v>1165</v>
      </c>
      <c r="C40" s="30"/>
      <c r="D40" t="s">
        <v>86</v>
      </c>
      <c r="E40" t="s">
        <v>82</v>
      </c>
      <c r="F40" t="s">
        <v>82</v>
      </c>
      <c r="G40" t="s">
        <v>84</v>
      </c>
      <c r="H40" t="s">
        <v>85</v>
      </c>
      <c r="I40">
        <v>-1.3</v>
      </c>
      <c r="J40">
        <v>-2.5</v>
      </c>
      <c r="K40">
        <v>-0.7</v>
      </c>
      <c r="L40">
        <v>5.7</v>
      </c>
      <c r="M40">
        <v>-2.5</v>
      </c>
      <c r="N40">
        <v>-2</v>
      </c>
      <c r="O40">
        <v>2.5</v>
      </c>
      <c r="P40">
        <v>5.6</v>
      </c>
      <c r="Q40">
        <v>-1.5</v>
      </c>
      <c r="R40">
        <v>-3</v>
      </c>
      <c r="S40">
        <v>1</v>
      </c>
      <c r="T40">
        <v>6</v>
      </c>
    </row>
    <row r="41" spans="1:20" x14ac:dyDescent="0.35">
      <c r="A41">
        <v>38</v>
      </c>
      <c r="B41" t="s">
        <v>1011</v>
      </c>
      <c r="C41" s="30"/>
      <c r="D41" t="s">
        <v>82</v>
      </c>
      <c r="E41" t="s">
        <v>82</v>
      </c>
      <c r="F41" t="s">
        <v>82</v>
      </c>
      <c r="G41" t="s">
        <v>84</v>
      </c>
      <c r="H41" t="s">
        <v>85</v>
      </c>
      <c r="I41">
        <v>-5.3</v>
      </c>
      <c r="J41">
        <v>-4.5999999999999996</v>
      </c>
      <c r="K41">
        <v>1</v>
      </c>
      <c r="L41">
        <v>6.3</v>
      </c>
      <c r="M41">
        <v>-3</v>
      </c>
      <c r="N41">
        <v>-6</v>
      </c>
      <c r="O41">
        <v>7</v>
      </c>
      <c r="P41">
        <v>7</v>
      </c>
      <c r="Q41">
        <v>-3.5</v>
      </c>
      <c r="R41">
        <v>-6</v>
      </c>
      <c r="S41">
        <v>4</v>
      </c>
      <c r="T41">
        <v>6.7</v>
      </c>
    </row>
    <row r="42" spans="1:20" x14ac:dyDescent="0.35">
      <c r="A42">
        <v>39</v>
      </c>
      <c r="B42" t="s">
        <v>270</v>
      </c>
      <c r="C42" s="30"/>
      <c r="D42" t="s">
        <v>585</v>
      </c>
      <c r="E42" t="s">
        <v>585</v>
      </c>
      <c r="F42" t="s">
        <v>620</v>
      </c>
      <c r="G42" t="s">
        <v>621</v>
      </c>
      <c r="H42" t="s">
        <v>642</v>
      </c>
      <c r="I42">
        <v>0.5</v>
      </c>
      <c r="J42">
        <v>3</v>
      </c>
      <c r="K42">
        <v>-0.7</v>
      </c>
      <c r="L42">
        <v>0.5</v>
      </c>
      <c r="M42">
        <v>2.5</v>
      </c>
      <c r="N42">
        <v>0.5</v>
      </c>
      <c r="O42">
        <v>1.5</v>
      </c>
      <c r="P42">
        <v>1.5</v>
      </c>
      <c r="Q42">
        <v>1.3</v>
      </c>
      <c r="R42">
        <v>1</v>
      </c>
      <c r="S42">
        <v>0</v>
      </c>
      <c r="T42">
        <v>0.5</v>
      </c>
    </row>
    <row r="43" spans="1:20" x14ac:dyDescent="0.35">
      <c r="A43">
        <v>40</v>
      </c>
      <c r="B43" t="s">
        <v>1227</v>
      </c>
      <c r="C43" s="30"/>
      <c r="D43" t="s">
        <v>589</v>
      </c>
      <c r="E43" t="s">
        <v>597</v>
      </c>
      <c r="F43" t="s">
        <v>589</v>
      </c>
      <c r="G43" t="s">
        <v>591</v>
      </c>
      <c r="H43" t="s">
        <v>630</v>
      </c>
      <c r="I43">
        <v>1</v>
      </c>
      <c r="J43">
        <v>-2.5</v>
      </c>
      <c r="K43">
        <v>-4.3</v>
      </c>
      <c r="L43">
        <v>3</v>
      </c>
      <c r="M43">
        <v>0.5</v>
      </c>
      <c r="N43">
        <v>-4.3</v>
      </c>
      <c r="O43">
        <v>6</v>
      </c>
      <c r="P43">
        <v>4</v>
      </c>
      <c r="Q43">
        <v>1</v>
      </c>
      <c r="R43">
        <v>-4.3</v>
      </c>
      <c r="S43">
        <v>0</v>
      </c>
      <c r="T43">
        <v>4.3</v>
      </c>
    </row>
    <row r="44" spans="1:20" x14ac:dyDescent="0.35">
      <c r="A44">
        <v>41</v>
      </c>
      <c r="B44" t="s">
        <v>665</v>
      </c>
      <c r="C44" s="30"/>
      <c r="D44" t="s">
        <v>619</v>
      </c>
      <c r="E44" t="s">
        <v>606</v>
      </c>
      <c r="F44" t="s">
        <v>87</v>
      </c>
      <c r="G44" t="s">
        <v>603</v>
      </c>
      <c r="H44" t="s">
        <v>634</v>
      </c>
      <c r="I44">
        <v>0.5</v>
      </c>
      <c r="J44">
        <v>-2.5</v>
      </c>
      <c r="K44">
        <v>0.5</v>
      </c>
      <c r="L44">
        <v>-1.5</v>
      </c>
      <c r="M44">
        <v>0</v>
      </c>
      <c r="N44">
        <v>0.5</v>
      </c>
      <c r="O44">
        <v>2.5</v>
      </c>
      <c r="P44">
        <v>1.5</v>
      </c>
      <c r="Q44">
        <v>0.5</v>
      </c>
      <c r="R44">
        <v>-1.5</v>
      </c>
      <c r="S44">
        <v>1.5</v>
      </c>
      <c r="T44">
        <v>0.3</v>
      </c>
    </row>
    <row r="45" spans="1:20" x14ac:dyDescent="0.35">
      <c r="A45">
        <v>42</v>
      </c>
      <c r="B45" t="s">
        <v>1173</v>
      </c>
      <c r="C45" s="30"/>
      <c r="D45" t="s">
        <v>82</v>
      </c>
      <c r="E45" t="s">
        <v>83</v>
      </c>
      <c r="F45" t="s">
        <v>82</v>
      </c>
      <c r="G45" t="s">
        <v>84</v>
      </c>
      <c r="H45" t="s">
        <v>85</v>
      </c>
      <c r="I45">
        <v>-1.7</v>
      </c>
      <c r="J45">
        <v>-2.5</v>
      </c>
      <c r="K45">
        <v>3</v>
      </c>
      <c r="L45">
        <v>5.3</v>
      </c>
      <c r="M45">
        <v>-2.5</v>
      </c>
      <c r="N45">
        <v>-6</v>
      </c>
      <c r="O45">
        <v>7</v>
      </c>
      <c r="P45">
        <v>5.6</v>
      </c>
      <c r="Q45">
        <v>-2.5</v>
      </c>
      <c r="R45">
        <v>-5.7</v>
      </c>
      <c r="S45">
        <v>4.7</v>
      </c>
      <c r="T45">
        <v>5.7</v>
      </c>
    </row>
    <row r="46" spans="1:20" x14ac:dyDescent="0.35">
      <c r="A46">
        <v>43</v>
      </c>
      <c r="B46" t="s">
        <v>956</v>
      </c>
      <c r="C46" s="30"/>
      <c r="D46" t="s">
        <v>589</v>
      </c>
      <c r="E46" t="s">
        <v>597</v>
      </c>
      <c r="F46" t="s">
        <v>88</v>
      </c>
      <c r="G46" t="s">
        <v>89</v>
      </c>
      <c r="H46" t="s">
        <v>90</v>
      </c>
      <c r="I46">
        <v>0.5</v>
      </c>
      <c r="J46">
        <v>-2.5</v>
      </c>
      <c r="K46">
        <v>-0.7</v>
      </c>
      <c r="L46">
        <v>3</v>
      </c>
      <c r="M46">
        <v>0.5</v>
      </c>
      <c r="N46">
        <v>-3.5</v>
      </c>
      <c r="O46">
        <v>2.5</v>
      </c>
      <c r="P46">
        <v>2.5</v>
      </c>
      <c r="Q46">
        <v>0.7</v>
      </c>
      <c r="R46">
        <v>-3.5</v>
      </c>
      <c r="S46">
        <v>1</v>
      </c>
      <c r="T46">
        <v>4</v>
      </c>
    </row>
    <row r="47" spans="1:20" x14ac:dyDescent="0.35">
      <c r="A47">
        <v>44</v>
      </c>
      <c r="B47" t="s">
        <v>1247</v>
      </c>
      <c r="C47" s="30"/>
      <c r="D47" t="s">
        <v>592</v>
      </c>
      <c r="E47" t="s">
        <v>589</v>
      </c>
      <c r="F47" t="s">
        <v>86</v>
      </c>
      <c r="G47" t="s">
        <v>601</v>
      </c>
      <c r="H47" t="s">
        <v>22</v>
      </c>
      <c r="I47">
        <v>-2.5</v>
      </c>
      <c r="J47">
        <v>3</v>
      </c>
      <c r="K47">
        <v>-3.5</v>
      </c>
      <c r="L47">
        <v>6</v>
      </c>
      <c r="M47">
        <v>0.5</v>
      </c>
      <c r="N47">
        <v>-3.5</v>
      </c>
      <c r="O47">
        <v>-1.3</v>
      </c>
      <c r="P47">
        <v>7</v>
      </c>
      <c r="Q47">
        <v>-0.5</v>
      </c>
      <c r="R47">
        <v>-1.5</v>
      </c>
      <c r="S47">
        <v>-2</v>
      </c>
      <c r="T47">
        <v>6.5</v>
      </c>
    </row>
    <row r="48" spans="1:20" x14ac:dyDescent="0.35">
      <c r="A48">
        <v>45</v>
      </c>
      <c r="B48" t="s">
        <v>349</v>
      </c>
      <c r="C48" s="30"/>
      <c r="D48" t="s">
        <v>82</v>
      </c>
      <c r="E48" t="s">
        <v>83</v>
      </c>
      <c r="F48" t="s">
        <v>83</v>
      </c>
      <c r="G48" t="s">
        <v>594</v>
      </c>
      <c r="H48" t="s">
        <v>631</v>
      </c>
      <c r="I48">
        <v>-5.3</v>
      </c>
      <c r="J48">
        <v>-2.5</v>
      </c>
      <c r="K48">
        <v>3</v>
      </c>
      <c r="L48">
        <v>3</v>
      </c>
      <c r="M48">
        <v>-1.5</v>
      </c>
      <c r="N48">
        <v>-4.3</v>
      </c>
      <c r="O48">
        <v>7</v>
      </c>
      <c r="P48">
        <v>4</v>
      </c>
      <c r="Q48">
        <v>-3</v>
      </c>
      <c r="R48">
        <v>-4.3</v>
      </c>
      <c r="S48">
        <v>4.7</v>
      </c>
      <c r="T48">
        <v>4.3</v>
      </c>
    </row>
    <row r="49" spans="1:20" x14ac:dyDescent="0.35">
      <c r="A49">
        <v>46</v>
      </c>
      <c r="B49" t="s">
        <v>1081</v>
      </c>
      <c r="C49" s="30"/>
      <c r="D49" t="s">
        <v>83</v>
      </c>
      <c r="E49" t="s">
        <v>83</v>
      </c>
      <c r="F49" t="s">
        <v>83</v>
      </c>
      <c r="G49" t="s">
        <v>594</v>
      </c>
      <c r="H49" t="s">
        <v>631</v>
      </c>
      <c r="I49">
        <v>-4</v>
      </c>
      <c r="J49">
        <v>-2.5</v>
      </c>
      <c r="K49">
        <v>4</v>
      </c>
      <c r="L49">
        <v>3</v>
      </c>
      <c r="M49">
        <v>-1.3</v>
      </c>
      <c r="N49">
        <v>0</v>
      </c>
      <c r="O49">
        <v>7</v>
      </c>
      <c r="P49">
        <v>0.5</v>
      </c>
      <c r="Q49">
        <v>-2.5</v>
      </c>
      <c r="R49">
        <v>-2</v>
      </c>
      <c r="S49">
        <v>5</v>
      </c>
      <c r="T49">
        <v>1.5</v>
      </c>
    </row>
    <row r="50" spans="1:20" x14ac:dyDescent="0.35">
      <c r="A50">
        <v>47</v>
      </c>
      <c r="B50" t="s">
        <v>958</v>
      </c>
      <c r="C50" s="30"/>
      <c r="D50" t="s">
        <v>608</v>
      </c>
      <c r="E50" t="s">
        <v>627</v>
      </c>
      <c r="F50" t="s">
        <v>608</v>
      </c>
      <c r="G50" t="s">
        <v>1482</v>
      </c>
      <c r="H50" t="s">
        <v>23</v>
      </c>
      <c r="I50">
        <v>0.5</v>
      </c>
      <c r="J50">
        <v>-2.5</v>
      </c>
      <c r="K50">
        <v>-1.5</v>
      </c>
      <c r="L50">
        <v>-1.5</v>
      </c>
      <c r="M50">
        <v>1.5</v>
      </c>
      <c r="N50">
        <v>2.5</v>
      </c>
      <c r="O50">
        <v>2.5</v>
      </c>
      <c r="P50">
        <v>0</v>
      </c>
      <c r="Q50">
        <v>1</v>
      </c>
      <c r="R50">
        <v>0</v>
      </c>
      <c r="S50">
        <v>0</v>
      </c>
      <c r="T50">
        <v>-0.5</v>
      </c>
    </row>
    <row r="51" spans="1:20" x14ac:dyDescent="0.35">
      <c r="A51">
        <v>48</v>
      </c>
      <c r="B51" t="s">
        <v>705</v>
      </c>
      <c r="C51" s="30"/>
      <c r="D51" t="s">
        <v>82</v>
      </c>
      <c r="E51" t="s">
        <v>83</v>
      </c>
      <c r="F51" t="s">
        <v>82</v>
      </c>
      <c r="G51" t="s">
        <v>84</v>
      </c>
      <c r="H51" t="s">
        <v>85</v>
      </c>
      <c r="I51">
        <v>-5.3</v>
      </c>
      <c r="J51">
        <v>-4.5999999999999996</v>
      </c>
      <c r="K51">
        <v>4.5999999999999996</v>
      </c>
      <c r="L51">
        <v>5.7</v>
      </c>
      <c r="M51">
        <v>-3</v>
      </c>
      <c r="N51">
        <v>0</v>
      </c>
      <c r="O51">
        <v>7</v>
      </c>
      <c r="P51">
        <v>5.6</v>
      </c>
      <c r="Q51">
        <v>-3.5</v>
      </c>
      <c r="R51">
        <v>-3</v>
      </c>
      <c r="S51">
        <v>5.5</v>
      </c>
      <c r="T51">
        <v>6</v>
      </c>
    </row>
    <row r="52" spans="1:20" x14ac:dyDescent="0.35">
      <c r="A52">
        <v>49</v>
      </c>
      <c r="B52" t="s">
        <v>311</v>
      </c>
      <c r="C52" s="30"/>
      <c r="D52" t="s">
        <v>592</v>
      </c>
      <c r="E52" t="s">
        <v>597</v>
      </c>
      <c r="F52" t="s">
        <v>88</v>
      </c>
      <c r="G52" t="s">
        <v>89</v>
      </c>
      <c r="H52" t="s">
        <v>90</v>
      </c>
      <c r="I52">
        <v>0</v>
      </c>
      <c r="J52">
        <v>1</v>
      </c>
      <c r="K52">
        <v>-0.7</v>
      </c>
      <c r="L52">
        <v>2</v>
      </c>
      <c r="M52">
        <v>0.5</v>
      </c>
      <c r="N52">
        <v>-5.3</v>
      </c>
      <c r="O52">
        <v>2.5</v>
      </c>
      <c r="P52">
        <v>2.5</v>
      </c>
      <c r="Q52">
        <v>0.5</v>
      </c>
      <c r="R52">
        <v>-3.5</v>
      </c>
      <c r="S52">
        <v>1</v>
      </c>
      <c r="T52">
        <v>3</v>
      </c>
    </row>
    <row r="53" spans="1:20" x14ac:dyDescent="0.35">
      <c r="A53">
        <v>50</v>
      </c>
      <c r="B53" t="s">
        <v>1024</v>
      </c>
      <c r="C53" s="30"/>
      <c r="D53" t="s">
        <v>82</v>
      </c>
      <c r="E53" t="s">
        <v>599</v>
      </c>
      <c r="F53" t="s">
        <v>82</v>
      </c>
      <c r="G53" t="s">
        <v>84</v>
      </c>
      <c r="H53" t="s">
        <v>85</v>
      </c>
      <c r="I53">
        <v>-5.3</v>
      </c>
      <c r="J53">
        <v>-2.5</v>
      </c>
      <c r="K53">
        <v>2.5</v>
      </c>
      <c r="L53">
        <v>3</v>
      </c>
      <c r="M53">
        <v>1.5</v>
      </c>
      <c r="N53">
        <v>-3.5</v>
      </c>
      <c r="O53">
        <v>1.5</v>
      </c>
      <c r="P53">
        <v>2.5</v>
      </c>
      <c r="Q53">
        <v>-1</v>
      </c>
      <c r="R53">
        <v>-3.5</v>
      </c>
      <c r="S53">
        <v>2</v>
      </c>
      <c r="T53">
        <v>4</v>
      </c>
    </row>
    <row r="54" spans="1:20" x14ac:dyDescent="0.35">
      <c r="A54">
        <v>51</v>
      </c>
      <c r="B54" t="s">
        <v>314</v>
      </c>
      <c r="C54" s="30"/>
      <c r="D54" t="s">
        <v>82</v>
      </c>
      <c r="E54" t="s">
        <v>83</v>
      </c>
      <c r="F54" t="s">
        <v>82</v>
      </c>
      <c r="G54" t="s">
        <v>84</v>
      </c>
      <c r="H54" t="s">
        <v>85</v>
      </c>
      <c r="I54">
        <v>-5.3</v>
      </c>
      <c r="J54">
        <v>-1.3</v>
      </c>
      <c r="K54">
        <v>0.5</v>
      </c>
      <c r="L54">
        <v>5.7</v>
      </c>
      <c r="M54">
        <v>-1.3</v>
      </c>
      <c r="N54">
        <v>-3.5</v>
      </c>
      <c r="O54">
        <v>6</v>
      </c>
      <c r="P54">
        <v>5.6</v>
      </c>
      <c r="Q54">
        <v>-2.75</v>
      </c>
      <c r="R54">
        <v>-3</v>
      </c>
      <c r="S54">
        <v>3</v>
      </c>
      <c r="T54">
        <v>6</v>
      </c>
    </row>
    <row r="55" spans="1:20" x14ac:dyDescent="0.35">
      <c r="A55">
        <v>52</v>
      </c>
      <c r="B55" t="s">
        <v>1046</v>
      </c>
      <c r="C55" s="30"/>
      <c r="D55" t="s">
        <v>593</v>
      </c>
      <c r="E55" t="s">
        <v>82</v>
      </c>
      <c r="F55" t="s">
        <v>86</v>
      </c>
      <c r="G55" t="s">
        <v>601</v>
      </c>
      <c r="H55" t="s">
        <v>22</v>
      </c>
      <c r="I55">
        <v>-4</v>
      </c>
      <c r="J55">
        <v>3</v>
      </c>
      <c r="K55">
        <v>-3.5</v>
      </c>
      <c r="L55">
        <v>2</v>
      </c>
      <c r="M55">
        <v>-1.3</v>
      </c>
      <c r="N55">
        <v>-2</v>
      </c>
      <c r="O55">
        <v>1.5</v>
      </c>
      <c r="P55">
        <v>5.6</v>
      </c>
      <c r="Q55">
        <v>-2.5</v>
      </c>
      <c r="R55">
        <v>0</v>
      </c>
      <c r="S55">
        <v>-1</v>
      </c>
      <c r="T55">
        <v>4.3</v>
      </c>
    </row>
    <row r="56" spans="1:20" x14ac:dyDescent="0.35">
      <c r="A56">
        <v>53</v>
      </c>
      <c r="B56" t="s">
        <v>943</v>
      </c>
      <c r="C56" s="30"/>
      <c r="D56" t="s">
        <v>82</v>
      </c>
      <c r="E56" t="s">
        <v>599</v>
      </c>
      <c r="F56" t="s">
        <v>86</v>
      </c>
      <c r="G56" t="s">
        <v>601</v>
      </c>
      <c r="H56" t="s">
        <v>22</v>
      </c>
      <c r="I56">
        <v>-4</v>
      </c>
      <c r="J56">
        <v>-2.5</v>
      </c>
      <c r="K56">
        <v>0.5</v>
      </c>
      <c r="L56">
        <v>5.7</v>
      </c>
      <c r="M56">
        <v>0.5</v>
      </c>
      <c r="N56">
        <v>-4.3</v>
      </c>
      <c r="O56">
        <v>0.5</v>
      </c>
      <c r="P56">
        <v>7</v>
      </c>
      <c r="Q56">
        <v>-1</v>
      </c>
      <c r="R56">
        <v>-4.3</v>
      </c>
      <c r="S56">
        <v>0</v>
      </c>
      <c r="T56">
        <v>6.3</v>
      </c>
    </row>
    <row r="57" spans="1:20" x14ac:dyDescent="0.35">
      <c r="A57">
        <v>54</v>
      </c>
      <c r="B57" t="s">
        <v>673</v>
      </c>
      <c r="C57" s="30"/>
      <c r="D57" t="s">
        <v>585</v>
      </c>
      <c r="E57" t="s">
        <v>597</v>
      </c>
      <c r="F57" t="s">
        <v>597</v>
      </c>
      <c r="G57" t="s">
        <v>612</v>
      </c>
      <c r="H57" t="s">
        <v>638</v>
      </c>
      <c r="I57">
        <v>0.5</v>
      </c>
      <c r="J57">
        <v>3</v>
      </c>
      <c r="K57">
        <v>-1.5</v>
      </c>
      <c r="L57">
        <v>0.5</v>
      </c>
      <c r="M57">
        <v>0.5</v>
      </c>
      <c r="N57">
        <v>-5.3</v>
      </c>
      <c r="O57">
        <v>6</v>
      </c>
      <c r="P57">
        <v>2.5</v>
      </c>
      <c r="Q57">
        <v>0.7</v>
      </c>
      <c r="R57">
        <v>-3</v>
      </c>
      <c r="S57">
        <v>1.5</v>
      </c>
      <c r="T57">
        <v>1.5</v>
      </c>
    </row>
    <row r="58" spans="1:20" x14ac:dyDescent="0.35">
      <c r="A58">
        <v>55</v>
      </c>
      <c r="B58" t="s">
        <v>1075</v>
      </c>
      <c r="C58" s="30"/>
      <c r="D58" t="s">
        <v>598</v>
      </c>
      <c r="E58" t="s">
        <v>589</v>
      </c>
      <c r="F58" t="s">
        <v>589</v>
      </c>
      <c r="G58" t="s">
        <v>591</v>
      </c>
      <c r="H58" t="s">
        <v>630</v>
      </c>
      <c r="I58">
        <v>1</v>
      </c>
      <c r="J58">
        <v>1</v>
      </c>
      <c r="K58">
        <v>-3.5</v>
      </c>
      <c r="L58">
        <v>2</v>
      </c>
      <c r="M58">
        <v>2.5</v>
      </c>
      <c r="N58">
        <v>0</v>
      </c>
      <c r="O58">
        <v>-1.3</v>
      </c>
      <c r="P58">
        <v>2.5</v>
      </c>
      <c r="Q58">
        <v>1.5</v>
      </c>
      <c r="R58">
        <v>0</v>
      </c>
      <c r="S58">
        <v>-2</v>
      </c>
      <c r="T58">
        <v>3</v>
      </c>
    </row>
    <row r="59" spans="1:20" x14ac:dyDescent="0.35">
      <c r="A59">
        <v>56</v>
      </c>
      <c r="B59" t="s">
        <v>289</v>
      </c>
      <c r="C59" s="30"/>
      <c r="D59" t="s">
        <v>595</v>
      </c>
      <c r="E59" t="s">
        <v>83</v>
      </c>
      <c r="F59" t="s">
        <v>593</v>
      </c>
      <c r="G59" t="s">
        <v>596</v>
      </c>
      <c r="H59" t="s">
        <v>632</v>
      </c>
      <c r="I59">
        <v>-6</v>
      </c>
      <c r="J59">
        <v>5.3</v>
      </c>
      <c r="K59">
        <v>3</v>
      </c>
      <c r="L59">
        <v>0.5</v>
      </c>
      <c r="M59">
        <v>-1.3</v>
      </c>
      <c r="N59">
        <v>0</v>
      </c>
      <c r="O59">
        <v>6</v>
      </c>
      <c r="P59">
        <v>0.5</v>
      </c>
      <c r="Q59">
        <v>-3</v>
      </c>
      <c r="R59">
        <v>1.5</v>
      </c>
      <c r="S59">
        <v>0</v>
      </c>
      <c r="T59">
        <v>0.3</v>
      </c>
    </row>
    <row r="60" spans="1:20" x14ac:dyDescent="0.35">
      <c r="A60">
        <v>57</v>
      </c>
      <c r="B60" t="s">
        <v>1230</v>
      </c>
      <c r="C60" s="30"/>
      <c r="D60" t="s">
        <v>607</v>
      </c>
      <c r="E60" t="s">
        <v>590</v>
      </c>
      <c r="F60" t="s">
        <v>589</v>
      </c>
      <c r="G60" t="s">
        <v>591</v>
      </c>
      <c r="H60" t="s">
        <v>630</v>
      </c>
      <c r="I60">
        <v>-2.5</v>
      </c>
      <c r="J60">
        <v>1</v>
      </c>
      <c r="K60">
        <v>1</v>
      </c>
      <c r="L60">
        <v>2</v>
      </c>
      <c r="M60">
        <v>4.3</v>
      </c>
      <c r="N60">
        <v>-3.5</v>
      </c>
      <c r="O60">
        <v>-1.3</v>
      </c>
      <c r="P60">
        <v>0.5</v>
      </c>
      <c r="Q60">
        <v>0.5</v>
      </c>
      <c r="R60">
        <v>-2</v>
      </c>
      <c r="S60">
        <v>0</v>
      </c>
      <c r="T60">
        <v>0.5</v>
      </c>
    </row>
    <row r="61" spans="1:20" x14ac:dyDescent="0.35">
      <c r="A61">
        <v>58</v>
      </c>
      <c r="B61" t="s">
        <v>1232</v>
      </c>
      <c r="C61" s="30"/>
      <c r="D61" t="s">
        <v>589</v>
      </c>
      <c r="E61" t="s">
        <v>590</v>
      </c>
      <c r="F61" t="s">
        <v>589</v>
      </c>
      <c r="G61" t="s">
        <v>591</v>
      </c>
      <c r="H61" t="s">
        <v>630</v>
      </c>
      <c r="I61">
        <v>0.5</v>
      </c>
      <c r="J61">
        <v>-4.5999999999999996</v>
      </c>
      <c r="K61">
        <v>-1.5</v>
      </c>
      <c r="L61">
        <v>5.3</v>
      </c>
      <c r="M61">
        <v>4.3</v>
      </c>
      <c r="N61">
        <v>-2</v>
      </c>
      <c r="O61">
        <v>-1.3</v>
      </c>
      <c r="P61">
        <v>2.5</v>
      </c>
      <c r="Q61">
        <v>1.5</v>
      </c>
      <c r="R61">
        <v>-3.5</v>
      </c>
      <c r="S61">
        <v>-1.5</v>
      </c>
      <c r="T61">
        <v>4.3</v>
      </c>
    </row>
    <row r="62" spans="1:20" x14ac:dyDescent="0.35">
      <c r="A62">
        <v>59</v>
      </c>
      <c r="B62" t="s">
        <v>667</v>
      </c>
      <c r="C62" s="30"/>
      <c r="D62" t="s">
        <v>82</v>
      </c>
      <c r="E62" t="s">
        <v>88</v>
      </c>
      <c r="F62" t="s">
        <v>82</v>
      </c>
      <c r="G62" t="s">
        <v>84</v>
      </c>
      <c r="H62" t="s">
        <v>85</v>
      </c>
      <c r="I62">
        <v>-2.5</v>
      </c>
      <c r="J62">
        <v>-1.3</v>
      </c>
      <c r="K62">
        <v>0.5</v>
      </c>
      <c r="L62">
        <v>6</v>
      </c>
      <c r="M62">
        <v>1.5</v>
      </c>
      <c r="N62">
        <v>-4.3</v>
      </c>
      <c r="O62">
        <v>2.5</v>
      </c>
      <c r="P62">
        <v>4</v>
      </c>
      <c r="Q62">
        <v>-0.25</v>
      </c>
      <c r="R62">
        <v>-3.5</v>
      </c>
      <c r="S62">
        <v>1.5</v>
      </c>
      <c r="T62">
        <v>6</v>
      </c>
    </row>
    <row r="63" spans="1:20" x14ac:dyDescent="0.35">
      <c r="A63">
        <v>60</v>
      </c>
      <c r="B63" t="s">
        <v>689</v>
      </c>
      <c r="C63" s="30"/>
      <c r="D63" t="s">
        <v>585</v>
      </c>
      <c r="E63" t="s">
        <v>590</v>
      </c>
      <c r="F63" t="s">
        <v>590</v>
      </c>
      <c r="G63" t="s">
        <v>614</v>
      </c>
      <c r="H63" t="s">
        <v>639</v>
      </c>
      <c r="I63">
        <v>1</v>
      </c>
      <c r="J63">
        <v>3</v>
      </c>
      <c r="K63">
        <v>-1.5</v>
      </c>
      <c r="L63">
        <v>0.5</v>
      </c>
      <c r="M63">
        <v>6.5</v>
      </c>
      <c r="N63">
        <v>-4.3</v>
      </c>
      <c r="O63">
        <v>-1.3</v>
      </c>
      <c r="P63">
        <v>1.5</v>
      </c>
      <c r="Q63">
        <v>2.5</v>
      </c>
      <c r="R63">
        <v>-2</v>
      </c>
      <c r="S63">
        <v>-1.5</v>
      </c>
      <c r="T63">
        <v>0.5</v>
      </c>
    </row>
    <row r="64" spans="1:20" x14ac:dyDescent="0.35">
      <c r="A64">
        <v>61</v>
      </c>
      <c r="B64" t="s">
        <v>1204</v>
      </c>
      <c r="C64" s="30"/>
      <c r="D64" t="s">
        <v>595</v>
      </c>
      <c r="E64" t="s">
        <v>91</v>
      </c>
      <c r="F64" t="s">
        <v>91</v>
      </c>
      <c r="G64" t="s">
        <v>92</v>
      </c>
      <c r="H64" t="s">
        <v>93</v>
      </c>
      <c r="I64">
        <v>-5.3</v>
      </c>
      <c r="J64">
        <v>3</v>
      </c>
      <c r="K64">
        <v>0.5</v>
      </c>
      <c r="L64">
        <v>2</v>
      </c>
      <c r="M64">
        <v>-1.5</v>
      </c>
      <c r="N64">
        <v>0.5</v>
      </c>
      <c r="O64">
        <v>4</v>
      </c>
      <c r="P64">
        <v>4</v>
      </c>
      <c r="Q64">
        <v>-3</v>
      </c>
      <c r="R64">
        <v>1</v>
      </c>
      <c r="S64">
        <v>2</v>
      </c>
      <c r="T64">
        <v>4</v>
      </c>
    </row>
    <row r="65" spans="1:20" x14ac:dyDescent="0.35">
      <c r="A65">
        <v>62</v>
      </c>
      <c r="B65" t="s">
        <v>1048</v>
      </c>
      <c r="C65" s="30"/>
      <c r="D65" t="s">
        <v>587</v>
      </c>
      <c r="E65" t="s">
        <v>597</v>
      </c>
      <c r="F65" t="s">
        <v>87</v>
      </c>
      <c r="G65" t="s">
        <v>603</v>
      </c>
      <c r="H65" t="s">
        <v>634</v>
      </c>
      <c r="I65">
        <v>1</v>
      </c>
      <c r="J65">
        <v>3.5</v>
      </c>
      <c r="K65">
        <v>-1.5</v>
      </c>
      <c r="L65">
        <v>-1.5</v>
      </c>
      <c r="M65">
        <v>0.5</v>
      </c>
      <c r="N65">
        <v>-3.5</v>
      </c>
      <c r="O65">
        <v>7</v>
      </c>
      <c r="P65">
        <v>1.5</v>
      </c>
      <c r="Q65">
        <v>1</v>
      </c>
      <c r="R65">
        <v>0</v>
      </c>
      <c r="S65">
        <v>2</v>
      </c>
      <c r="T65">
        <v>0.3</v>
      </c>
    </row>
    <row r="66" spans="1:20" x14ac:dyDescent="0.35">
      <c r="A66">
        <v>63</v>
      </c>
      <c r="B66" t="s">
        <v>250</v>
      </c>
      <c r="C66" s="30"/>
      <c r="D66" t="s">
        <v>86</v>
      </c>
      <c r="E66" t="s">
        <v>82</v>
      </c>
      <c r="F66" t="s">
        <v>82</v>
      </c>
      <c r="G66" t="s">
        <v>84</v>
      </c>
      <c r="H66" t="s">
        <v>85</v>
      </c>
      <c r="I66">
        <v>-5.3</v>
      </c>
      <c r="J66">
        <v>-4.5999999999999996</v>
      </c>
      <c r="K66">
        <v>-0.7</v>
      </c>
      <c r="L66">
        <v>6.7</v>
      </c>
      <c r="M66">
        <v>-1.3</v>
      </c>
      <c r="N66">
        <v>-5.3</v>
      </c>
      <c r="O66">
        <v>4</v>
      </c>
      <c r="P66">
        <v>7</v>
      </c>
      <c r="Q66">
        <v>-2.75</v>
      </c>
      <c r="R66">
        <v>-5.7</v>
      </c>
      <c r="S66">
        <v>1.5</v>
      </c>
      <c r="T66">
        <v>7.3</v>
      </c>
    </row>
    <row r="67" spans="1:20" x14ac:dyDescent="0.35">
      <c r="A67">
        <v>64</v>
      </c>
      <c r="B67" t="s">
        <v>1107</v>
      </c>
      <c r="C67" s="30"/>
      <c r="D67" t="s">
        <v>82</v>
      </c>
      <c r="E67" t="s">
        <v>83</v>
      </c>
      <c r="F67" t="s">
        <v>82</v>
      </c>
      <c r="G67" t="s">
        <v>84</v>
      </c>
      <c r="H67" t="s">
        <v>85</v>
      </c>
      <c r="I67">
        <v>-5.3</v>
      </c>
      <c r="J67">
        <v>-2.5</v>
      </c>
      <c r="K67">
        <v>2.5</v>
      </c>
      <c r="L67">
        <v>5.3</v>
      </c>
      <c r="M67">
        <v>-1.5</v>
      </c>
      <c r="N67">
        <v>-2</v>
      </c>
      <c r="O67">
        <v>6</v>
      </c>
      <c r="P67">
        <v>4</v>
      </c>
      <c r="Q67">
        <v>-3</v>
      </c>
      <c r="R67">
        <v>-3</v>
      </c>
      <c r="S67">
        <v>4</v>
      </c>
      <c r="T67">
        <v>5.5</v>
      </c>
    </row>
    <row r="68" spans="1:20" x14ac:dyDescent="0.35">
      <c r="A68">
        <v>65</v>
      </c>
      <c r="B68" t="s">
        <v>1050</v>
      </c>
      <c r="C68" s="30"/>
      <c r="D68" t="s">
        <v>82</v>
      </c>
      <c r="E68" t="s">
        <v>87</v>
      </c>
      <c r="F68" t="s">
        <v>597</v>
      </c>
      <c r="G68" t="s">
        <v>612</v>
      </c>
      <c r="H68" t="s">
        <v>638</v>
      </c>
      <c r="I68">
        <v>0</v>
      </c>
      <c r="J68">
        <v>-1.3</v>
      </c>
      <c r="K68">
        <v>0.5</v>
      </c>
      <c r="L68">
        <v>3</v>
      </c>
      <c r="M68">
        <v>1.5</v>
      </c>
      <c r="N68">
        <v>-4.3</v>
      </c>
      <c r="O68">
        <v>6</v>
      </c>
      <c r="P68">
        <v>1.5</v>
      </c>
      <c r="Q68">
        <v>0.7</v>
      </c>
      <c r="R68">
        <v>-3.5</v>
      </c>
      <c r="S68">
        <v>3</v>
      </c>
      <c r="T68">
        <v>3</v>
      </c>
    </row>
    <row r="69" spans="1:20" x14ac:dyDescent="0.35">
      <c r="A69">
        <v>66</v>
      </c>
      <c r="B69" t="s">
        <v>1109</v>
      </c>
      <c r="C69" s="30"/>
      <c r="D69" t="s">
        <v>593</v>
      </c>
      <c r="E69" t="s">
        <v>615</v>
      </c>
      <c r="F69" t="s">
        <v>589</v>
      </c>
      <c r="G69" t="s">
        <v>591</v>
      </c>
      <c r="H69" t="s">
        <v>630</v>
      </c>
      <c r="I69">
        <v>0</v>
      </c>
      <c r="J69">
        <v>3</v>
      </c>
      <c r="K69">
        <v>-0.7</v>
      </c>
      <c r="L69">
        <v>2</v>
      </c>
      <c r="M69">
        <v>4.3</v>
      </c>
      <c r="N69">
        <v>-2</v>
      </c>
      <c r="O69">
        <v>1.5</v>
      </c>
      <c r="P69">
        <v>1.5</v>
      </c>
      <c r="Q69">
        <v>1.3</v>
      </c>
      <c r="R69">
        <v>0</v>
      </c>
      <c r="S69">
        <v>0</v>
      </c>
      <c r="T69">
        <v>1.5</v>
      </c>
    </row>
    <row r="70" spans="1:20" x14ac:dyDescent="0.35">
      <c r="A70">
        <v>67</v>
      </c>
      <c r="B70" t="s">
        <v>1219</v>
      </c>
      <c r="C70" s="30"/>
      <c r="D70" t="s">
        <v>608</v>
      </c>
      <c r="E70" t="s">
        <v>606</v>
      </c>
      <c r="F70" t="s">
        <v>610</v>
      </c>
      <c r="G70" t="s">
        <v>625</v>
      </c>
      <c r="H70" t="s">
        <v>1481</v>
      </c>
      <c r="I70">
        <v>2</v>
      </c>
      <c r="J70">
        <v>-1.3</v>
      </c>
      <c r="K70">
        <v>-3.5</v>
      </c>
      <c r="L70">
        <v>-3.5</v>
      </c>
      <c r="M70">
        <v>-1.3</v>
      </c>
      <c r="N70">
        <v>2.5</v>
      </c>
      <c r="O70">
        <v>6</v>
      </c>
      <c r="P70">
        <v>0.5</v>
      </c>
      <c r="Q70">
        <v>0.7</v>
      </c>
      <c r="R70">
        <v>0.5</v>
      </c>
      <c r="S70">
        <v>1</v>
      </c>
      <c r="T70">
        <v>-0.5</v>
      </c>
    </row>
    <row r="71" spans="1:20" x14ac:dyDescent="0.35">
      <c r="A71">
        <v>68</v>
      </c>
      <c r="B71" t="s">
        <v>1209</v>
      </c>
      <c r="C71" s="30"/>
      <c r="D71" t="s">
        <v>82</v>
      </c>
      <c r="E71" t="s">
        <v>88</v>
      </c>
      <c r="F71" t="s">
        <v>82</v>
      </c>
      <c r="G71" t="s">
        <v>84</v>
      </c>
      <c r="H71" t="s">
        <v>85</v>
      </c>
      <c r="I71">
        <v>-5.3</v>
      </c>
      <c r="J71">
        <v>-4.5999999999999996</v>
      </c>
      <c r="K71">
        <v>0.5</v>
      </c>
      <c r="L71">
        <v>5.7</v>
      </c>
      <c r="M71">
        <v>2.5</v>
      </c>
      <c r="N71">
        <v>-6</v>
      </c>
      <c r="O71">
        <v>4</v>
      </c>
      <c r="P71">
        <v>5.6</v>
      </c>
      <c r="Q71">
        <v>-0.5</v>
      </c>
      <c r="R71">
        <v>-6</v>
      </c>
      <c r="S71">
        <v>2</v>
      </c>
      <c r="T71">
        <v>6</v>
      </c>
    </row>
    <row r="72" spans="1:20" x14ac:dyDescent="0.35">
      <c r="A72">
        <v>69</v>
      </c>
      <c r="B72" t="s">
        <v>1221</v>
      </c>
      <c r="C72" s="30"/>
      <c r="D72" t="s">
        <v>86</v>
      </c>
      <c r="E72" t="s">
        <v>88</v>
      </c>
      <c r="F72" t="s">
        <v>589</v>
      </c>
      <c r="G72" t="s">
        <v>591</v>
      </c>
      <c r="H72" t="s">
        <v>630</v>
      </c>
      <c r="I72">
        <v>0</v>
      </c>
      <c r="J72">
        <v>-4.5999999999999996</v>
      </c>
      <c r="K72">
        <v>-1.5</v>
      </c>
      <c r="L72">
        <v>6</v>
      </c>
      <c r="M72">
        <v>0.5</v>
      </c>
      <c r="N72">
        <v>-4.3</v>
      </c>
      <c r="O72">
        <v>2.5</v>
      </c>
      <c r="P72">
        <v>7</v>
      </c>
      <c r="Q72">
        <v>0.5</v>
      </c>
      <c r="R72">
        <v>-4.7</v>
      </c>
      <c r="S72">
        <v>0</v>
      </c>
      <c r="T72">
        <v>6.5</v>
      </c>
    </row>
    <row r="73" spans="1:20" x14ac:dyDescent="0.35">
      <c r="A73">
        <v>70</v>
      </c>
      <c r="B73" t="s">
        <v>1026</v>
      </c>
      <c r="C73" s="30"/>
      <c r="D73" t="s">
        <v>608</v>
      </c>
      <c r="E73" t="s">
        <v>590</v>
      </c>
      <c r="F73" t="s">
        <v>590</v>
      </c>
      <c r="G73" t="s">
        <v>614</v>
      </c>
      <c r="H73" t="s">
        <v>639</v>
      </c>
      <c r="I73">
        <v>1</v>
      </c>
      <c r="J73">
        <v>-1.3</v>
      </c>
      <c r="K73">
        <v>-3.5</v>
      </c>
      <c r="L73">
        <v>-1.5</v>
      </c>
      <c r="M73">
        <v>6.5</v>
      </c>
      <c r="N73">
        <v>0.5</v>
      </c>
      <c r="O73">
        <v>-3</v>
      </c>
      <c r="P73">
        <v>4</v>
      </c>
      <c r="Q73">
        <v>2.5</v>
      </c>
      <c r="R73">
        <v>0</v>
      </c>
      <c r="S73">
        <v>-3.5</v>
      </c>
      <c r="T73">
        <v>1.5</v>
      </c>
    </row>
    <row r="74" spans="1:20" x14ac:dyDescent="0.35">
      <c r="A74">
        <v>71</v>
      </c>
      <c r="B74" t="s">
        <v>711</v>
      </c>
      <c r="C74" s="30"/>
      <c r="D74" t="s">
        <v>82</v>
      </c>
      <c r="E74" t="s">
        <v>88</v>
      </c>
      <c r="F74" t="s">
        <v>82</v>
      </c>
      <c r="G74" t="s">
        <v>84</v>
      </c>
      <c r="H74" t="s">
        <v>85</v>
      </c>
      <c r="I74">
        <v>-2.5</v>
      </c>
      <c r="J74">
        <v>-1.3</v>
      </c>
      <c r="K74">
        <v>0.5</v>
      </c>
      <c r="L74">
        <v>5.7</v>
      </c>
      <c r="M74">
        <v>0.5</v>
      </c>
      <c r="N74">
        <v>-6</v>
      </c>
      <c r="O74">
        <v>4</v>
      </c>
      <c r="P74">
        <v>7</v>
      </c>
      <c r="Q74">
        <v>-0.5</v>
      </c>
      <c r="R74">
        <v>-4.7</v>
      </c>
      <c r="S74">
        <v>2</v>
      </c>
      <c r="T74">
        <v>6.3</v>
      </c>
    </row>
    <row r="75" spans="1:20" x14ac:dyDescent="0.35">
      <c r="A75">
        <v>72</v>
      </c>
      <c r="B75" t="s">
        <v>295</v>
      </c>
      <c r="C75" s="30"/>
      <c r="D75" t="s">
        <v>593</v>
      </c>
      <c r="E75" t="s">
        <v>606</v>
      </c>
      <c r="F75" t="s">
        <v>607</v>
      </c>
      <c r="G75" t="s">
        <v>609</v>
      </c>
      <c r="H75" t="s">
        <v>636</v>
      </c>
      <c r="I75">
        <v>-1.7</v>
      </c>
      <c r="J75">
        <v>3</v>
      </c>
      <c r="K75">
        <v>-0.7</v>
      </c>
      <c r="L75">
        <v>3</v>
      </c>
      <c r="M75">
        <v>-1.5</v>
      </c>
      <c r="N75">
        <v>2.5</v>
      </c>
      <c r="O75">
        <v>4</v>
      </c>
      <c r="P75">
        <v>2.5</v>
      </c>
      <c r="Q75">
        <v>-1.5</v>
      </c>
      <c r="R75">
        <v>1.5</v>
      </c>
      <c r="S75">
        <v>1.5</v>
      </c>
      <c r="T75">
        <v>4</v>
      </c>
    </row>
    <row r="76" spans="1:20" x14ac:dyDescent="0.35">
      <c r="A76">
        <v>73</v>
      </c>
      <c r="B76" t="s">
        <v>1111</v>
      </c>
      <c r="C76" s="30"/>
      <c r="D76" t="s">
        <v>607</v>
      </c>
      <c r="E76" t="s">
        <v>599</v>
      </c>
      <c r="F76" t="s">
        <v>88</v>
      </c>
      <c r="G76" t="s">
        <v>89</v>
      </c>
      <c r="H76" t="s">
        <v>90</v>
      </c>
      <c r="I76">
        <v>-1.3</v>
      </c>
      <c r="J76">
        <v>1</v>
      </c>
      <c r="K76">
        <v>0.5</v>
      </c>
      <c r="L76">
        <v>2</v>
      </c>
      <c r="M76">
        <v>1.5</v>
      </c>
      <c r="N76">
        <v>-4.3</v>
      </c>
      <c r="O76">
        <v>1.5</v>
      </c>
      <c r="P76">
        <v>4</v>
      </c>
      <c r="Q76">
        <v>0.5</v>
      </c>
      <c r="R76">
        <v>-3</v>
      </c>
      <c r="S76">
        <v>1</v>
      </c>
      <c r="T76">
        <v>4</v>
      </c>
    </row>
    <row r="77" spans="1:20" x14ac:dyDescent="0.35">
      <c r="A77">
        <v>74</v>
      </c>
      <c r="B77" t="s">
        <v>352</v>
      </c>
      <c r="C77" s="30"/>
      <c r="D77" t="s">
        <v>592</v>
      </c>
      <c r="E77" t="s">
        <v>607</v>
      </c>
      <c r="F77" t="s">
        <v>592</v>
      </c>
      <c r="G77" t="s">
        <v>617</v>
      </c>
      <c r="H77" t="s">
        <v>640</v>
      </c>
      <c r="I77">
        <v>0</v>
      </c>
      <c r="J77">
        <v>1</v>
      </c>
      <c r="K77">
        <v>-1.5</v>
      </c>
      <c r="L77">
        <v>3</v>
      </c>
      <c r="M77">
        <v>0</v>
      </c>
      <c r="N77">
        <v>0.5</v>
      </c>
      <c r="O77">
        <v>0.5</v>
      </c>
      <c r="P77">
        <v>2.5</v>
      </c>
      <c r="Q77">
        <v>0</v>
      </c>
      <c r="R77">
        <v>0.5</v>
      </c>
      <c r="S77">
        <v>-1</v>
      </c>
      <c r="T77">
        <v>4</v>
      </c>
    </row>
    <row r="78" spans="1:20" x14ac:dyDescent="0.35">
      <c r="A78">
        <v>75</v>
      </c>
      <c r="B78" t="s">
        <v>1029</v>
      </c>
      <c r="C78" s="30"/>
      <c r="D78" t="s">
        <v>91</v>
      </c>
      <c r="E78" t="s">
        <v>82</v>
      </c>
      <c r="F78" t="s">
        <v>82</v>
      </c>
      <c r="G78" t="s">
        <v>84</v>
      </c>
      <c r="H78" t="s">
        <v>85</v>
      </c>
      <c r="I78">
        <v>-5.3</v>
      </c>
      <c r="J78">
        <v>1</v>
      </c>
      <c r="K78">
        <v>2.5</v>
      </c>
      <c r="L78">
        <v>3</v>
      </c>
      <c r="M78">
        <v>-1.3</v>
      </c>
      <c r="N78">
        <v>-2</v>
      </c>
      <c r="O78">
        <v>2.5</v>
      </c>
      <c r="P78">
        <v>2.5</v>
      </c>
      <c r="Q78">
        <v>-2.75</v>
      </c>
      <c r="R78">
        <v>-1.5</v>
      </c>
      <c r="S78">
        <v>3</v>
      </c>
      <c r="T78">
        <v>4</v>
      </c>
    </row>
    <row r="79" spans="1:20" x14ac:dyDescent="0.35">
      <c r="A79">
        <v>76</v>
      </c>
      <c r="B79" t="s">
        <v>360</v>
      </c>
      <c r="C79" s="30"/>
      <c r="D79" t="s">
        <v>616</v>
      </c>
      <c r="E79" t="s">
        <v>598</v>
      </c>
      <c r="F79" t="s">
        <v>592</v>
      </c>
      <c r="G79" t="s">
        <v>617</v>
      </c>
      <c r="H79" t="s">
        <v>640</v>
      </c>
      <c r="I79">
        <v>-2.5</v>
      </c>
      <c r="J79">
        <v>3.5</v>
      </c>
      <c r="K79">
        <v>-1.5</v>
      </c>
      <c r="L79">
        <v>-1.5</v>
      </c>
      <c r="M79">
        <v>0.5</v>
      </c>
      <c r="N79">
        <v>0.5</v>
      </c>
      <c r="O79">
        <v>-1.3</v>
      </c>
      <c r="P79">
        <v>5.6</v>
      </c>
      <c r="Q79">
        <v>-0.5</v>
      </c>
      <c r="R79">
        <v>1.5</v>
      </c>
      <c r="S79">
        <v>-1.5</v>
      </c>
      <c r="T79">
        <v>3</v>
      </c>
    </row>
    <row r="80" spans="1:20" x14ac:dyDescent="0.35">
      <c r="A80">
        <v>77</v>
      </c>
      <c r="B80" t="s">
        <v>1114</v>
      </c>
      <c r="C80" s="30"/>
      <c r="D80" t="s">
        <v>589</v>
      </c>
      <c r="E80" t="s">
        <v>88</v>
      </c>
      <c r="F80" t="s">
        <v>589</v>
      </c>
      <c r="G80" t="s">
        <v>591</v>
      </c>
      <c r="H80" t="s">
        <v>630</v>
      </c>
      <c r="I80">
        <v>0.5</v>
      </c>
      <c r="J80">
        <v>-2.5</v>
      </c>
      <c r="K80">
        <v>-1.5</v>
      </c>
      <c r="L80">
        <v>5.7</v>
      </c>
      <c r="M80">
        <v>1.5</v>
      </c>
      <c r="N80">
        <v>-7.2</v>
      </c>
      <c r="O80">
        <v>2.5</v>
      </c>
      <c r="P80">
        <v>7</v>
      </c>
      <c r="Q80">
        <v>1</v>
      </c>
      <c r="R80">
        <v>-6.7</v>
      </c>
      <c r="S80">
        <v>0</v>
      </c>
      <c r="T80">
        <v>6.3</v>
      </c>
    </row>
    <row r="81" spans="1:20" x14ac:dyDescent="0.35">
      <c r="A81">
        <v>78</v>
      </c>
      <c r="B81" t="s">
        <v>692</v>
      </c>
      <c r="C81" s="30"/>
      <c r="D81" t="s">
        <v>86</v>
      </c>
      <c r="E81" t="s">
        <v>82</v>
      </c>
      <c r="F81" t="s">
        <v>82</v>
      </c>
      <c r="G81" t="s">
        <v>84</v>
      </c>
      <c r="H81" t="s">
        <v>85</v>
      </c>
      <c r="I81">
        <v>-6</v>
      </c>
      <c r="J81">
        <v>-4.5999999999999996</v>
      </c>
      <c r="K81">
        <v>-1.5</v>
      </c>
      <c r="L81">
        <v>6.3</v>
      </c>
      <c r="M81">
        <v>-1.5</v>
      </c>
      <c r="N81">
        <v>-3.5</v>
      </c>
      <c r="O81">
        <v>4</v>
      </c>
      <c r="P81">
        <v>5.6</v>
      </c>
      <c r="Q81">
        <v>-3.25</v>
      </c>
      <c r="R81">
        <v>-4.3</v>
      </c>
      <c r="S81">
        <v>1</v>
      </c>
      <c r="T81">
        <v>6.5</v>
      </c>
    </row>
    <row r="82" spans="1:20" x14ac:dyDescent="0.35">
      <c r="A82">
        <v>79</v>
      </c>
      <c r="B82" t="s">
        <v>291</v>
      </c>
      <c r="C82" s="30"/>
      <c r="D82" t="s">
        <v>608</v>
      </c>
      <c r="E82" t="s">
        <v>589</v>
      </c>
      <c r="F82" t="s">
        <v>589</v>
      </c>
      <c r="G82" t="s">
        <v>591</v>
      </c>
      <c r="H82" t="s">
        <v>630</v>
      </c>
      <c r="I82">
        <v>3</v>
      </c>
      <c r="J82">
        <v>-2.5</v>
      </c>
      <c r="K82">
        <v>-1.5</v>
      </c>
      <c r="L82">
        <v>-1.5</v>
      </c>
      <c r="M82">
        <v>6.5</v>
      </c>
      <c r="N82">
        <v>-6</v>
      </c>
      <c r="O82">
        <v>-1.3</v>
      </c>
      <c r="P82">
        <v>7</v>
      </c>
      <c r="Q82">
        <v>4</v>
      </c>
      <c r="R82">
        <v>-5.7</v>
      </c>
      <c r="S82">
        <v>-1.5</v>
      </c>
      <c r="T82">
        <v>4</v>
      </c>
    </row>
    <row r="83" spans="1:20" x14ac:dyDescent="0.35">
      <c r="A83">
        <v>80</v>
      </c>
      <c r="B83" t="s">
        <v>371</v>
      </c>
      <c r="C83" s="30"/>
      <c r="D83" t="s">
        <v>86</v>
      </c>
      <c r="E83" t="s">
        <v>597</v>
      </c>
      <c r="F83" t="s">
        <v>86</v>
      </c>
      <c r="G83" t="s">
        <v>601</v>
      </c>
      <c r="H83" t="s">
        <v>22</v>
      </c>
      <c r="I83">
        <v>-1.3</v>
      </c>
      <c r="J83">
        <v>-1.3</v>
      </c>
      <c r="K83">
        <v>-1.5</v>
      </c>
      <c r="L83">
        <v>5.7</v>
      </c>
      <c r="M83">
        <v>0.5</v>
      </c>
      <c r="N83">
        <v>0</v>
      </c>
      <c r="O83">
        <v>2.5</v>
      </c>
      <c r="P83">
        <v>1.5</v>
      </c>
      <c r="Q83">
        <v>0</v>
      </c>
      <c r="R83">
        <v>-1.5</v>
      </c>
      <c r="S83">
        <v>0</v>
      </c>
      <c r="T83">
        <v>4.3</v>
      </c>
    </row>
    <row r="84" spans="1:20" x14ac:dyDescent="0.35">
      <c r="A84">
        <v>81</v>
      </c>
      <c r="B84" t="s">
        <v>280</v>
      </c>
      <c r="C84" s="30"/>
      <c r="D84" t="s">
        <v>607</v>
      </c>
      <c r="E84" t="s">
        <v>91</v>
      </c>
      <c r="F84" t="s">
        <v>91</v>
      </c>
      <c r="G84" t="s">
        <v>92</v>
      </c>
      <c r="H84" t="s">
        <v>93</v>
      </c>
      <c r="I84">
        <v>-2.5</v>
      </c>
      <c r="J84">
        <v>1</v>
      </c>
      <c r="K84">
        <v>1</v>
      </c>
      <c r="L84">
        <v>3</v>
      </c>
      <c r="M84">
        <v>0</v>
      </c>
      <c r="N84">
        <v>0.5</v>
      </c>
      <c r="O84">
        <v>1.5</v>
      </c>
      <c r="P84">
        <v>2.5</v>
      </c>
      <c r="Q84">
        <v>-1</v>
      </c>
      <c r="R84">
        <v>0.5</v>
      </c>
      <c r="S84">
        <v>1.5</v>
      </c>
      <c r="T84">
        <v>4</v>
      </c>
    </row>
    <row r="85" spans="1:20" x14ac:dyDescent="0.35">
      <c r="A85">
        <v>82</v>
      </c>
      <c r="B85" t="s">
        <v>668</v>
      </c>
      <c r="C85" s="30"/>
      <c r="D85" t="s">
        <v>613</v>
      </c>
      <c r="E85" t="s">
        <v>589</v>
      </c>
      <c r="F85" t="s">
        <v>590</v>
      </c>
      <c r="G85" t="s">
        <v>614</v>
      </c>
      <c r="H85" t="s">
        <v>639</v>
      </c>
      <c r="I85">
        <v>0</v>
      </c>
      <c r="J85">
        <v>-2.5</v>
      </c>
      <c r="K85">
        <v>1</v>
      </c>
      <c r="L85">
        <v>-1.5</v>
      </c>
      <c r="M85">
        <v>2.5</v>
      </c>
      <c r="N85">
        <v>-2</v>
      </c>
      <c r="O85">
        <v>-1.3</v>
      </c>
      <c r="P85">
        <v>2.5</v>
      </c>
      <c r="Q85">
        <v>1</v>
      </c>
      <c r="R85">
        <v>-3</v>
      </c>
      <c r="S85">
        <v>0</v>
      </c>
      <c r="T85">
        <v>0.5</v>
      </c>
    </row>
    <row r="86" spans="1:20" x14ac:dyDescent="0.35">
      <c r="A86">
        <v>83</v>
      </c>
      <c r="B86" t="s">
        <v>1116</v>
      </c>
      <c r="C86" s="30"/>
      <c r="D86" t="s">
        <v>587</v>
      </c>
      <c r="E86" t="s">
        <v>590</v>
      </c>
      <c r="F86" t="s">
        <v>620</v>
      </c>
      <c r="G86" t="s">
        <v>621</v>
      </c>
      <c r="H86" t="s">
        <v>642</v>
      </c>
      <c r="I86">
        <v>0.5</v>
      </c>
      <c r="J86">
        <v>3.5</v>
      </c>
      <c r="K86">
        <v>-1.5</v>
      </c>
      <c r="L86">
        <v>-3.5</v>
      </c>
      <c r="M86">
        <v>4.3</v>
      </c>
      <c r="N86">
        <v>0</v>
      </c>
      <c r="O86">
        <v>0.5</v>
      </c>
      <c r="P86">
        <v>2.5</v>
      </c>
      <c r="Q86">
        <v>1.5</v>
      </c>
      <c r="R86">
        <v>1</v>
      </c>
      <c r="S86">
        <v>-1</v>
      </c>
      <c r="T86">
        <v>0.3</v>
      </c>
    </row>
    <row r="87" spans="1:20" x14ac:dyDescent="0.35">
      <c r="A87">
        <v>84</v>
      </c>
      <c r="B87" t="s">
        <v>687</v>
      </c>
      <c r="C87" s="30"/>
      <c r="D87" t="s">
        <v>593</v>
      </c>
      <c r="E87" t="s">
        <v>597</v>
      </c>
      <c r="F87" t="s">
        <v>606</v>
      </c>
      <c r="G87" t="s">
        <v>622</v>
      </c>
      <c r="H87" t="s">
        <v>643</v>
      </c>
      <c r="I87">
        <v>-1.7</v>
      </c>
      <c r="J87">
        <v>3</v>
      </c>
      <c r="K87">
        <v>-0.7</v>
      </c>
      <c r="L87">
        <v>0.5</v>
      </c>
      <c r="M87">
        <v>0.5</v>
      </c>
      <c r="N87">
        <v>0</v>
      </c>
      <c r="O87">
        <v>2.5</v>
      </c>
      <c r="P87">
        <v>1.5</v>
      </c>
      <c r="Q87">
        <v>-0.25</v>
      </c>
      <c r="R87">
        <v>0.5</v>
      </c>
      <c r="S87">
        <v>1</v>
      </c>
      <c r="T87">
        <v>0.5</v>
      </c>
    </row>
    <row r="88" spans="1:20" x14ac:dyDescent="0.35">
      <c r="A88">
        <v>85</v>
      </c>
      <c r="B88" t="s">
        <v>722</v>
      </c>
      <c r="C88" s="30"/>
      <c r="D88" t="s">
        <v>86</v>
      </c>
      <c r="E88" t="s">
        <v>590</v>
      </c>
      <c r="F88" t="s">
        <v>589</v>
      </c>
      <c r="G88" t="s">
        <v>591</v>
      </c>
      <c r="H88" t="s">
        <v>630</v>
      </c>
      <c r="I88">
        <v>-1.3</v>
      </c>
      <c r="J88">
        <v>-1.3</v>
      </c>
      <c r="K88">
        <v>-0.7</v>
      </c>
      <c r="L88">
        <v>3</v>
      </c>
      <c r="M88">
        <v>4.3</v>
      </c>
      <c r="N88">
        <v>0.5</v>
      </c>
      <c r="O88">
        <v>-1.3</v>
      </c>
      <c r="P88">
        <v>1.5</v>
      </c>
      <c r="Q88">
        <v>1</v>
      </c>
      <c r="R88">
        <v>0</v>
      </c>
      <c r="S88">
        <v>-1</v>
      </c>
      <c r="T88">
        <v>3</v>
      </c>
    </row>
    <row r="89" spans="1:20" x14ac:dyDescent="0.35">
      <c r="A89">
        <v>86</v>
      </c>
      <c r="B89" t="s">
        <v>302</v>
      </c>
      <c r="C89" s="30"/>
      <c r="D89" t="s">
        <v>592</v>
      </c>
      <c r="E89" t="s">
        <v>590</v>
      </c>
      <c r="F89" t="s">
        <v>589</v>
      </c>
      <c r="G89" t="s">
        <v>591</v>
      </c>
      <c r="H89" t="s">
        <v>630</v>
      </c>
      <c r="I89">
        <v>0</v>
      </c>
      <c r="J89">
        <v>1</v>
      </c>
      <c r="K89">
        <v>-1.5</v>
      </c>
      <c r="L89">
        <v>2</v>
      </c>
      <c r="M89">
        <v>4.3</v>
      </c>
      <c r="N89">
        <v>-5.3</v>
      </c>
      <c r="O89">
        <v>1.5</v>
      </c>
      <c r="P89">
        <v>4</v>
      </c>
      <c r="Q89">
        <v>1.3</v>
      </c>
      <c r="R89">
        <v>-3.5</v>
      </c>
      <c r="S89">
        <v>-0.5</v>
      </c>
      <c r="T89">
        <v>4</v>
      </c>
    </row>
    <row r="90" spans="1:20" x14ac:dyDescent="0.35">
      <c r="A90">
        <v>87</v>
      </c>
      <c r="B90" t="s">
        <v>656</v>
      </c>
      <c r="C90" s="30"/>
      <c r="D90" t="s">
        <v>589</v>
      </c>
      <c r="E90" t="s">
        <v>83</v>
      </c>
      <c r="F90" t="s">
        <v>597</v>
      </c>
      <c r="G90" t="s">
        <v>612</v>
      </c>
      <c r="H90" t="s">
        <v>638</v>
      </c>
      <c r="I90">
        <v>1</v>
      </c>
      <c r="J90">
        <v>-4.5999999999999996</v>
      </c>
      <c r="K90">
        <v>-0.7</v>
      </c>
      <c r="L90">
        <v>3</v>
      </c>
      <c r="M90">
        <v>-1.3</v>
      </c>
      <c r="N90">
        <v>0</v>
      </c>
      <c r="O90">
        <v>4</v>
      </c>
      <c r="P90">
        <v>0.5</v>
      </c>
      <c r="Q90">
        <v>0.5</v>
      </c>
      <c r="R90">
        <v>-3</v>
      </c>
      <c r="S90">
        <v>1.5</v>
      </c>
      <c r="T90">
        <v>1.5</v>
      </c>
    </row>
    <row r="91" spans="1:20" x14ac:dyDescent="0.35">
      <c r="A91">
        <v>88</v>
      </c>
      <c r="B91" t="s">
        <v>926</v>
      </c>
      <c r="C91" s="30"/>
      <c r="D91" t="s">
        <v>589</v>
      </c>
      <c r="E91" t="s">
        <v>599</v>
      </c>
      <c r="F91" t="s">
        <v>589</v>
      </c>
      <c r="G91" t="s">
        <v>591</v>
      </c>
      <c r="H91" t="s">
        <v>630</v>
      </c>
      <c r="I91">
        <v>2</v>
      </c>
      <c r="J91">
        <v>-2.5</v>
      </c>
      <c r="K91">
        <v>-5.7</v>
      </c>
      <c r="L91">
        <v>5.3</v>
      </c>
      <c r="M91">
        <v>1.5</v>
      </c>
      <c r="N91">
        <v>-5.3</v>
      </c>
      <c r="O91">
        <v>1.5</v>
      </c>
      <c r="P91">
        <v>2.5</v>
      </c>
      <c r="Q91">
        <v>1.5</v>
      </c>
      <c r="R91">
        <v>-4.7</v>
      </c>
      <c r="S91">
        <v>-2</v>
      </c>
      <c r="T91">
        <v>4.3</v>
      </c>
    </row>
    <row r="92" spans="1:20" x14ac:dyDescent="0.35">
      <c r="A92">
        <v>89</v>
      </c>
      <c r="B92" t="s">
        <v>374</v>
      </c>
      <c r="C92" s="30"/>
      <c r="D92" t="s">
        <v>82</v>
      </c>
      <c r="E92" t="s">
        <v>87</v>
      </c>
      <c r="F92" t="s">
        <v>82</v>
      </c>
      <c r="G92" t="s">
        <v>84</v>
      </c>
      <c r="H92" t="s">
        <v>85</v>
      </c>
      <c r="I92">
        <v>-4</v>
      </c>
      <c r="J92">
        <v>-1.3</v>
      </c>
      <c r="K92">
        <v>0.5</v>
      </c>
      <c r="L92">
        <v>5.3</v>
      </c>
      <c r="M92">
        <v>2.5</v>
      </c>
      <c r="N92">
        <v>-4.3</v>
      </c>
      <c r="O92">
        <v>2.5</v>
      </c>
      <c r="P92">
        <v>1.5</v>
      </c>
      <c r="Q92">
        <v>-0.25</v>
      </c>
      <c r="R92">
        <v>-3.5</v>
      </c>
      <c r="S92">
        <v>1.5</v>
      </c>
      <c r="T92">
        <v>4</v>
      </c>
    </row>
    <row r="93" spans="1:20" x14ac:dyDescent="0.35">
      <c r="A93">
        <v>90</v>
      </c>
      <c r="B93" t="s">
        <v>306</v>
      </c>
      <c r="C93" s="30"/>
      <c r="D93" t="s">
        <v>613</v>
      </c>
      <c r="E93" t="s">
        <v>83</v>
      </c>
      <c r="F93" t="s">
        <v>83</v>
      </c>
      <c r="G93" t="s">
        <v>594</v>
      </c>
      <c r="H93" t="s">
        <v>631</v>
      </c>
      <c r="I93">
        <v>-2.5</v>
      </c>
      <c r="J93">
        <v>-1.3</v>
      </c>
      <c r="K93">
        <v>3</v>
      </c>
      <c r="L93">
        <v>-1.5</v>
      </c>
      <c r="M93">
        <v>0</v>
      </c>
      <c r="N93">
        <v>-6.5</v>
      </c>
      <c r="O93">
        <v>7.5</v>
      </c>
      <c r="P93">
        <v>7</v>
      </c>
      <c r="Q93">
        <v>-1</v>
      </c>
      <c r="R93">
        <v>-5.7</v>
      </c>
      <c r="S93">
        <v>5</v>
      </c>
      <c r="T93">
        <v>4</v>
      </c>
    </row>
    <row r="94" spans="1:20" x14ac:dyDescent="0.35">
      <c r="A94">
        <v>91</v>
      </c>
      <c r="B94" t="s">
        <v>1000</v>
      </c>
      <c r="C94" s="30"/>
      <c r="D94" t="s">
        <v>82</v>
      </c>
      <c r="E94" t="s">
        <v>82</v>
      </c>
      <c r="F94" t="s">
        <v>82</v>
      </c>
      <c r="G94" t="s">
        <v>84</v>
      </c>
      <c r="H94" t="s">
        <v>85</v>
      </c>
      <c r="I94">
        <v>0.5</v>
      </c>
      <c r="J94">
        <v>3</v>
      </c>
      <c r="K94">
        <v>0.5</v>
      </c>
      <c r="L94">
        <v>3</v>
      </c>
      <c r="M94">
        <v>0</v>
      </c>
      <c r="N94">
        <v>0</v>
      </c>
      <c r="O94">
        <v>4</v>
      </c>
      <c r="P94">
        <v>4</v>
      </c>
      <c r="Q94">
        <v>0.5</v>
      </c>
      <c r="R94">
        <v>0.5</v>
      </c>
      <c r="S94">
        <v>2</v>
      </c>
      <c r="T94">
        <v>4.3</v>
      </c>
    </row>
    <row r="95" spans="1:20" x14ac:dyDescent="0.35">
      <c r="A95">
        <v>92</v>
      </c>
      <c r="B95" t="s">
        <v>379</v>
      </c>
      <c r="C95" s="30"/>
      <c r="D95" t="s">
        <v>607</v>
      </c>
      <c r="E95" t="s">
        <v>607</v>
      </c>
      <c r="F95" t="s">
        <v>606</v>
      </c>
      <c r="G95" t="s">
        <v>622</v>
      </c>
      <c r="H95" t="s">
        <v>644</v>
      </c>
      <c r="I95">
        <v>-1.3</v>
      </c>
      <c r="J95">
        <v>1</v>
      </c>
      <c r="K95">
        <v>0.5</v>
      </c>
      <c r="L95">
        <v>2</v>
      </c>
      <c r="M95">
        <v>0.5</v>
      </c>
      <c r="N95">
        <v>0.5</v>
      </c>
      <c r="O95">
        <v>4</v>
      </c>
      <c r="P95">
        <v>1.5</v>
      </c>
      <c r="Q95">
        <v>0</v>
      </c>
      <c r="R95">
        <v>0.5</v>
      </c>
      <c r="S95">
        <v>2</v>
      </c>
      <c r="T95">
        <v>1.5</v>
      </c>
    </row>
    <row r="96" spans="1:20" x14ac:dyDescent="0.35">
      <c r="A96">
        <v>93</v>
      </c>
      <c r="B96" t="s">
        <v>700</v>
      </c>
      <c r="C96" s="30"/>
      <c r="D96" t="s">
        <v>86</v>
      </c>
      <c r="E96" t="s">
        <v>83</v>
      </c>
      <c r="F96" t="s">
        <v>82</v>
      </c>
      <c r="G96" t="s">
        <v>84</v>
      </c>
      <c r="H96" t="s">
        <v>85</v>
      </c>
      <c r="I96">
        <v>-4</v>
      </c>
      <c r="J96">
        <v>-1.3</v>
      </c>
      <c r="K96">
        <v>-0.7</v>
      </c>
      <c r="L96">
        <v>3</v>
      </c>
      <c r="M96">
        <v>0</v>
      </c>
      <c r="N96">
        <v>-6</v>
      </c>
      <c r="O96">
        <v>7.5</v>
      </c>
      <c r="P96">
        <v>2.5</v>
      </c>
      <c r="Q96">
        <v>-1.5</v>
      </c>
      <c r="R96">
        <v>-4.7</v>
      </c>
      <c r="S96">
        <v>3.5</v>
      </c>
      <c r="T96">
        <v>4</v>
      </c>
    </row>
    <row r="97" spans="1:20" x14ac:dyDescent="0.35">
      <c r="A97">
        <v>94</v>
      </c>
      <c r="B97" t="s">
        <v>1008</v>
      </c>
      <c r="C97" s="30"/>
      <c r="D97" t="s">
        <v>613</v>
      </c>
      <c r="E97" t="s">
        <v>597</v>
      </c>
      <c r="F97" t="s">
        <v>83</v>
      </c>
      <c r="G97" t="s">
        <v>594</v>
      </c>
      <c r="H97" t="s">
        <v>631</v>
      </c>
      <c r="I97">
        <v>-1.3</v>
      </c>
      <c r="J97">
        <v>-1.3</v>
      </c>
      <c r="K97">
        <v>1</v>
      </c>
      <c r="L97">
        <v>-1.5</v>
      </c>
      <c r="M97">
        <v>0.5</v>
      </c>
      <c r="N97">
        <v>-2</v>
      </c>
      <c r="O97">
        <v>6</v>
      </c>
      <c r="P97">
        <v>1.5</v>
      </c>
      <c r="Q97">
        <v>0</v>
      </c>
      <c r="R97">
        <v>-2</v>
      </c>
      <c r="S97">
        <v>3.5</v>
      </c>
      <c r="T97">
        <v>0.3</v>
      </c>
    </row>
    <row r="98" spans="1:20" x14ac:dyDescent="0.35">
      <c r="A98">
        <v>95</v>
      </c>
      <c r="B98" t="s">
        <v>346</v>
      </c>
      <c r="C98" s="30"/>
      <c r="D98" t="s">
        <v>606</v>
      </c>
      <c r="E98" t="s">
        <v>83</v>
      </c>
      <c r="F98" t="s">
        <v>83</v>
      </c>
      <c r="G98" t="s">
        <v>594</v>
      </c>
      <c r="H98" t="s">
        <v>631</v>
      </c>
      <c r="I98">
        <v>-6</v>
      </c>
      <c r="J98">
        <v>1</v>
      </c>
      <c r="K98">
        <v>4</v>
      </c>
      <c r="L98">
        <v>0.5</v>
      </c>
      <c r="M98">
        <v>-3</v>
      </c>
      <c r="N98">
        <v>-2</v>
      </c>
      <c r="O98">
        <v>6</v>
      </c>
      <c r="P98">
        <v>4</v>
      </c>
      <c r="Q98">
        <v>-4.3</v>
      </c>
      <c r="R98">
        <v>-1.5</v>
      </c>
      <c r="S98">
        <v>4.7</v>
      </c>
      <c r="T98">
        <v>3</v>
      </c>
    </row>
    <row r="99" spans="1:20" x14ac:dyDescent="0.35">
      <c r="A99">
        <v>96</v>
      </c>
      <c r="B99" t="s">
        <v>1085</v>
      </c>
      <c r="C99" s="30"/>
      <c r="D99" t="s">
        <v>606</v>
      </c>
      <c r="E99" t="s">
        <v>87</v>
      </c>
      <c r="F99" t="s">
        <v>87</v>
      </c>
      <c r="G99" t="s">
        <v>603</v>
      </c>
      <c r="H99" t="s">
        <v>634</v>
      </c>
      <c r="I99">
        <v>-1.3</v>
      </c>
      <c r="J99">
        <v>1</v>
      </c>
      <c r="K99">
        <v>2.5</v>
      </c>
      <c r="L99">
        <v>0.5</v>
      </c>
      <c r="M99">
        <v>2.5</v>
      </c>
      <c r="N99">
        <v>-3.5</v>
      </c>
      <c r="O99">
        <v>2.5</v>
      </c>
      <c r="P99">
        <v>0.5</v>
      </c>
      <c r="Q99">
        <v>0.7</v>
      </c>
      <c r="R99">
        <v>-2</v>
      </c>
      <c r="S99">
        <v>3</v>
      </c>
      <c r="T99">
        <v>0.3</v>
      </c>
    </row>
    <row r="100" spans="1:20" x14ac:dyDescent="0.35">
      <c r="A100">
        <v>97</v>
      </c>
      <c r="B100" t="s">
        <v>1016</v>
      </c>
      <c r="C100" s="30"/>
      <c r="D100" t="s">
        <v>595</v>
      </c>
      <c r="E100" t="s">
        <v>597</v>
      </c>
      <c r="F100" t="s">
        <v>88</v>
      </c>
      <c r="G100" t="s">
        <v>89</v>
      </c>
      <c r="H100" t="s">
        <v>90</v>
      </c>
      <c r="I100">
        <v>-1.3</v>
      </c>
      <c r="J100">
        <v>1</v>
      </c>
      <c r="K100">
        <v>0.5</v>
      </c>
      <c r="L100">
        <v>0.5</v>
      </c>
      <c r="M100">
        <v>2.5</v>
      </c>
      <c r="N100">
        <v>-6</v>
      </c>
      <c r="O100">
        <v>4</v>
      </c>
      <c r="P100">
        <v>4</v>
      </c>
      <c r="Q100">
        <v>0.7</v>
      </c>
      <c r="R100">
        <v>-4.3</v>
      </c>
      <c r="S100">
        <v>2</v>
      </c>
      <c r="T100">
        <v>3</v>
      </c>
    </row>
    <row r="101" spans="1:20" x14ac:dyDescent="0.35">
      <c r="A101">
        <v>98</v>
      </c>
      <c r="B101" t="s">
        <v>258</v>
      </c>
      <c r="C101" s="30"/>
      <c r="D101" t="s">
        <v>593</v>
      </c>
      <c r="E101" t="s">
        <v>595</v>
      </c>
      <c r="F101" t="s">
        <v>593</v>
      </c>
      <c r="G101" t="s">
        <v>596</v>
      </c>
      <c r="H101" t="s">
        <v>632</v>
      </c>
      <c r="I101">
        <v>-1.3</v>
      </c>
      <c r="J101">
        <v>1</v>
      </c>
      <c r="K101">
        <v>-1.5</v>
      </c>
      <c r="L101">
        <v>0.5</v>
      </c>
      <c r="M101">
        <v>-2.5</v>
      </c>
      <c r="N101">
        <v>4</v>
      </c>
      <c r="O101">
        <v>2.5</v>
      </c>
      <c r="P101">
        <v>2.5</v>
      </c>
      <c r="Q101">
        <v>-1.5</v>
      </c>
      <c r="R101">
        <v>1.5</v>
      </c>
      <c r="S101">
        <v>0</v>
      </c>
      <c r="T101">
        <v>1.5</v>
      </c>
    </row>
    <row r="102" spans="1:20" x14ac:dyDescent="0.35">
      <c r="A102">
        <v>99</v>
      </c>
      <c r="B102" t="s">
        <v>1066</v>
      </c>
      <c r="C102" s="30"/>
      <c r="D102" t="s">
        <v>82</v>
      </c>
      <c r="E102" t="s">
        <v>82</v>
      </c>
      <c r="F102" t="s">
        <v>82</v>
      </c>
      <c r="G102" t="s">
        <v>84</v>
      </c>
      <c r="H102" t="s">
        <v>85</v>
      </c>
      <c r="I102">
        <v>-5.3</v>
      </c>
      <c r="J102">
        <v>-1.3</v>
      </c>
      <c r="K102">
        <v>3</v>
      </c>
      <c r="L102">
        <v>5.7</v>
      </c>
      <c r="M102">
        <v>7.5</v>
      </c>
      <c r="N102">
        <v>7</v>
      </c>
      <c r="O102">
        <v>7.5</v>
      </c>
      <c r="P102">
        <v>7.5</v>
      </c>
      <c r="Q102">
        <v>0.5</v>
      </c>
      <c r="R102">
        <v>3</v>
      </c>
      <c r="S102">
        <v>5</v>
      </c>
      <c r="T102">
        <v>6.5</v>
      </c>
    </row>
    <row r="103" spans="1:20" x14ac:dyDescent="0.35">
      <c r="A103">
        <v>100</v>
      </c>
      <c r="B103" t="s">
        <v>1251</v>
      </c>
      <c r="C103" s="30"/>
      <c r="D103" t="s">
        <v>82</v>
      </c>
      <c r="E103" t="s">
        <v>87</v>
      </c>
      <c r="F103" t="s">
        <v>597</v>
      </c>
      <c r="G103" t="s">
        <v>612</v>
      </c>
      <c r="H103" t="s">
        <v>638</v>
      </c>
      <c r="I103">
        <v>0</v>
      </c>
      <c r="J103">
        <v>-1.3</v>
      </c>
      <c r="K103">
        <v>0.5</v>
      </c>
      <c r="L103">
        <v>3</v>
      </c>
      <c r="M103">
        <v>2.5</v>
      </c>
      <c r="N103">
        <v>-2</v>
      </c>
      <c r="O103">
        <v>2.5</v>
      </c>
      <c r="P103">
        <v>0.5</v>
      </c>
      <c r="Q103">
        <v>1</v>
      </c>
      <c r="R103">
        <v>-2</v>
      </c>
      <c r="S103">
        <v>1.5</v>
      </c>
      <c r="T103">
        <v>1.5</v>
      </c>
    </row>
    <row r="104" spans="1:20" x14ac:dyDescent="0.35">
      <c r="A104">
        <v>101</v>
      </c>
      <c r="B104" t="s">
        <v>1119</v>
      </c>
      <c r="C104" s="30"/>
      <c r="D104" t="s">
        <v>592</v>
      </c>
      <c r="E104" t="s">
        <v>87</v>
      </c>
      <c r="F104" t="s">
        <v>589</v>
      </c>
      <c r="G104" t="s">
        <v>591</v>
      </c>
      <c r="H104" t="s">
        <v>630</v>
      </c>
      <c r="I104">
        <v>0</v>
      </c>
      <c r="J104">
        <v>1</v>
      </c>
      <c r="K104">
        <v>-3.5</v>
      </c>
      <c r="L104">
        <v>5.3</v>
      </c>
      <c r="M104">
        <v>1.5</v>
      </c>
      <c r="N104">
        <v>0</v>
      </c>
      <c r="O104">
        <v>1.5</v>
      </c>
      <c r="P104">
        <v>1.5</v>
      </c>
      <c r="Q104">
        <v>0.7</v>
      </c>
      <c r="R104">
        <v>0</v>
      </c>
      <c r="S104">
        <v>-1</v>
      </c>
      <c r="T104">
        <v>4</v>
      </c>
    </row>
    <row r="105" spans="1:20" x14ac:dyDescent="0.35">
      <c r="A105">
        <v>102</v>
      </c>
      <c r="B105" t="s">
        <v>1146</v>
      </c>
      <c r="C105" s="30"/>
      <c r="D105" t="s">
        <v>589</v>
      </c>
      <c r="E105" t="s">
        <v>589</v>
      </c>
      <c r="F105" t="s">
        <v>589</v>
      </c>
      <c r="G105" t="s">
        <v>591</v>
      </c>
      <c r="H105" t="s">
        <v>630</v>
      </c>
      <c r="I105">
        <v>0.5</v>
      </c>
      <c r="J105">
        <v>-1.3</v>
      </c>
      <c r="K105">
        <v>-1.5</v>
      </c>
      <c r="L105">
        <v>2</v>
      </c>
      <c r="M105">
        <v>0.5</v>
      </c>
      <c r="N105">
        <v>0</v>
      </c>
      <c r="O105">
        <v>-1.3</v>
      </c>
      <c r="P105">
        <v>2.5</v>
      </c>
      <c r="Q105">
        <v>0.7</v>
      </c>
      <c r="R105">
        <v>-1.5</v>
      </c>
      <c r="S105">
        <v>-1.5</v>
      </c>
      <c r="T105">
        <v>3</v>
      </c>
    </row>
    <row r="106" spans="1:20" x14ac:dyDescent="0.35">
      <c r="A106">
        <v>103</v>
      </c>
      <c r="B106" t="s">
        <v>690</v>
      </c>
      <c r="C106" s="30"/>
      <c r="D106" t="s">
        <v>86</v>
      </c>
      <c r="E106" t="s">
        <v>597</v>
      </c>
      <c r="F106" t="s">
        <v>82</v>
      </c>
      <c r="G106" t="s">
        <v>84</v>
      </c>
      <c r="H106" t="s">
        <v>85</v>
      </c>
      <c r="I106">
        <v>-1.3</v>
      </c>
      <c r="J106">
        <v>-2.5</v>
      </c>
      <c r="K106">
        <v>-3.5</v>
      </c>
      <c r="L106">
        <v>3</v>
      </c>
      <c r="M106">
        <v>0.5</v>
      </c>
      <c r="N106">
        <v>-5.3</v>
      </c>
      <c r="O106">
        <v>6</v>
      </c>
      <c r="P106">
        <v>5.6</v>
      </c>
      <c r="Q106">
        <v>0</v>
      </c>
      <c r="R106">
        <v>-4.7</v>
      </c>
      <c r="S106">
        <v>1</v>
      </c>
      <c r="T106">
        <v>5.5</v>
      </c>
    </row>
    <row r="107" spans="1:20" x14ac:dyDescent="0.35">
      <c r="A107">
        <v>104</v>
      </c>
      <c r="B107" t="s">
        <v>324</v>
      </c>
      <c r="C107" s="30"/>
      <c r="D107" t="s">
        <v>86</v>
      </c>
      <c r="E107" t="s">
        <v>615</v>
      </c>
      <c r="F107" t="s">
        <v>589</v>
      </c>
      <c r="G107" t="s">
        <v>591</v>
      </c>
      <c r="H107" t="s">
        <v>630</v>
      </c>
      <c r="I107">
        <v>-1.3</v>
      </c>
      <c r="J107">
        <v>-1.3</v>
      </c>
      <c r="K107">
        <v>-1.5</v>
      </c>
      <c r="L107">
        <v>3</v>
      </c>
      <c r="M107">
        <v>4.3</v>
      </c>
      <c r="N107">
        <v>-2</v>
      </c>
      <c r="O107">
        <v>1.5</v>
      </c>
      <c r="P107">
        <v>0.5</v>
      </c>
      <c r="Q107">
        <v>1</v>
      </c>
      <c r="R107">
        <v>-2</v>
      </c>
      <c r="S107">
        <v>-0.5</v>
      </c>
      <c r="T107">
        <v>1.5</v>
      </c>
    </row>
    <row r="108" spans="1:20" x14ac:dyDescent="0.35">
      <c r="A108">
        <v>105</v>
      </c>
      <c r="B108" t="s">
        <v>267</v>
      </c>
      <c r="C108" s="30"/>
      <c r="D108" t="s">
        <v>589</v>
      </c>
      <c r="E108" t="s">
        <v>87</v>
      </c>
      <c r="F108" t="s">
        <v>87</v>
      </c>
      <c r="G108" t="s">
        <v>603</v>
      </c>
      <c r="H108" t="s">
        <v>634</v>
      </c>
      <c r="I108">
        <v>2</v>
      </c>
      <c r="J108">
        <v>-1.3</v>
      </c>
      <c r="K108">
        <v>-0.7</v>
      </c>
      <c r="L108">
        <v>2</v>
      </c>
      <c r="M108">
        <v>1.5</v>
      </c>
      <c r="N108">
        <v>-5.3</v>
      </c>
      <c r="O108">
        <v>4</v>
      </c>
      <c r="P108">
        <v>1.5</v>
      </c>
      <c r="Q108">
        <v>1.5</v>
      </c>
      <c r="R108">
        <v>-4.3</v>
      </c>
      <c r="S108">
        <v>1.5</v>
      </c>
      <c r="T108">
        <v>1.5</v>
      </c>
    </row>
    <row r="109" spans="1:20" x14ac:dyDescent="0.35">
      <c r="A109">
        <v>106</v>
      </c>
      <c r="B109" t="s">
        <v>1237</v>
      </c>
      <c r="C109" s="30"/>
      <c r="D109" t="s">
        <v>592</v>
      </c>
      <c r="E109" t="s">
        <v>599</v>
      </c>
      <c r="F109" t="s">
        <v>589</v>
      </c>
      <c r="G109" t="s">
        <v>591</v>
      </c>
      <c r="H109" t="s">
        <v>630</v>
      </c>
      <c r="I109">
        <v>1</v>
      </c>
      <c r="J109">
        <v>3</v>
      </c>
      <c r="K109">
        <v>-3.5</v>
      </c>
      <c r="L109">
        <v>2</v>
      </c>
      <c r="M109">
        <v>1.5</v>
      </c>
      <c r="N109">
        <v>-3.5</v>
      </c>
      <c r="O109">
        <v>1.5</v>
      </c>
      <c r="P109">
        <v>2.5</v>
      </c>
      <c r="Q109">
        <v>1.3</v>
      </c>
      <c r="R109">
        <v>-1.5</v>
      </c>
      <c r="S109">
        <v>-1</v>
      </c>
      <c r="T109">
        <v>3</v>
      </c>
    </row>
    <row r="110" spans="1:20" x14ac:dyDescent="0.35">
      <c r="A110">
        <v>107</v>
      </c>
      <c r="B110" t="s">
        <v>674</v>
      </c>
      <c r="C110" s="30"/>
      <c r="D110" t="s">
        <v>86</v>
      </c>
      <c r="E110" t="s">
        <v>590</v>
      </c>
      <c r="F110" t="s">
        <v>589</v>
      </c>
      <c r="G110" t="s">
        <v>591</v>
      </c>
      <c r="H110" t="s">
        <v>630</v>
      </c>
      <c r="I110">
        <v>-1.7</v>
      </c>
      <c r="J110">
        <v>-1.3</v>
      </c>
      <c r="K110">
        <v>-1.5</v>
      </c>
      <c r="L110">
        <v>3</v>
      </c>
      <c r="M110">
        <v>4.3</v>
      </c>
      <c r="N110">
        <v>-6.5</v>
      </c>
      <c r="O110">
        <v>1.5</v>
      </c>
      <c r="P110">
        <v>4</v>
      </c>
      <c r="Q110">
        <v>0.7</v>
      </c>
      <c r="R110">
        <v>-5.7</v>
      </c>
      <c r="S110">
        <v>-0.5</v>
      </c>
      <c r="T110">
        <v>4.3</v>
      </c>
    </row>
    <row r="111" spans="1:20" x14ac:dyDescent="0.35">
      <c r="A111">
        <v>108</v>
      </c>
      <c r="B111" t="s">
        <v>1245</v>
      </c>
      <c r="C111" s="30"/>
      <c r="D111" t="s">
        <v>590</v>
      </c>
      <c r="E111" t="s">
        <v>590</v>
      </c>
      <c r="F111" t="s">
        <v>590</v>
      </c>
      <c r="G111" t="s">
        <v>614</v>
      </c>
      <c r="H111" t="s">
        <v>639</v>
      </c>
      <c r="I111">
        <v>4</v>
      </c>
      <c r="J111">
        <v>-7</v>
      </c>
      <c r="K111">
        <v>-3.5</v>
      </c>
      <c r="L111">
        <v>2</v>
      </c>
      <c r="M111">
        <v>2.5</v>
      </c>
      <c r="N111">
        <v>0.5</v>
      </c>
      <c r="O111">
        <v>-2</v>
      </c>
      <c r="P111">
        <v>2.5</v>
      </c>
      <c r="Q111">
        <v>4</v>
      </c>
      <c r="R111">
        <v>-3</v>
      </c>
      <c r="S111">
        <v>-3</v>
      </c>
      <c r="T111">
        <v>3</v>
      </c>
    </row>
    <row r="112" spans="1:20" x14ac:dyDescent="0.35">
      <c r="A112">
        <v>109</v>
      </c>
      <c r="B112" t="s">
        <v>245</v>
      </c>
      <c r="C112" s="30"/>
      <c r="D112" t="s">
        <v>589</v>
      </c>
      <c r="E112" t="s">
        <v>590</v>
      </c>
      <c r="F112" t="s">
        <v>589</v>
      </c>
      <c r="G112" t="s">
        <v>591</v>
      </c>
      <c r="H112" t="s">
        <v>630</v>
      </c>
      <c r="I112">
        <v>2</v>
      </c>
      <c r="J112">
        <v>-1.3</v>
      </c>
      <c r="K112">
        <v>-3.5</v>
      </c>
      <c r="L112">
        <v>3</v>
      </c>
      <c r="M112">
        <v>4.3</v>
      </c>
      <c r="N112">
        <v>-6</v>
      </c>
      <c r="O112">
        <v>0.5</v>
      </c>
      <c r="P112">
        <v>4</v>
      </c>
      <c r="Q112">
        <v>2.5</v>
      </c>
      <c r="R112">
        <v>-4.7</v>
      </c>
      <c r="S112">
        <v>-1.5</v>
      </c>
      <c r="T112">
        <v>4.3</v>
      </c>
    </row>
    <row r="113" spans="1:20" x14ac:dyDescent="0.35">
      <c r="A113">
        <v>110</v>
      </c>
      <c r="B113" t="s">
        <v>1444</v>
      </c>
      <c r="C113" s="30"/>
      <c r="D113" t="s">
        <v>607</v>
      </c>
      <c r="E113" t="s">
        <v>590</v>
      </c>
      <c r="F113" t="s">
        <v>589</v>
      </c>
      <c r="G113" t="s">
        <v>591</v>
      </c>
      <c r="H113" t="s">
        <v>630</v>
      </c>
      <c r="I113">
        <v>-2.5</v>
      </c>
      <c r="J113">
        <v>1</v>
      </c>
      <c r="K113">
        <v>0.5</v>
      </c>
      <c r="L113">
        <v>3</v>
      </c>
      <c r="M113">
        <v>4.3</v>
      </c>
      <c r="N113">
        <v>-3.5</v>
      </c>
      <c r="O113">
        <v>0.5</v>
      </c>
      <c r="P113">
        <v>2.5</v>
      </c>
      <c r="Q113">
        <v>0.5</v>
      </c>
      <c r="R113">
        <v>-2</v>
      </c>
      <c r="S113">
        <v>0</v>
      </c>
      <c r="T113">
        <v>4</v>
      </c>
    </row>
    <row r="114" spans="1:20" x14ac:dyDescent="0.35">
      <c r="A114">
        <v>111</v>
      </c>
      <c r="B114" t="s">
        <v>936</v>
      </c>
      <c r="C114" s="30"/>
      <c r="D114" t="s">
        <v>589</v>
      </c>
      <c r="E114" t="s">
        <v>88</v>
      </c>
      <c r="F114" t="s">
        <v>589</v>
      </c>
      <c r="G114" t="s">
        <v>591</v>
      </c>
      <c r="H114" t="s">
        <v>630</v>
      </c>
      <c r="I114">
        <v>0.5</v>
      </c>
      <c r="J114">
        <v>-4.5999999999999996</v>
      </c>
      <c r="K114">
        <v>-1.5</v>
      </c>
      <c r="L114">
        <v>5.7</v>
      </c>
      <c r="M114">
        <v>1.5</v>
      </c>
      <c r="N114">
        <v>-3.5</v>
      </c>
      <c r="O114">
        <v>2.5</v>
      </c>
      <c r="P114">
        <v>5.6</v>
      </c>
      <c r="Q114">
        <v>1</v>
      </c>
      <c r="R114">
        <v>-4.3</v>
      </c>
      <c r="S114">
        <v>0</v>
      </c>
      <c r="T114">
        <v>6</v>
      </c>
    </row>
    <row r="115" spans="1:20" x14ac:dyDescent="0.35">
      <c r="A115">
        <v>112</v>
      </c>
      <c r="B115" t="s">
        <v>691</v>
      </c>
      <c r="C115" s="30"/>
      <c r="D115" t="s">
        <v>592</v>
      </c>
      <c r="E115" t="s">
        <v>599</v>
      </c>
      <c r="F115" t="s">
        <v>589</v>
      </c>
      <c r="G115" t="s">
        <v>591</v>
      </c>
      <c r="H115" t="s">
        <v>630</v>
      </c>
      <c r="I115">
        <v>-1.3</v>
      </c>
      <c r="J115">
        <v>1</v>
      </c>
      <c r="K115">
        <v>-3.5</v>
      </c>
      <c r="L115">
        <v>5.7</v>
      </c>
      <c r="M115">
        <v>2.5</v>
      </c>
      <c r="N115">
        <v>0</v>
      </c>
      <c r="O115">
        <v>0.5</v>
      </c>
      <c r="P115">
        <v>4</v>
      </c>
      <c r="Q115">
        <v>0.7</v>
      </c>
      <c r="R115">
        <v>0</v>
      </c>
      <c r="S115">
        <v>-1.5</v>
      </c>
      <c r="T115">
        <v>5.7</v>
      </c>
    </row>
    <row r="116" spans="1:20" x14ac:dyDescent="0.35">
      <c r="A116">
        <v>113</v>
      </c>
      <c r="B116" t="s">
        <v>684</v>
      </c>
      <c r="C116" s="30"/>
      <c r="D116" t="s">
        <v>82</v>
      </c>
      <c r="E116" t="s">
        <v>83</v>
      </c>
      <c r="F116" t="s">
        <v>82</v>
      </c>
      <c r="G116" t="s">
        <v>84</v>
      </c>
      <c r="H116" t="s">
        <v>85</v>
      </c>
      <c r="I116">
        <v>-1.7</v>
      </c>
      <c r="J116">
        <v>-1.3</v>
      </c>
      <c r="K116">
        <v>0.5</v>
      </c>
      <c r="L116">
        <v>2</v>
      </c>
      <c r="M116">
        <v>-1.3</v>
      </c>
      <c r="N116">
        <v>0</v>
      </c>
      <c r="O116">
        <v>6</v>
      </c>
      <c r="P116">
        <v>2.5</v>
      </c>
      <c r="Q116">
        <v>-1</v>
      </c>
      <c r="R116">
        <v>-1.5</v>
      </c>
      <c r="S116">
        <v>3</v>
      </c>
      <c r="T116">
        <v>3</v>
      </c>
    </row>
    <row r="117" spans="1:20" x14ac:dyDescent="0.35">
      <c r="A117">
        <v>114</v>
      </c>
      <c r="B117" t="s">
        <v>1186</v>
      </c>
      <c r="C117" s="30"/>
      <c r="D117" t="s">
        <v>595</v>
      </c>
      <c r="E117" t="s">
        <v>597</v>
      </c>
      <c r="F117" t="s">
        <v>82</v>
      </c>
      <c r="G117" t="s">
        <v>84</v>
      </c>
      <c r="H117" t="s">
        <v>85</v>
      </c>
      <c r="I117">
        <v>-6</v>
      </c>
      <c r="J117">
        <v>3.5</v>
      </c>
      <c r="K117">
        <v>1</v>
      </c>
      <c r="L117">
        <v>2</v>
      </c>
      <c r="M117">
        <v>0.5</v>
      </c>
      <c r="N117">
        <v>-3.5</v>
      </c>
      <c r="O117">
        <v>4</v>
      </c>
      <c r="P117">
        <v>2.5</v>
      </c>
      <c r="Q117">
        <v>-2.5</v>
      </c>
      <c r="R117">
        <v>0</v>
      </c>
      <c r="S117">
        <v>3</v>
      </c>
      <c r="T117">
        <v>3</v>
      </c>
    </row>
    <row r="118" spans="1:20" x14ac:dyDescent="0.35">
      <c r="A118">
        <v>115</v>
      </c>
      <c r="B118" t="s">
        <v>1190</v>
      </c>
      <c r="C118" s="30"/>
      <c r="D118" t="s">
        <v>592</v>
      </c>
      <c r="E118" t="s">
        <v>589</v>
      </c>
      <c r="F118" t="s">
        <v>589</v>
      </c>
      <c r="G118" t="s">
        <v>591</v>
      </c>
      <c r="H118" t="s">
        <v>630</v>
      </c>
      <c r="I118">
        <v>0.5</v>
      </c>
      <c r="J118">
        <v>1</v>
      </c>
      <c r="K118">
        <v>-1.5</v>
      </c>
      <c r="L118">
        <v>2</v>
      </c>
      <c r="M118">
        <v>1.5</v>
      </c>
      <c r="N118">
        <v>-3.5</v>
      </c>
      <c r="O118">
        <v>-1.3</v>
      </c>
      <c r="P118">
        <v>7.5</v>
      </c>
      <c r="Q118">
        <v>1</v>
      </c>
      <c r="R118">
        <v>-2</v>
      </c>
      <c r="S118">
        <v>-1.5</v>
      </c>
      <c r="T118">
        <v>5.7</v>
      </c>
    </row>
    <row r="119" spans="1:20" x14ac:dyDescent="0.35">
      <c r="A119">
        <v>116</v>
      </c>
      <c r="B119" t="s">
        <v>372</v>
      </c>
      <c r="C119" s="30"/>
      <c r="D119" t="s">
        <v>615</v>
      </c>
      <c r="E119" t="s">
        <v>615</v>
      </c>
      <c r="F119" t="s">
        <v>615</v>
      </c>
      <c r="G119" t="s">
        <v>625</v>
      </c>
      <c r="H119" t="s">
        <v>645</v>
      </c>
      <c r="I119">
        <v>2</v>
      </c>
      <c r="J119">
        <v>-4.5999999999999996</v>
      </c>
      <c r="K119">
        <v>0.5</v>
      </c>
      <c r="L119">
        <v>0.5</v>
      </c>
      <c r="M119">
        <v>4.3</v>
      </c>
      <c r="N119">
        <v>-3.5</v>
      </c>
      <c r="O119">
        <v>2.5</v>
      </c>
      <c r="P119">
        <v>1.5</v>
      </c>
      <c r="Q119">
        <v>2.5</v>
      </c>
      <c r="R119">
        <v>-4.3</v>
      </c>
      <c r="S119">
        <v>1.5</v>
      </c>
      <c r="T119">
        <v>0.5</v>
      </c>
    </row>
    <row r="120" spans="1:20" x14ac:dyDescent="0.35">
      <c r="A120">
        <v>117</v>
      </c>
      <c r="B120" t="s">
        <v>240</v>
      </c>
      <c r="C120" s="30"/>
      <c r="D120" t="s">
        <v>585</v>
      </c>
      <c r="E120" t="s">
        <v>586</v>
      </c>
      <c r="F120" t="s">
        <v>587</v>
      </c>
      <c r="G120" t="s">
        <v>588</v>
      </c>
      <c r="H120" t="s">
        <v>629</v>
      </c>
      <c r="I120">
        <v>3</v>
      </c>
      <c r="J120">
        <v>3</v>
      </c>
      <c r="K120">
        <v>-5.7</v>
      </c>
      <c r="L120">
        <v>0.5</v>
      </c>
      <c r="M120">
        <v>4.3</v>
      </c>
      <c r="N120">
        <v>6</v>
      </c>
      <c r="O120">
        <v>0.5</v>
      </c>
      <c r="P120">
        <v>0</v>
      </c>
      <c r="Q120">
        <v>3.5</v>
      </c>
      <c r="R120">
        <v>4</v>
      </c>
      <c r="S120">
        <v>-3</v>
      </c>
      <c r="T120">
        <v>0</v>
      </c>
    </row>
    <row r="121" spans="1:20" x14ac:dyDescent="0.35">
      <c r="A121">
        <v>118</v>
      </c>
      <c r="B121" t="s">
        <v>670</v>
      </c>
      <c r="C121" s="30"/>
      <c r="D121" t="s">
        <v>589</v>
      </c>
      <c r="E121" t="s">
        <v>590</v>
      </c>
      <c r="F121" t="s">
        <v>589</v>
      </c>
      <c r="G121" t="s">
        <v>591</v>
      </c>
      <c r="H121" t="s">
        <v>630</v>
      </c>
      <c r="I121">
        <v>2</v>
      </c>
      <c r="J121">
        <v>-2.5</v>
      </c>
      <c r="K121">
        <v>-4.3</v>
      </c>
      <c r="L121">
        <v>3</v>
      </c>
      <c r="M121">
        <v>6.5</v>
      </c>
      <c r="N121">
        <v>-2</v>
      </c>
      <c r="O121">
        <v>-1.3</v>
      </c>
      <c r="P121">
        <v>4</v>
      </c>
      <c r="Q121">
        <v>3.5</v>
      </c>
      <c r="R121">
        <v>-3</v>
      </c>
      <c r="S121">
        <v>-3</v>
      </c>
      <c r="T121">
        <v>4.3</v>
      </c>
    </row>
    <row r="122" spans="1:20" x14ac:dyDescent="0.35">
      <c r="A122">
        <v>119</v>
      </c>
      <c r="B122" t="s">
        <v>320</v>
      </c>
      <c r="C122" s="30"/>
      <c r="D122" t="s">
        <v>589</v>
      </c>
      <c r="E122" t="s">
        <v>599</v>
      </c>
      <c r="F122" t="s">
        <v>589</v>
      </c>
      <c r="G122" t="s">
        <v>591</v>
      </c>
      <c r="H122" t="s">
        <v>630</v>
      </c>
      <c r="I122">
        <v>0.5</v>
      </c>
      <c r="J122">
        <v>-2.5</v>
      </c>
      <c r="K122">
        <v>-0.7</v>
      </c>
      <c r="L122">
        <v>3</v>
      </c>
      <c r="M122">
        <v>2.5</v>
      </c>
      <c r="N122">
        <v>-5.3</v>
      </c>
      <c r="O122">
        <v>1.5</v>
      </c>
      <c r="P122">
        <v>5.6</v>
      </c>
      <c r="Q122">
        <v>1.3</v>
      </c>
      <c r="R122">
        <v>-4.7</v>
      </c>
      <c r="S122">
        <v>0</v>
      </c>
      <c r="T122">
        <v>5.5</v>
      </c>
    </row>
    <row r="123" spans="1:20" x14ac:dyDescent="0.35">
      <c r="A123">
        <v>120</v>
      </c>
      <c r="B123" t="s">
        <v>947</v>
      </c>
      <c r="C123" s="30"/>
      <c r="D123" t="s">
        <v>592</v>
      </c>
      <c r="E123" t="s">
        <v>592</v>
      </c>
      <c r="F123" t="s">
        <v>592</v>
      </c>
      <c r="G123" t="s">
        <v>617</v>
      </c>
      <c r="H123" t="s">
        <v>640</v>
      </c>
      <c r="I123">
        <v>-2.5</v>
      </c>
      <c r="J123">
        <v>1</v>
      </c>
      <c r="K123">
        <v>-1.5</v>
      </c>
      <c r="L123">
        <v>2</v>
      </c>
      <c r="M123">
        <v>0.5</v>
      </c>
      <c r="N123">
        <v>2.5</v>
      </c>
      <c r="O123">
        <v>-1.3</v>
      </c>
      <c r="P123">
        <v>4</v>
      </c>
      <c r="Q123">
        <v>-0.5</v>
      </c>
      <c r="R123">
        <v>1</v>
      </c>
      <c r="S123">
        <v>-1.5</v>
      </c>
      <c r="T123">
        <v>4</v>
      </c>
    </row>
    <row r="124" spans="1:20" x14ac:dyDescent="0.35">
      <c r="A124">
        <v>121</v>
      </c>
      <c r="B124" t="s">
        <v>334</v>
      </c>
      <c r="C124" s="30"/>
      <c r="D124" t="s">
        <v>616</v>
      </c>
      <c r="E124" t="s">
        <v>598</v>
      </c>
      <c r="F124" t="s">
        <v>587</v>
      </c>
      <c r="G124" t="s">
        <v>588</v>
      </c>
      <c r="H124" t="s">
        <v>629</v>
      </c>
      <c r="I124">
        <v>0</v>
      </c>
      <c r="J124">
        <v>1</v>
      </c>
      <c r="K124">
        <v>-0.7</v>
      </c>
      <c r="L124">
        <v>-4.7</v>
      </c>
      <c r="M124">
        <v>0.5</v>
      </c>
      <c r="N124">
        <v>0.5</v>
      </c>
      <c r="O124">
        <v>-1.3</v>
      </c>
      <c r="P124">
        <v>1.5</v>
      </c>
      <c r="Q124">
        <v>0.5</v>
      </c>
      <c r="R124">
        <v>0.5</v>
      </c>
      <c r="S124">
        <v>-1</v>
      </c>
      <c r="T124">
        <v>-0.5</v>
      </c>
    </row>
    <row r="125" spans="1:20" x14ac:dyDescent="0.35">
      <c r="A125">
        <v>122</v>
      </c>
      <c r="B125" t="s">
        <v>1223</v>
      </c>
      <c r="C125" s="30"/>
      <c r="D125" t="s">
        <v>593</v>
      </c>
      <c r="E125" t="s">
        <v>615</v>
      </c>
      <c r="F125" t="s">
        <v>88</v>
      </c>
      <c r="G125" t="s">
        <v>89</v>
      </c>
      <c r="H125" t="s">
        <v>90</v>
      </c>
      <c r="I125">
        <v>-4</v>
      </c>
      <c r="J125">
        <v>3.5</v>
      </c>
      <c r="K125">
        <v>-0.7</v>
      </c>
      <c r="L125">
        <v>3</v>
      </c>
      <c r="M125">
        <v>6.5</v>
      </c>
      <c r="N125">
        <v>-4.3</v>
      </c>
      <c r="O125">
        <v>2.5</v>
      </c>
      <c r="P125">
        <v>1.5</v>
      </c>
      <c r="Q125">
        <v>0.5</v>
      </c>
      <c r="R125">
        <v>-1.5</v>
      </c>
      <c r="S125">
        <v>1</v>
      </c>
      <c r="T125">
        <v>3</v>
      </c>
    </row>
    <row r="126" spans="1:20" x14ac:dyDescent="0.35">
      <c r="A126">
        <v>123</v>
      </c>
      <c r="B126" t="s">
        <v>375</v>
      </c>
      <c r="C126" s="30"/>
      <c r="D126" t="s">
        <v>592</v>
      </c>
      <c r="E126" t="s">
        <v>595</v>
      </c>
      <c r="F126" t="s">
        <v>592</v>
      </c>
      <c r="G126" t="s">
        <v>617</v>
      </c>
      <c r="H126" t="s">
        <v>640</v>
      </c>
      <c r="I126">
        <v>-4</v>
      </c>
      <c r="J126">
        <v>1</v>
      </c>
      <c r="K126">
        <v>-3.5</v>
      </c>
      <c r="L126">
        <v>2</v>
      </c>
      <c r="M126">
        <v>-1.5</v>
      </c>
      <c r="N126">
        <v>4</v>
      </c>
      <c r="O126">
        <v>4</v>
      </c>
      <c r="P126">
        <v>2.5</v>
      </c>
      <c r="Q126">
        <v>-2.75</v>
      </c>
      <c r="R126">
        <v>1.5</v>
      </c>
      <c r="S126">
        <v>0</v>
      </c>
      <c r="T126">
        <v>3</v>
      </c>
    </row>
    <row r="127" spans="1:20" x14ac:dyDescent="0.35">
      <c r="A127">
        <v>124</v>
      </c>
      <c r="B127" t="s">
        <v>677</v>
      </c>
      <c r="C127" s="30"/>
      <c r="D127" t="s">
        <v>88</v>
      </c>
      <c r="E127" t="s">
        <v>88</v>
      </c>
      <c r="F127" t="s">
        <v>88</v>
      </c>
      <c r="G127" t="s">
        <v>89</v>
      </c>
      <c r="H127" t="s">
        <v>90</v>
      </c>
      <c r="I127">
        <v>0.5</v>
      </c>
      <c r="J127">
        <v>1</v>
      </c>
      <c r="K127">
        <v>0.5</v>
      </c>
      <c r="L127">
        <v>2</v>
      </c>
      <c r="M127">
        <v>1.5</v>
      </c>
      <c r="N127">
        <v>-6.5</v>
      </c>
      <c r="O127">
        <v>4</v>
      </c>
      <c r="P127">
        <v>7</v>
      </c>
      <c r="Q127">
        <v>1</v>
      </c>
      <c r="R127">
        <v>-4.7</v>
      </c>
      <c r="S127">
        <v>2</v>
      </c>
      <c r="T127">
        <v>5.5</v>
      </c>
    </row>
    <row r="128" spans="1:20" x14ac:dyDescent="0.35">
      <c r="A128">
        <v>125</v>
      </c>
      <c r="B128" t="s">
        <v>277</v>
      </c>
      <c r="C128" s="30"/>
      <c r="D128" t="s">
        <v>592</v>
      </c>
      <c r="E128" t="s">
        <v>82</v>
      </c>
      <c r="F128" t="s">
        <v>86</v>
      </c>
      <c r="G128" t="s">
        <v>601</v>
      </c>
      <c r="H128" t="s">
        <v>22</v>
      </c>
      <c r="I128">
        <v>-4</v>
      </c>
      <c r="J128">
        <v>3</v>
      </c>
      <c r="K128">
        <v>-1.5</v>
      </c>
      <c r="L128">
        <v>5.3</v>
      </c>
      <c r="M128">
        <v>-1.3</v>
      </c>
      <c r="N128">
        <v>-3.5</v>
      </c>
      <c r="O128">
        <v>1.5</v>
      </c>
      <c r="P128">
        <v>7</v>
      </c>
      <c r="Q128">
        <v>-2.5</v>
      </c>
      <c r="R128">
        <v>-1.5</v>
      </c>
      <c r="S128">
        <v>-0.5</v>
      </c>
      <c r="T128">
        <v>6</v>
      </c>
    </row>
    <row r="129" spans="1:20" x14ac:dyDescent="0.35">
      <c r="A129">
        <v>127</v>
      </c>
      <c r="B129" t="s">
        <v>717</v>
      </c>
      <c r="C129" s="30"/>
      <c r="D129" t="s">
        <v>607</v>
      </c>
      <c r="E129" t="s">
        <v>82</v>
      </c>
      <c r="F129" t="s">
        <v>82</v>
      </c>
      <c r="G129" t="s">
        <v>84</v>
      </c>
      <c r="H129" t="s">
        <v>85</v>
      </c>
      <c r="I129">
        <v>-4</v>
      </c>
      <c r="J129">
        <v>3</v>
      </c>
      <c r="K129">
        <v>-1.5</v>
      </c>
      <c r="L129">
        <v>5.3</v>
      </c>
      <c r="M129">
        <v>-1.3</v>
      </c>
      <c r="N129">
        <v>-3.5</v>
      </c>
      <c r="O129">
        <v>1.5</v>
      </c>
      <c r="P129">
        <v>7</v>
      </c>
      <c r="Q129">
        <v>-2.5</v>
      </c>
      <c r="R129">
        <v>-1.5</v>
      </c>
      <c r="S129">
        <v>-0.5</v>
      </c>
      <c r="T129">
        <v>6</v>
      </c>
    </row>
    <row r="130" spans="1:20" x14ac:dyDescent="0.35">
      <c r="A130">
        <v>128</v>
      </c>
      <c r="B130" t="s">
        <v>1002</v>
      </c>
      <c r="C130" s="30"/>
      <c r="D130" t="s">
        <v>589</v>
      </c>
      <c r="E130" t="s">
        <v>589</v>
      </c>
      <c r="F130" t="s">
        <v>589</v>
      </c>
      <c r="G130" t="s">
        <v>591</v>
      </c>
      <c r="H130" t="s">
        <v>630</v>
      </c>
      <c r="I130">
        <v>2</v>
      </c>
      <c r="J130">
        <v>-2.5</v>
      </c>
      <c r="K130">
        <v>-0.7</v>
      </c>
      <c r="L130">
        <v>2</v>
      </c>
      <c r="M130">
        <v>6.5</v>
      </c>
      <c r="N130">
        <v>-5.3</v>
      </c>
      <c r="O130">
        <v>-2</v>
      </c>
      <c r="P130">
        <v>7</v>
      </c>
      <c r="Q130">
        <v>3.5</v>
      </c>
      <c r="R130">
        <v>-4.7</v>
      </c>
      <c r="S130">
        <v>-1.5</v>
      </c>
      <c r="T130">
        <v>5.5</v>
      </c>
    </row>
    <row r="131" spans="1:20" x14ac:dyDescent="0.35">
      <c r="A131">
        <v>129</v>
      </c>
      <c r="B131" t="s">
        <v>1121</v>
      </c>
      <c r="C131" s="30"/>
      <c r="D131" t="s">
        <v>602</v>
      </c>
      <c r="E131" t="s">
        <v>82</v>
      </c>
      <c r="F131" t="s">
        <v>606</v>
      </c>
      <c r="G131" t="s">
        <v>622</v>
      </c>
      <c r="H131" t="s">
        <v>643</v>
      </c>
      <c r="I131">
        <v>-4</v>
      </c>
      <c r="J131">
        <v>3</v>
      </c>
      <c r="K131">
        <v>2.5</v>
      </c>
      <c r="L131">
        <v>-1.5</v>
      </c>
      <c r="M131">
        <v>0</v>
      </c>
      <c r="N131">
        <v>0</v>
      </c>
      <c r="O131">
        <v>1.5</v>
      </c>
      <c r="P131">
        <v>1.5</v>
      </c>
      <c r="Q131">
        <v>-1.5</v>
      </c>
      <c r="R131">
        <v>0.5</v>
      </c>
      <c r="S131">
        <v>2</v>
      </c>
      <c r="T131">
        <v>0.3</v>
      </c>
    </row>
    <row r="132" spans="1:20" x14ac:dyDescent="0.35">
      <c r="A132">
        <v>130</v>
      </c>
      <c r="B132" t="s">
        <v>659</v>
      </c>
      <c r="C132" s="30"/>
      <c r="D132" t="s">
        <v>86</v>
      </c>
      <c r="E132" t="s">
        <v>597</v>
      </c>
      <c r="F132" t="s">
        <v>82</v>
      </c>
      <c r="G132" t="s">
        <v>84</v>
      </c>
      <c r="H132" t="s">
        <v>85</v>
      </c>
      <c r="I132">
        <v>-2.5</v>
      </c>
      <c r="J132">
        <v>-2.5</v>
      </c>
      <c r="K132">
        <v>-0.7</v>
      </c>
      <c r="L132">
        <v>5.7</v>
      </c>
      <c r="M132">
        <v>0.5</v>
      </c>
      <c r="N132">
        <v>-3.5</v>
      </c>
      <c r="O132">
        <v>4</v>
      </c>
      <c r="P132">
        <v>1.5</v>
      </c>
      <c r="Q132">
        <v>-0.5</v>
      </c>
      <c r="R132">
        <v>-3.5</v>
      </c>
      <c r="S132">
        <v>1.5</v>
      </c>
      <c r="T132">
        <v>4.3</v>
      </c>
    </row>
    <row r="133" spans="1:20" x14ac:dyDescent="0.35">
      <c r="A133">
        <v>131</v>
      </c>
      <c r="B133" t="s">
        <v>366</v>
      </c>
      <c r="C133" s="30"/>
      <c r="D133" t="s">
        <v>589</v>
      </c>
      <c r="E133" t="s">
        <v>82</v>
      </c>
      <c r="F133" t="s">
        <v>82</v>
      </c>
      <c r="G133" t="s">
        <v>84</v>
      </c>
      <c r="H133" t="s">
        <v>85</v>
      </c>
      <c r="I133">
        <v>0.5</v>
      </c>
      <c r="J133">
        <v>-4.5999999999999996</v>
      </c>
      <c r="K133">
        <v>-1.5</v>
      </c>
      <c r="L133">
        <v>5.7</v>
      </c>
      <c r="M133">
        <v>-1.3</v>
      </c>
      <c r="N133">
        <v>-3.5</v>
      </c>
      <c r="O133">
        <v>4</v>
      </c>
      <c r="P133">
        <v>5.6</v>
      </c>
      <c r="Q133">
        <v>0</v>
      </c>
      <c r="R133">
        <v>-4.3</v>
      </c>
      <c r="S133">
        <v>1</v>
      </c>
      <c r="T133">
        <v>6</v>
      </c>
    </row>
    <row r="134" spans="1:20" x14ac:dyDescent="0.35">
      <c r="A134">
        <v>132</v>
      </c>
      <c r="B134" t="s">
        <v>269</v>
      </c>
      <c r="C134" s="30"/>
      <c r="D134" t="s">
        <v>607</v>
      </c>
      <c r="E134" t="s">
        <v>83</v>
      </c>
      <c r="F134" t="s">
        <v>82</v>
      </c>
      <c r="G134" t="s">
        <v>84</v>
      </c>
      <c r="H134" t="s">
        <v>85</v>
      </c>
      <c r="I134">
        <v>-6</v>
      </c>
      <c r="J134">
        <v>3</v>
      </c>
      <c r="K134">
        <v>2.5</v>
      </c>
      <c r="L134">
        <v>5.3</v>
      </c>
      <c r="M134">
        <v>-2.5</v>
      </c>
      <c r="N134">
        <v>-2</v>
      </c>
      <c r="O134">
        <v>6</v>
      </c>
      <c r="P134">
        <v>2.5</v>
      </c>
      <c r="Q134">
        <v>-3.5</v>
      </c>
      <c r="R134">
        <v>0</v>
      </c>
      <c r="S134">
        <v>4</v>
      </c>
      <c r="T134">
        <v>4.3</v>
      </c>
    </row>
    <row r="135" spans="1:20" x14ac:dyDescent="0.35">
      <c r="A135">
        <v>133</v>
      </c>
      <c r="B135" t="s">
        <v>301</v>
      </c>
      <c r="C135" s="30"/>
      <c r="D135" t="s">
        <v>82</v>
      </c>
      <c r="E135" t="s">
        <v>83</v>
      </c>
      <c r="F135" t="s">
        <v>82</v>
      </c>
      <c r="G135" t="s">
        <v>84</v>
      </c>
      <c r="H135" t="s">
        <v>85</v>
      </c>
      <c r="I135">
        <v>-2.5</v>
      </c>
      <c r="J135">
        <v>-2.5</v>
      </c>
      <c r="K135">
        <v>2.5</v>
      </c>
      <c r="L135">
        <v>3</v>
      </c>
      <c r="M135">
        <v>-2.5</v>
      </c>
      <c r="N135">
        <v>-2</v>
      </c>
      <c r="O135">
        <v>6</v>
      </c>
      <c r="P135">
        <v>5.6</v>
      </c>
      <c r="Q135">
        <v>-2.75</v>
      </c>
      <c r="R135">
        <v>-3</v>
      </c>
      <c r="S135">
        <v>4</v>
      </c>
      <c r="T135">
        <v>5.5</v>
      </c>
    </row>
    <row r="136" spans="1:20" x14ac:dyDescent="0.35">
      <c r="A136">
        <v>134</v>
      </c>
      <c r="B136" t="s">
        <v>982</v>
      </c>
      <c r="C136" s="30"/>
      <c r="D136" t="s">
        <v>589</v>
      </c>
      <c r="E136" t="s">
        <v>597</v>
      </c>
      <c r="F136" t="s">
        <v>589</v>
      </c>
      <c r="G136" t="s">
        <v>591</v>
      </c>
      <c r="H136" t="s">
        <v>630</v>
      </c>
      <c r="I136">
        <v>0.5</v>
      </c>
      <c r="J136">
        <v>-1.3</v>
      </c>
      <c r="K136">
        <v>-1.5</v>
      </c>
      <c r="L136">
        <v>5.3</v>
      </c>
      <c r="M136">
        <v>1.5</v>
      </c>
      <c r="N136">
        <v>-3.5</v>
      </c>
      <c r="O136">
        <v>2.5</v>
      </c>
      <c r="P136">
        <v>2.5</v>
      </c>
      <c r="Q136">
        <v>1</v>
      </c>
      <c r="R136">
        <v>-3</v>
      </c>
      <c r="S136">
        <v>0</v>
      </c>
      <c r="T136">
        <v>4.3</v>
      </c>
    </row>
    <row r="137" spans="1:20" x14ac:dyDescent="0.35">
      <c r="A137">
        <v>135</v>
      </c>
      <c r="B137" t="s">
        <v>716</v>
      </c>
      <c r="C137" s="30"/>
      <c r="D137" t="s">
        <v>83</v>
      </c>
      <c r="E137" t="s">
        <v>88</v>
      </c>
      <c r="F137" t="s">
        <v>82</v>
      </c>
      <c r="G137" t="s">
        <v>84</v>
      </c>
      <c r="H137" t="s">
        <v>85</v>
      </c>
      <c r="I137">
        <v>-1.7</v>
      </c>
      <c r="J137">
        <v>-1.3</v>
      </c>
      <c r="K137">
        <v>2.5</v>
      </c>
      <c r="L137">
        <v>0.5</v>
      </c>
      <c r="M137">
        <v>0.5</v>
      </c>
      <c r="N137">
        <v>-2</v>
      </c>
      <c r="O137">
        <v>1.5</v>
      </c>
      <c r="P137">
        <v>4</v>
      </c>
      <c r="Q137">
        <v>-0.25</v>
      </c>
      <c r="R137">
        <v>-2</v>
      </c>
      <c r="S137">
        <v>2</v>
      </c>
      <c r="T137">
        <v>3</v>
      </c>
    </row>
    <row r="138" spans="1:20" x14ac:dyDescent="0.35">
      <c r="A138">
        <v>136</v>
      </c>
      <c r="B138" t="s">
        <v>313</v>
      </c>
      <c r="C138" s="30"/>
      <c r="D138" t="s">
        <v>86</v>
      </c>
      <c r="E138" t="s">
        <v>88</v>
      </c>
      <c r="F138" t="s">
        <v>589</v>
      </c>
      <c r="G138" t="s">
        <v>591</v>
      </c>
      <c r="H138" t="s">
        <v>630</v>
      </c>
      <c r="I138">
        <v>-1.3</v>
      </c>
      <c r="J138">
        <v>-2.5</v>
      </c>
      <c r="K138">
        <v>-3.5</v>
      </c>
      <c r="L138">
        <v>3</v>
      </c>
      <c r="M138">
        <v>1.5</v>
      </c>
      <c r="N138">
        <v>-4.3</v>
      </c>
      <c r="O138">
        <v>2.5</v>
      </c>
      <c r="P138">
        <v>4</v>
      </c>
      <c r="Q138">
        <v>0.5</v>
      </c>
      <c r="R138">
        <v>-4.3</v>
      </c>
      <c r="S138">
        <v>-0.5</v>
      </c>
      <c r="T138">
        <v>4.3</v>
      </c>
    </row>
    <row r="139" spans="1:20" x14ac:dyDescent="0.35">
      <c r="A139">
        <v>137</v>
      </c>
      <c r="B139" t="s">
        <v>1211</v>
      </c>
      <c r="C139" s="30"/>
      <c r="D139" t="s">
        <v>82</v>
      </c>
      <c r="E139" t="s">
        <v>597</v>
      </c>
      <c r="F139" t="s">
        <v>82</v>
      </c>
      <c r="G139" t="s">
        <v>84</v>
      </c>
      <c r="H139" t="s">
        <v>85</v>
      </c>
      <c r="I139">
        <v>-1.7</v>
      </c>
      <c r="J139">
        <v>-4.5999999999999996</v>
      </c>
      <c r="K139">
        <v>0.5</v>
      </c>
      <c r="L139">
        <v>6</v>
      </c>
      <c r="M139">
        <v>0.5</v>
      </c>
      <c r="N139">
        <v>-5.3</v>
      </c>
      <c r="O139">
        <v>6</v>
      </c>
      <c r="P139">
        <v>2.5</v>
      </c>
      <c r="Q139">
        <v>-0.25</v>
      </c>
      <c r="R139">
        <v>-5.7</v>
      </c>
      <c r="S139">
        <v>3</v>
      </c>
      <c r="T139">
        <v>5.7</v>
      </c>
    </row>
    <row r="140" spans="1:20" x14ac:dyDescent="0.35">
      <c r="A140">
        <v>138</v>
      </c>
      <c r="B140" t="s">
        <v>1020</v>
      </c>
      <c r="C140" s="30"/>
      <c r="D140" t="s">
        <v>589</v>
      </c>
      <c r="E140" t="s">
        <v>83</v>
      </c>
      <c r="F140" t="s">
        <v>597</v>
      </c>
      <c r="G140" t="s">
        <v>612</v>
      </c>
      <c r="H140" t="s">
        <v>638</v>
      </c>
      <c r="I140">
        <v>0.5</v>
      </c>
      <c r="J140">
        <v>-2.5</v>
      </c>
      <c r="K140">
        <v>-1.5</v>
      </c>
      <c r="L140">
        <v>3</v>
      </c>
      <c r="M140">
        <v>0</v>
      </c>
      <c r="N140">
        <v>0</v>
      </c>
      <c r="O140">
        <v>7</v>
      </c>
      <c r="P140">
        <v>0.5</v>
      </c>
      <c r="Q140">
        <v>0.5</v>
      </c>
      <c r="R140">
        <v>-2</v>
      </c>
      <c r="S140">
        <v>2</v>
      </c>
      <c r="T140">
        <v>1.5</v>
      </c>
    </row>
    <row r="141" spans="1:20" x14ac:dyDescent="0.35">
      <c r="A141">
        <v>139</v>
      </c>
      <c r="B141" t="s">
        <v>251</v>
      </c>
      <c r="C141" s="30"/>
      <c r="D141" t="s">
        <v>86</v>
      </c>
      <c r="E141" t="s">
        <v>599</v>
      </c>
      <c r="F141" t="s">
        <v>86</v>
      </c>
      <c r="G141" t="s">
        <v>601</v>
      </c>
      <c r="H141" t="s">
        <v>22</v>
      </c>
      <c r="I141">
        <v>-5.3</v>
      </c>
      <c r="J141">
        <v>-1.3</v>
      </c>
      <c r="K141">
        <v>-1.5</v>
      </c>
      <c r="L141">
        <v>3</v>
      </c>
      <c r="M141">
        <v>1.5</v>
      </c>
      <c r="N141">
        <v>-5.3</v>
      </c>
      <c r="O141">
        <v>1.5</v>
      </c>
      <c r="P141">
        <v>5.6</v>
      </c>
      <c r="Q141">
        <v>-1</v>
      </c>
      <c r="R141">
        <v>-4.3</v>
      </c>
      <c r="S141">
        <v>-0.5</v>
      </c>
      <c r="T141">
        <v>5.5</v>
      </c>
    </row>
    <row r="142" spans="1:20" x14ac:dyDescent="0.35">
      <c r="A142">
        <v>140</v>
      </c>
      <c r="B142" t="s">
        <v>1031</v>
      </c>
      <c r="C142" s="30"/>
      <c r="D142" t="s">
        <v>595</v>
      </c>
      <c r="E142" t="s">
        <v>83</v>
      </c>
      <c r="F142" t="s">
        <v>91</v>
      </c>
      <c r="G142" t="s">
        <v>92</v>
      </c>
      <c r="H142" t="s">
        <v>93</v>
      </c>
      <c r="I142">
        <v>-2.5</v>
      </c>
      <c r="J142">
        <v>3.5</v>
      </c>
      <c r="K142">
        <v>0.5</v>
      </c>
      <c r="L142">
        <v>2</v>
      </c>
      <c r="M142">
        <v>-1.5</v>
      </c>
      <c r="N142">
        <v>-2</v>
      </c>
      <c r="O142">
        <v>6</v>
      </c>
      <c r="P142">
        <v>4</v>
      </c>
      <c r="Q142">
        <v>-2.5</v>
      </c>
      <c r="R142">
        <v>0.5</v>
      </c>
      <c r="S142">
        <v>3</v>
      </c>
      <c r="T142">
        <v>4</v>
      </c>
    </row>
    <row r="143" spans="1:20" x14ac:dyDescent="0.35">
      <c r="A143">
        <v>141</v>
      </c>
      <c r="B143" t="s">
        <v>363</v>
      </c>
      <c r="C143" s="30"/>
      <c r="D143" t="s">
        <v>82</v>
      </c>
      <c r="E143" t="s">
        <v>597</v>
      </c>
      <c r="F143" t="s">
        <v>82</v>
      </c>
      <c r="G143" t="s">
        <v>84</v>
      </c>
      <c r="H143" t="s">
        <v>85</v>
      </c>
      <c r="I143">
        <v>-5.3</v>
      </c>
      <c r="J143">
        <v>-1.3</v>
      </c>
      <c r="K143">
        <v>2.5</v>
      </c>
      <c r="L143">
        <v>5.7</v>
      </c>
      <c r="M143">
        <v>0.5</v>
      </c>
      <c r="N143">
        <v>-6</v>
      </c>
      <c r="O143">
        <v>6</v>
      </c>
      <c r="P143">
        <v>5.6</v>
      </c>
      <c r="Q143">
        <v>-1.5</v>
      </c>
      <c r="R143">
        <v>-4.7</v>
      </c>
      <c r="S143">
        <v>4</v>
      </c>
      <c r="T143">
        <v>6</v>
      </c>
    </row>
    <row r="144" spans="1:20" x14ac:dyDescent="0.35">
      <c r="A144">
        <v>142</v>
      </c>
      <c r="B144" t="s">
        <v>960</v>
      </c>
      <c r="C144" s="30"/>
      <c r="D144" t="s">
        <v>86</v>
      </c>
      <c r="E144" t="s">
        <v>589</v>
      </c>
      <c r="F144" t="s">
        <v>589</v>
      </c>
      <c r="G144" t="s">
        <v>591</v>
      </c>
      <c r="H144" t="s">
        <v>630</v>
      </c>
      <c r="I144">
        <v>0</v>
      </c>
      <c r="J144">
        <v>-2.5</v>
      </c>
      <c r="K144">
        <v>-1.5</v>
      </c>
      <c r="L144">
        <v>3</v>
      </c>
      <c r="M144">
        <v>1.5</v>
      </c>
      <c r="N144">
        <v>-2</v>
      </c>
      <c r="O144">
        <v>-1.3</v>
      </c>
      <c r="P144">
        <v>4</v>
      </c>
      <c r="Q144">
        <v>0.7</v>
      </c>
      <c r="R144">
        <v>-3</v>
      </c>
      <c r="S144">
        <v>-1.5</v>
      </c>
      <c r="T144">
        <v>4.3</v>
      </c>
    </row>
    <row r="145" spans="1:20 16381:16381" x14ac:dyDescent="0.35">
      <c r="A145">
        <v>143</v>
      </c>
      <c r="B145" t="s">
        <v>278</v>
      </c>
      <c r="C145" s="30"/>
      <c r="D145" t="s">
        <v>592</v>
      </c>
      <c r="E145" t="s">
        <v>592</v>
      </c>
      <c r="F145" t="s">
        <v>592</v>
      </c>
      <c r="G145" t="s">
        <v>617</v>
      </c>
      <c r="H145" t="s">
        <v>648</v>
      </c>
      <c r="I145">
        <v>1</v>
      </c>
      <c r="J145">
        <v>3</v>
      </c>
      <c r="K145">
        <v>-3.5</v>
      </c>
      <c r="L145">
        <v>3</v>
      </c>
      <c r="M145">
        <v>0.5</v>
      </c>
      <c r="N145">
        <v>2.5</v>
      </c>
      <c r="O145">
        <v>2.5</v>
      </c>
      <c r="P145">
        <v>1.5</v>
      </c>
      <c r="Q145">
        <v>1</v>
      </c>
      <c r="R145">
        <v>1.5</v>
      </c>
      <c r="S145">
        <v>-0.5</v>
      </c>
      <c r="T145">
        <v>3</v>
      </c>
    </row>
    <row r="146" spans="1:20 16381:16381" x14ac:dyDescent="0.35">
      <c r="A146">
        <v>144</v>
      </c>
      <c r="B146" t="s">
        <v>660</v>
      </c>
      <c r="C146" s="30"/>
      <c r="D146" t="s">
        <v>590</v>
      </c>
      <c r="E146" t="s">
        <v>590</v>
      </c>
      <c r="F146" t="s">
        <v>590</v>
      </c>
      <c r="G146" t="s">
        <v>614</v>
      </c>
      <c r="H146" t="s">
        <v>639</v>
      </c>
      <c r="I146">
        <v>2</v>
      </c>
      <c r="J146">
        <v>-1.3</v>
      </c>
      <c r="K146">
        <v>-1.5</v>
      </c>
      <c r="L146">
        <v>0.5</v>
      </c>
      <c r="M146">
        <v>2.5</v>
      </c>
      <c r="N146">
        <v>0</v>
      </c>
      <c r="O146">
        <v>0.5</v>
      </c>
      <c r="P146">
        <v>1.5</v>
      </c>
      <c r="Q146">
        <v>2</v>
      </c>
      <c r="R146">
        <v>-1.5</v>
      </c>
      <c r="S146">
        <v>-1</v>
      </c>
      <c r="T146">
        <v>0.5</v>
      </c>
    </row>
    <row r="147" spans="1:20 16381:16381" x14ac:dyDescent="0.35">
      <c r="A147">
        <v>145</v>
      </c>
      <c r="B147" t="s">
        <v>652</v>
      </c>
      <c r="C147" s="30"/>
      <c r="D147" t="s">
        <v>604</v>
      </c>
      <c r="E147" t="s">
        <v>88</v>
      </c>
      <c r="F147" t="s">
        <v>597</v>
      </c>
      <c r="G147" t="s">
        <v>612</v>
      </c>
      <c r="H147" t="s">
        <v>638</v>
      </c>
      <c r="I147">
        <v>2</v>
      </c>
      <c r="J147">
        <v>-7</v>
      </c>
      <c r="K147">
        <v>3</v>
      </c>
      <c r="L147">
        <v>-1.5</v>
      </c>
      <c r="M147">
        <v>1.5</v>
      </c>
      <c r="N147">
        <v>-5.3</v>
      </c>
      <c r="O147">
        <v>4</v>
      </c>
      <c r="P147">
        <v>5.6</v>
      </c>
      <c r="Q147">
        <v>1.5</v>
      </c>
      <c r="R147">
        <v>-6</v>
      </c>
      <c r="S147">
        <v>4</v>
      </c>
      <c r="T147">
        <v>3</v>
      </c>
    </row>
    <row r="148" spans="1:20 16381:16381" x14ac:dyDescent="0.35">
      <c r="A148">
        <v>146</v>
      </c>
      <c r="B148" t="s">
        <v>675</v>
      </c>
      <c r="C148" s="30"/>
      <c r="D148" t="s">
        <v>82</v>
      </c>
      <c r="E148" t="s">
        <v>82</v>
      </c>
      <c r="F148" t="s">
        <v>82</v>
      </c>
      <c r="G148" t="s">
        <v>84</v>
      </c>
      <c r="H148" t="s">
        <v>85</v>
      </c>
      <c r="I148">
        <v>-1.7</v>
      </c>
      <c r="J148">
        <v>-1.3</v>
      </c>
      <c r="K148">
        <v>0.5</v>
      </c>
      <c r="L148">
        <v>0.5</v>
      </c>
      <c r="M148">
        <v>0</v>
      </c>
      <c r="N148">
        <v>0</v>
      </c>
      <c r="O148">
        <v>1.5</v>
      </c>
      <c r="P148">
        <v>5.6</v>
      </c>
      <c r="Q148">
        <v>-0.5</v>
      </c>
      <c r="R148">
        <v>-1.5</v>
      </c>
      <c r="S148">
        <v>1</v>
      </c>
      <c r="T148">
        <v>4</v>
      </c>
    </row>
    <row r="149" spans="1:20 16381:16381" x14ac:dyDescent="0.35">
      <c r="A149">
        <v>147</v>
      </c>
      <c r="B149" t="s">
        <v>1123</v>
      </c>
      <c r="C149" s="30"/>
      <c r="D149" t="s">
        <v>82</v>
      </c>
      <c r="E149" t="s">
        <v>88</v>
      </c>
      <c r="F149" t="s">
        <v>82</v>
      </c>
      <c r="G149" t="s">
        <v>84</v>
      </c>
      <c r="H149" t="s">
        <v>85</v>
      </c>
      <c r="I149">
        <v>-5.3</v>
      </c>
      <c r="J149">
        <v>-4.5999999999999996</v>
      </c>
      <c r="K149">
        <v>2.5</v>
      </c>
      <c r="L149">
        <v>5.7</v>
      </c>
      <c r="M149">
        <v>0.5</v>
      </c>
      <c r="N149">
        <v>-2</v>
      </c>
      <c r="O149">
        <v>2.5</v>
      </c>
      <c r="P149">
        <v>5.6</v>
      </c>
      <c r="Q149">
        <v>-1.5</v>
      </c>
      <c r="R149">
        <v>-3.5</v>
      </c>
      <c r="S149">
        <v>3</v>
      </c>
      <c r="T149">
        <v>6</v>
      </c>
    </row>
    <row r="150" spans="1:20 16381:16381" x14ac:dyDescent="0.35">
      <c r="A150">
        <v>148</v>
      </c>
      <c r="B150" t="s">
        <v>1077</v>
      </c>
      <c r="C150" s="30"/>
      <c r="D150" t="s">
        <v>592</v>
      </c>
      <c r="E150" t="s">
        <v>599</v>
      </c>
      <c r="F150" t="s">
        <v>86</v>
      </c>
      <c r="G150" t="s">
        <v>601</v>
      </c>
      <c r="H150" t="s">
        <v>22</v>
      </c>
      <c r="I150">
        <v>-1.7</v>
      </c>
      <c r="J150">
        <v>1</v>
      </c>
      <c r="K150">
        <v>-3.5</v>
      </c>
      <c r="L150">
        <v>2</v>
      </c>
      <c r="M150">
        <v>1.5</v>
      </c>
      <c r="N150">
        <v>-2</v>
      </c>
      <c r="O150">
        <v>1.5</v>
      </c>
      <c r="P150">
        <v>2.5</v>
      </c>
      <c r="Q150">
        <v>0</v>
      </c>
      <c r="R150">
        <v>-1.5</v>
      </c>
      <c r="S150">
        <v>-1</v>
      </c>
      <c r="T150">
        <v>3</v>
      </c>
    </row>
    <row r="151" spans="1:20 16381:16381" x14ac:dyDescent="0.35">
      <c r="A151">
        <v>149</v>
      </c>
      <c r="B151" t="s">
        <v>658</v>
      </c>
      <c r="C151" s="30"/>
      <c r="D151" t="s">
        <v>589</v>
      </c>
      <c r="E151" t="s">
        <v>599</v>
      </c>
      <c r="F151" t="s">
        <v>589</v>
      </c>
      <c r="G151" t="s">
        <v>591</v>
      </c>
      <c r="H151" t="s">
        <v>630</v>
      </c>
      <c r="I151">
        <v>2</v>
      </c>
      <c r="J151">
        <v>-4.5999999999999996</v>
      </c>
      <c r="K151">
        <v>-3.5</v>
      </c>
      <c r="L151">
        <v>5.7</v>
      </c>
      <c r="M151">
        <v>4.3</v>
      </c>
      <c r="N151">
        <v>-6</v>
      </c>
      <c r="O151">
        <v>2.5</v>
      </c>
      <c r="P151">
        <v>7</v>
      </c>
      <c r="Q151">
        <v>2.5</v>
      </c>
      <c r="R151">
        <v>-6</v>
      </c>
      <c r="S151">
        <v>-0.5</v>
      </c>
      <c r="T151">
        <v>6.3</v>
      </c>
    </row>
    <row r="152" spans="1:20 16381:16381" x14ac:dyDescent="0.35">
      <c r="A152">
        <v>150</v>
      </c>
      <c r="B152" t="s">
        <v>1207</v>
      </c>
      <c r="C152" s="30"/>
      <c r="D152" t="s">
        <v>602</v>
      </c>
      <c r="E152" t="s">
        <v>602</v>
      </c>
      <c r="F152" t="s">
        <v>602</v>
      </c>
      <c r="G152" t="s">
        <v>626</v>
      </c>
      <c r="H152" t="s">
        <v>647</v>
      </c>
      <c r="I152">
        <v>-1.3</v>
      </c>
      <c r="J152">
        <v>1</v>
      </c>
      <c r="K152">
        <v>1</v>
      </c>
      <c r="L152">
        <v>-1.5</v>
      </c>
      <c r="M152">
        <v>7.5</v>
      </c>
      <c r="N152">
        <v>7</v>
      </c>
      <c r="O152">
        <v>7</v>
      </c>
      <c r="P152">
        <v>7.5</v>
      </c>
      <c r="Q152">
        <v>1.5</v>
      </c>
      <c r="R152">
        <v>4</v>
      </c>
      <c r="S152">
        <v>4</v>
      </c>
      <c r="T152">
        <v>4.3</v>
      </c>
      <c r="XFA152" s="38"/>
    </row>
    <row r="153" spans="1:20 16381:16381" x14ac:dyDescent="0.35">
      <c r="A153">
        <v>151</v>
      </c>
      <c r="B153" t="s">
        <v>678</v>
      </c>
      <c r="C153" s="30"/>
      <c r="D153" t="s">
        <v>83</v>
      </c>
      <c r="E153" t="s">
        <v>83</v>
      </c>
      <c r="F153" t="s">
        <v>83</v>
      </c>
      <c r="G153" t="s">
        <v>594</v>
      </c>
      <c r="H153" t="s">
        <v>631</v>
      </c>
      <c r="I153">
        <v>-5.3</v>
      </c>
      <c r="J153">
        <v>-4.5999999999999996</v>
      </c>
      <c r="K153">
        <v>4.5999999999999996</v>
      </c>
      <c r="L153">
        <v>0.5</v>
      </c>
      <c r="M153">
        <v>-1.3</v>
      </c>
      <c r="N153">
        <v>-4.3</v>
      </c>
      <c r="O153">
        <v>7</v>
      </c>
      <c r="P153">
        <v>4</v>
      </c>
      <c r="Q153">
        <v>-2.75</v>
      </c>
      <c r="R153">
        <v>-4.7</v>
      </c>
      <c r="S153">
        <v>5.5</v>
      </c>
      <c r="T153">
        <v>3</v>
      </c>
      <c r="XFA153" s="38"/>
    </row>
    <row r="154" spans="1:20 16381:16381" x14ac:dyDescent="0.35">
      <c r="A154">
        <v>152</v>
      </c>
      <c r="B154" t="s">
        <v>271</v>
      </c>
      <c r="C154" s="30"/>
      <c r="D154" t="s">
        <v>82</v>
      </c>
      <c r="E154" t="s">
        <v>88</v>
      </c>
      <c r="F154" t="s">
        <v>82</v>
      </c>
      <c r="G154" t="s">
        <v>84</v>
      </c>
      <c r="H154" t="s">
        <v>85</v>
      </c>
      <c r="I154">
        <v>-2.5</v>
      </c>
      <c r="J154">
        <v>-2.5</v>
      </c>
      <c r="K154">
        <v>1</v>
      </c>
      <c r="L154">
        <v>2</v>
      </c>
      <c r="M154">
        <v>0.5</v>
      </c>
      <c r="N154">
        <v>-3.5</v>
      </c>
      <c r="O154">
        <v>1.5</v>
      </c>
      <c r="P154">
        <v>5.6</v>
      </c>
      <c r="Q154">
        <v>-0.5</v>
      </c>
      <c r="R154">
        <v>-3.5</v>
      </c>
      <c r="S154">
        <v>1.5</v>
      </c>
      <c r="T154">
        <v>4.3</v>
      </c>
      <c r="XFA154" s="38"/>
    </row>
    <row r="155" spans="1:20 16381:16381" x14ac:dyDescent="0.35">
      <c r="A155">
        <v>153</v>
      </c>
      <c r="B155" t="s">
        <v>337</v>
      </c>
      <c r="C155" s="30"/>
      <c r="D155" t="s">
        <v>86</v>
      </c>
      <c r="E155" t="s">
        <v>82</v>
      </c>
      <c r="F155" t="s">
        <v>82</v>
      </c>
      <c r="G155" t="s">
        <v>84</v>
      </c>
      <c r="H155" t="s">
        <v>85</v>
      </c>
      <c r="I155">
        <v>-2.5</v>
      </c>
      <c r="J155">
        <v>-4.5999999999999996</v>
      </c>
      <c r="K155">
        <v>-3.5</v>
      </c>
      <c r="L155">
        <v>6</v>
      </c>
      <c r="M155">
        <v>-1.5</v>
      </c>
      <c r="N155">
        <v>-4.3</v>
      </c>
      <c r="O155">
        <v>6</v>
      </c>
      <c r="P155">
        <v>7</v>
      </c>
      <c r="Q155">
        <v>-2.5</v>
      </c>
      <c r="R155">
        <v>-4.7</v>
      </c>
      <c r="S155">
        <v>1</v>
      </c>
      <c r="T155">
        <v>6.5</v>
      </c>
      <c r="XFA155" s="38"/>
    </row>
    <row r="156" spans="1:20 16381:16381" x14ac:dyDescent="0.35">
      <c r="A156">
        <v>154</v>
      </c>
      <c r="B156" t="s">
        <v>965</v>
      </c>
      <c r="C156" s="30"/>
      <c r="D156" t="s">
        <v>593</v>
      </c>
      <c r="E156" t="s">
        <v>627</v>
      </c>
      <c r="F156" t="s">
        <v>627</v>
      </c>
      <c r="G156" t="s">
        <v>628</v>
      </c>
      <c r="H156" t="s">
        <v>649</v>
      </c>
      <c r="I156">
        <v>0</v>
      </c>
      <c r="J156">
        <v>1</v>
      </c>
      <c r="K156">
        <v>-0.7</v>
      </c>
      <c r="L156">
        <v>0.5</v>
      </c>
      <c r="M156">
        <v>1.5</v>
      </c>
      <c r="N156">
        <v>2.5</v>
      </c>
      <c r="O156">
        <v>2.5</v>
      </c>
      <c r="P156">
        <v>0</v>
      </c>
      <c r="Q156">
        <v>0.7</v>
      </c>
      <c r="R156">
        <v>1</v>
      </c>
      <c r="S156">
        <v>1</v>
      </c>
      <c r="T156">
        <v>0</v>
      </c>
      <c r="XFA156" s="38"/>
    </row>
    <row r="157" spans="1:20 16381:16381" x14ac:dyDescent="0.35">
      <c r="A157">
        <v>155</v>
      </c>
      <c r="B157" t="s">
        <v>1087</v>
      </c>
      <c r="C157" s="30"/>
      <c r="D157" t="s">
        <v>607</v>
      </c>
      <c r="E157" t="s">
        <v>615</v>
      </c>
      <c r="F157" t="s">
        <v>88</v>
      </c>
      <c r="G157" t="s">
        <v>89</v>
      </c>
      <c r="H157" t="s">
        <v>90</v>
      </c>
      <c r="I157">
        <v>-2.5</v>
      </c>
      <c r="J157">
        <v>1</v>
      </c>
      <c r="K157">
        <v>0.5</v>
      </c>
      <c r="L157">
        <v>2</v>
      </c>
      <c r="M157">
        <v>4.3</v>
      </c>
      <c r="N157">
        <v>-6</v>
      </c>
      <c r="O157">
        <v>4</v>
      </c>
      <c r="P157">
        <v>4</v>
      </c>
      <c r="Q157">
        <v>0.5</v>
      </c>
      <c r="R157">
        <v>-4.3</v>
      </c>
      <c r="S157">
        <v>2</v>
      </c>
      <c r="T157">
        <v>4</v>
      </c>
    </row>
    <row r="158" spans="1:20 16381:16381" x14ac:dyDescent="0.35">
      <c r="A158">
        <v>156</v>
      </c>
      <c r="B158" t="s">
        <v>950</v>
      </c>
      <c r="C158" s="30"/>
      <c r="D158" t="s">
        <v>602</v>
      </c>
      <c r="E158" t="s">
        <v>610</v>
      </c>
      <c r="F158" t="s">
        <v>616</v>
      </c>
      <c r="G158" t="s">
        <v>1478</v>
      </c>
      <c r="H158" t="s">
        <v>15</v>
      </c>
      <c r="I158">
        <v>-2.5</v>
      </c>
      <c r="J158">
        <v>3</v>
      </c>
      <c r="K158">
        <v>3</v>
      </c>
      <c r="L158">
        <v>-1.5</v>
      </c>
      <c r="M158">
        <v>0.5</v>
      </c>
      <c r="N158">
        <v>0.5</v>
      </c>
      <c r="O158">
        <v>6</v>
      </c>
      <c r="P158">
        <v>0</v>
      </c>
      <c r="Q158">
        <v>-0.5</v>
      </c>
      <c r="R158">
        <v>1</v>
      </c>
      <c r="S158">
        <v>0</v>
      </c>
      <c r="T158">
        <v>-0.5</v>
      </c>
    </row>
    <row r="159" spans="1:20 16381:16381" x14ac:dyDescent="0.35">
      <c r="A159">
        <v>157</v>
      </c>
      <c r="B159" t="s">
        <v>1167</v>
      </c>
      <c r="C159" s="30"/>
      <c r="D159" t="s">
        <v>592</v>
      </c>
      <c r="E159" t="s">
        <v>606</v>
      </c>
      <c r="F159" t="s">
        <v>606</v>
      </c>
      <c r="G159" t="s">
        <v>622</v>
      </c>
      <c r="H159" t="s">
        <v>643</v>
      </c>
      <c r="I159">
        <v>-1.3</v>
      </c>
      <c r="J159">
        <v>1</v>
      </c>
      <c r="K159">
        <v>-0.7</v>
      </c>
      <c r="L159">
        <v>2</v>
      </c>
      <c r="M159">
        <v>-1.3</v>
      </c>
      <c r="N159">
        <v>4</v>
      </c>
      <c r="O159">
        <v>7</v>
      </c>
      <c r="P159">
        <v>0.5</v>
      </c>
      <c r="Q159">
        <v>-0.5</v>
      </c>
      <c r="R159">
        <v>1.5</v>
      </c>
      <c r="S159">
        <v>3</v>
      </c>
      <c r="T159">
        <v>0.5</v>
      </c>
    </row>
    <row r="160" spans="1:20 16381:16381" x14ac:dyDescent="0.35">
      <c r="A160">
        <v>158</v>
      </c>
      <c r="B160" t="s">
        <v>1039</v>
      </c>
      <c r="C160" s="30"/>
      <c r="D160" t="s">
        <v>82</v>
      </c>
      <c r="E160" t="s">
        <v>82</v>
      </c>
      <c r="F160" t="s">
        <v>82</v>
      </c>
      <c r="G160" t="s">
        <v>84</v>
      </c>
      <c r="H160" t="s">
        <v>85</v>
      </c>
      <c r="I160">
        <v>-2.5</v>
      </c>
      <c r="J160">
        <v>-1.3</v>
      </c>
      <c r="K160">
        <v>0.5</v>
      </c>
      <c r="L160">
        <v>2</v>
      </c>
      <c r="M160">
        <v>0</v>
      </c>
      <c r="N160">
        <v>-5.3</v>
      </c>
      <c r="O160">
        <v>4</v>
      </c>
      <c r="P160">
        <v>7</v>
      </c>
      <c r="Q160">
        <v>-1</v>
      </c>
      <c r="R160">
        <v>-4.3</v>
      </c>
      <c r="S160">
        <v>2</v>
      </c>
      <c r="T160">
        <v>5.5</v>
      </c>
    </row>
    <row r="161" spans="1:20" x14ac:dyDescent="0.35">
      <c r="A161">
        <v>159</v>
      </c>
      <c r="B161" t="s">
        <v>984</v>
      </c>
      <c r="C161" s="30"/>
      <c r="D161" t="s">
        <v>593</v>
      </c>
      <c r="E161" t="s">
        <v>589</v>
      </c>
      <c r="F161" t="s">
        <v>589</v>
      </c>
      <c r="G161" t="s">
        <v>591</v>
      </c>
      <c r="H161" t="s">
        <v>630</v>
      </c>
      <c r="I161">
        <v>-1.3</v>
      </c>
      <c r="J161">
        <v>1</v>
      </c>
      <c r="K161">
        <v>-0.7</v>
      </c>
      <c r="L161">
        <v>0.5</v>
      </c>
      <c r="M161">
        <v>1.5</v>
      </c>
      <c r="N161">
        <v>0</v>
      </c>
      <c r="O161">
        <v>-1.3</v>
      </c>
      <c r="P161">
        <v>4</v>
      </c>
      <c r="Q161">
        <v>0.5</v>
      </c>
      <c r="R161">
        <v>0</v>
      </c>
      <c r="S161">
        <v>-1</v>
      </c>
      <c r="T161">
        <v>3</v>
      </c>
    </row>
    <row r="162" spans="1:20" x14ac:dyDescent="0.35">
      <c r="A162">
        <v>160</v>
      </c>
      <c r="B162" t="s">
        <v>1013</v>
      </c>
      <c r="C162" s="30"/>
      <c r="D162" t="s">
        <v>593</v>
      </c>
      <c r="E162" t="s">
        <v>83</v>
      </c>
      <c r="F162" t="s">
        <v>82</v>
      </c>
      <c r="G162" t="s">
        <v>84</v>
      </c>
      <c r="H162" t="s">
        <v>85</v>
      </c>
      <c r="I162">
        <v>-4</v>
      </c>
      <c r="J162">
        <v>3</v>
      </c>
      <c r="K162">
        <v>-1.5</v>
      </c>
      <c r="L162">
        <v>3</v>
      </c>
      <c r="M162">
        <v>-1.3</v>
      </c>
      <c r="N162">
        <v>-3.5</v>
      </c>
      <c r="O162">
        <v>6</v>
      </c>
      <c r="P162">
        <v>2.5</v>
      </c>
      <c r="Q162">
        <v>-2.5</v>
      </c>
      <c r="R162">
        <v>-1.5</v>
      </c>
      <c r="S162">
        <v>1.5</v>
      </c>
      <c r="T162">
        <v>4</v>
      </c>
    </row>
    <row r="163" spans="1:20" x14ac:dyDescent="0.35">
      <c r="A163">
        <v>161</v>
      </c>
      <c r="B163" t="s">
        <v>1042</v>
      </c>
      <c r="C163" s="30"/>
      <c r="D163" t="s">
        <v>82</v>
      </c>
      <c r="E163" t="s">
        <v>599</v>
      </c>
      <c r="F163" t="s">
        <v>88</v>
      </c>
      <c r="G163" t="s">
        <v>89</v>
      </c>
      <c r="H163" t="s">
        <v>90</v>
      </c>
      <c r="I163">
        <v>-1.7</v>
      </c>
      <c r="J163">
        <v>-1.3</v>
      </c>
      <c r="K163">
        <v>1</v>
      </c>
      <c r="L163">
        <v>2</v>
      </c>
      <c r="M163">
        <v>2.5</v>
      </c>
      <c r="N163">
        <v>-6</v>
      </c>
      <c r="O163">
        <v>2.5</v>
      </c>
      <c r="P163">
        <v>4</v>
      </c>
      <c r="Q163">
        <v>0.5</v>
      </c>
      <c r="R163">
        <v>-4.7</v>
      </c>
      <c r="S163">
        <v>2</v>
      </c>
      <c r="T163">
        <v>4</v>
      </c>
    </row>
    <row r="164" spans="1:20" x14ac:dyDescent="0.35">
      <c r="A164">
        <v>162</v>
      </c>
      <c r="B164" t="s">
        <v>671</v>
      </c>
      <c r="C164" s="30"/>
      <c r="D164" t="s">
        <v>589</v>
      </c>
      <c r="E164" t="s">
        <v>597</v>
      </c>
      <c r="F164" t="s">
        <v>88</v>
      </c>
      <c r="G164" t="s">
        <v>89</v>
      </c>
      <c r="H164" t="s">
        <v>90</v>
      </c>
      <c r="I164">
        <v>0.5</v>
      </c>
      <c r="J164">
        <v>-2.5</v>
      </c>
      <c r="K164">
        <v>-1.5</v>
      </c>
      <c r="L164">
        <v>3</v>
      </c>
      <c r="M164">
        <v>0.5</v>
      </c>
      <c r="N164">
        <v>-5.3</v>
      </c>
      <c r="O164">
        <v>6</v>
      </c>
      <c r="P164">
        <v>1.5</v>
      </c>
      <c r="Q164">
        <v>0.7</v>
      </c>
      <c r="R164">
        <v>-4.7</v>
      </c>
      <c r="S164">
        <v>1.5</v>
      </c>
      <c r="T164">
        <v>3</v>
      </c>
    </row>
    <row r="165" spans="1:20" x14ac:dyDescent="0.35">
      <c r="A165">
        <v>163</v>
      </c>
      <c r="B165" t="s">
        <v>1415</v>
      </c>
      <c r="C165" s="30"/>
      <c r="D165" t="s">
        <v>590</v>
      </c>
      <c r="E165" t="s">
        <v>87</v>
      </c>
      <c r="F165" t="s">
        <v>590</v>
      </c>
      <c r="G165" t="s">
        <v>614</v>
      </c>
      <c r="H165" t="s">
        <v>646</v>
      </c>
      <c r="I165">
        <v>3</v>
      </c>
      <c r="J165">
        <v>-1.3</v>
      </c>
      <c r="K165">
        <v>-0.7</v>
      </c>
      <c r="L165">
        <v>0.5</v>
      </c>
      <c r="M165">
        <v>2.5</v>
      </c>
      <c r="N165">
        <v>-5.3</v>
      </c>
      <c r="O165">
        <v>2.5</v>
      </c>
      <c r="P165">
        <v>2.5</v>
      </c>
      <c r="Q165">
        <v>2.5</v>
      </c>
      <c r="R165">
        <v>-4.3</v>
      </c>
      <c r="S165">
        <v>1</v>
      </c>
      <c r="T165">
        <v>1.5</v>
      </c>
    </row>
    <row r="166" spans="1:20" x14ac:dyDescent="0.35">
      <c r="A166">
        <v>164</v>
      </c>
      <c r="B166" t="s">
        <v>1433</v>
      </c>
      <c r="C166" s="30"/>
      <c r="D166" t="s">
        <v>589</v>
      </c>
      <c r="E166" t="s">
        <v>599</v>
      </c>
      <c r="F166" t="s">
        <v>589</v>
      </c>
      <c r="G166" t="s">
        <v>591</v>
      </c>
      <c r="H166" t="s">
        <v>630</v>
      </c>
      <c r="I166">
        <v>0.5</v>
      </c>
      <c r="J166">
        <v>-2.5</v>
      </c>
      <c r="K166">
        <v>-3.5</v>
      </c>
      <c r="L166">
        <v>2</v>
      </c>
      <c r="M166">
        <v>4.3</v>
      </c>
      <c r="N166">
        <v>-6</v>
      </c>
      <c r="O166">
        <v>0.5</v>
      </c>
      <c r="P166">
        <v>5.6</v>
      </c>
      <c r="Q166">
        <v>1.5</v>
      </c>
      <c r="R166">
        <v>-5.7</v>
      </c>
      <c r="S166">
        <v>-1.5</v>
      </c>
      <c r="T166">
        <v>4.3</v>
      </c>
    </row>
    <row r="167" spans="1:20" x14ac:dyDescent="0.35">
      <c r="A167">
        <v>165</v>
      </c>
      <c r="B167" t="s">
        <v>1523</v>
      </c>
      <c r="C167" s="30"/>
      <c r="D167" t="s">
        <v>595</v>
      </c>
      <c r="E167" t="s">
        <v>83</v>
      </c>
      <c r="F167" t="s">
        <v>606</v>
      </c>
      <c r="G167" t="s">
        <v>622</v>
      </c>
      <c r="H167" t="s">
        <v>643</v>
      </c>
      <c r="I167">
        <v>0</v>
      </c>
      <c r="J167">
        <v>3.5</v>
      </c>
      <c r="K167">
        <v>0.5</v>
      </c>
      <c r="L167">
        <v>0.5</v>
      </c>
      <c r="M167">
        <v>0</v>
      </c>
      <c r="N167">
        <v>-2</v>
      </c>
      <c r="O167">
        <v>4</v>
      </c>
      <c r="P167">
        <v>1.5</v>
      </c>
      <c r="Q167">
        <v>0</v>
      </c>
      <c r="R167">
        <v>0.5</v>
      </c>
      <c r="S167">
        <v>2</v>
      </c>
      <c r="T167">
        <v>0.5</v>
      </c>
    </row>
    <row r="168" spans="1:20" x14ac:dyDescent="0.35">
      <c r="A168">
        <v>166</v>
      </c>
      <c r="B168" t="s">
        <v>1524</v>
      </c>
      <c r="C168" s="30"/>
      <c r="D168" t="s">
        <v>592</v>
      </c>
      <c r="E168" t="s">
        <v>590</v>
      </c>
      <c r="F168" t="s">
        <v>589</v>
      </c>
      <c r="G168" t="s">
        <v>591</v>
      </c>
      <c r="H168" t="s">
        <v>630</v>
      </c>
      <c r="I168">
        <v>0</v>
      </c>
      <c r="J168">
        <v>1</v>
      </c>
      <c r="K168">
        <v>-4.3</v>
      </c>
      <c r="L168">
        <v>3</v>
      </c>
      <c r="M168">
        <v>2.5</v>
      </c>
      <c r="N168">
        <v>0</v>
      </c>
      <c r="O168">
        <v>0.5</v>
      </c>
      <c r="P168">
        <v>2.5</v>
      </c>
      <c r="Q168">
        <v>1</v>
      </c>
      <c r="R168">
        <v>0</v>
      </c>
      <c r="S168">
        <v>-2</v>
      </c>
      <c r="T168">
        <v>4</v>
      </c>
    </row>
    <row r="169" spans="1:20" x14ac:dyDescent="0.35">
      <c r="A169">
        <v>167</v>
      </c>
      <c r="B169" t="s">
        <v>1089</v>
      </c>
      <c r="C169" s="30"/>
      <c r="D169" t="s">
        <v>86</v>
      </c>
      <c r="E169" t="s">
        <v>597</v>
      </c>
      <c r="F169" t="s">
        <v>82</v>
      </c>
      <c r="G169" t="s">
        <v>84</v>
      </c>
      <c r="H169" t="s">
        <v>85</v>
      </c>
      <c r="I169">
        <v>-1.3</v>
      </c>
      <c r="J169">
        <v>-1.3</v>
      </c>
      <c r="K169">
        <v>-1.5</v>
      </c>
      <c r="L169">
        <v>5.3</v>
      </c>
      <c r="M169">
        <v>0.5</v>
      </c>
      <c r="N169">
        <v>-5.3</v>
      </c>
      <c r="O169">
        <v>6</v>
      </c>
      <c r="P169">
        <v>2.5</v>
      </c>
      <c r="Q169">
        <v>0</v>
      </c>
      <c r="R169">
        <v>-4.3</v>
      </c>
      <c r="S169">
        <v>1.5</v>
      </c>
      <c r="T169">
        <v>4.3</v>
      </c>
    </row>
    <row r="170" spans="1:20" x14ac:dyDescent="0.35">
      <c r="A170">
        <v>168</v>
      </c>
      <c r="B170" t="s">
        <v>350</v>
      </c>
      <c r="C170" s="30"/>
      <c r="D170" t="s">
        <v>608</v>
      </c>
      <c r="E170" t="s">
        <v>87</v>
      </c>
      <c r="F170" t="s">
        <v>590</v>
      </c>
      <c r="G170" t="s">
        <v>614</v>
      </c>
      <c r="H170" t="s">
        <v>639</v>
      </c>
      <c r="I170">
        <v>2</v>
      </c>
      <c r="J170">
        <v>-1.3</v>
      </c>
      <c r="K170">
        <v>-1.5</v>
      </c>
      <c r="L170">
        <v>-1.5</v>
      </c>
      <c r="M170">
        <v>2.5</v>
      </c>
      <c r="N170">
        <v>-3.5</v>
      </c>
      <c r="O170">
        <v>2.5</v>
      </c>
      <c r="P170">
        <v>1.5</v>
      </c>
      <c r="Q170">
        <v>2</v>
      </c>
      <c r="R170">
        <v>-3</v>
      </c>
      <c r="S170">
        <v>0</v>
      </c>
      <c r="T170">
        <v>0.3</v>
      </c>
    </row>
    <row r="171" spans="1:20" x14ac:dyDescent="0.35">
      <c r="A171">
        <v>169</v>
      </c>
      <c r="B171" t="s">
        <v>683</v>
      </c>
      <c r="C171" s="30"/>
      <c r="D171" t="s">
        <v>595</v>
      </c>
      <c r="E171" t="s">
        <v>589</v>
      </c>
      <c r="F171" t="s">
        <v>589</v>
      </c>
      <c r="G171" t="s">
        <v>591</v>
      </c>
      <c r="H171" t="s">
        <v>630</v>
      </c>
      <c r="I171">
        <v>-1.7</v>
      </c>
      <c r="J171">
        <v>1</v>
      </c>
      <c r="K171">
        <v>1</v>
      </c>
      <c r="L171">
        <v>0.5</v>
      </c>
      <c r="M171">
        <v>2.5</v>
      </c>
      <c r="N171">
        <v>0</v>
      </c>
      <c r="O171">
        <v>-3</v>
      </c>
      <c r="P171">
        <v>2.5</v>
      </c>
      <c r="Q171">
        <v>0.5</v>
      </c>
      <c r="R171">
        <v>0</v>
      </c>
      <c r="S171">
        <v>-1</v>
      </c>
      <c r="T171">
        <v>1.5</v>
      </c>
    </row>
    <row r="172" spans="1:20" x14ac:dyDescent="0.35">
      <c r="A172">
        <v>170</v>
      </c>
      <c r="B172" t="s">
        <v>1151</v>
      </c>
      <c r="C172" s="30"/>
      <c r="D172" t="s">
        <v>592</v>
      </c>
      <c r="E172" t="s">
        <v>595</v>
      </c>
      <c r="F172" t="s">
        <v>607</v>
      </c>
      <c r="G172" t="s">
        <v>609</v>
      </c>
      <c r="H172" t="s">
        <v>636</v>
      </c>
      <c r="I172">
        <v>-4</v>
      </c>
      <c r="J172">
        <v>3</v>
      </c>
      <c r="K172">
        <v>-0.7</v>
      </c>
      <c r="L172">
        <v>5.3</v>
      </c>
      <c r="M172">
        <v>-3</v>
      </c>
      <c r="N172">
        <v>6</v>
      </c>
      <c r="O172">
        <v>2.5</v>
      </c>
      <c r="P172">
        <v>2.5</v>
      </c>
      <c r="Q172">
        <v>-3.25</v>
      </c>
      <c r="R172">
        <v>4</v>
      </c>
      <c r="S172">
        <v>1</v>
      </c>
      <c r="T172">
        <v>4.3</v>
      </c>
    </row>
    <row r="173" spans="1:20" x14ac:dyDescent="0.35">
      <c r="A173">
        <v>171</v>
      </c>
      <c r="B173" t="s">
        <v>1125</v>
      </c>
      <c r="C173" s="30"/>
      <c r="D173" t="s">
        <v>82</v>
      </c>
      <c r="E173" t="s">
        <v>589</v>
      </c>
      <c r="F173" t="s">
        <v>589</v>
      </c>
      <c r="G173" t="s">
        <v>591</v>
      </c>
      <c r="H173" t="s">
        <v>630</v>
      </c>
      <c r="I173">
        <v>-1.3</v>
      </c>
      <c r="J173">
        <v>-4.5999999999999996</v>
      </c>
      <c r="K173">
        <v>0.5</v>
      </c>
      <c r="L173">
        <v>5.3</v>
      </c>
      <c r="M173">
        <v>1.5</v>
      </c>
      <c r="N173">
        <v>0</v>
      </c>
      <c r="O173">
        <v>-3</v>
      </c>
      <c r="P173">
        <v>2.5</v>
      </c>
      <c r="Q173">
        <v>0.5</v>
      </c>
      <c r="R173">
        <v>-3</v>
      </c>
      <c r="S173">
        <v>-1.5</v>
      </c>
      <c r="T173">
        <v>4.3</v>
      </c>
    </row>
    <row r="174" spans="1:20" x14ac:dyDescent="0.35">
      <c r="A174">
        <v>172</v>
      </c>
      <c r="B174" t="s">
        <v>1213</v>
      </c>
      <c r="C174" s="30"/>
      <c r="D174" t="s">
        <v>86</v>
      </c>
      <c r="E174" t="s">
        <v>590</v>
      </c>
      <c r="F174" t="s">
        <v>589</v>
      </c>
      <c r="G174" t="s">
        <v>591</v>
      </c>
      <c r="H174" t="s">
        <v>630</v>
      </c>
      <c r="I174">
        <v>-1.3</v>
      </c>
      <c r="J174">
        <v>-2.5</v>
      </c>
      <c r="K174">
        <v>-1.5</v>
      </c>
      <c r="L174">
        <v>6</v>
      </c>
      <c r="M174">
        <v>4.3</v>
      </c>
      <c r="N174">
        <v>-2</v>
      </c>
      <c r="O174">
        <v>0.5</v>
      </c>
      <c r="P174">
        <v>1.5</v>
      </c>
      <c r="Q174">
        <v>1</v>
      </c>
      <c r="R174">
        <v>-3</v>
      </c>
      <c r="S174">
        <v>-1</v>
      </c>
      <c r="T174">
        <v>5.5</v>
      </c>
    </row>
    <row r="175" spans="1:20" x14ac:dyDescent="0.35">
      <c r="A175">
        <v>173</v>
      </c>
      <c r="B175" t="s">
        <v>704</v>
      </c>
      <c r="C175" s="30"/>
      <c r="D175" t="s">
        <v>608</v>
      </c>
      <c r="E175" t="s">
        <v>599</v>
      </c>
      <c r="F175" t="s">
        <v>589</v>
      </c>
      <c r="G175" t="s">
        <v>591</v>
      </c>
      <c r="H175" t="s">
        <v>630</v>
      </c>
      <c r="I175">
        <v>2</v>
      </c>
      <c r="J175">
        <v>-1.3</v>
      </c>
      <c r="K175">
        <v>-1.5</v>
      </c>
      <c r="L175">
        <v>-1.5</v>
      </c>
      <c r="M175">
        <v>2.5</v>
      </c>
      <c r="N175">
        <v>-5.3</v>
      </c>
      <c r="O175">
        <v>2.5</v>
      </c>
      <c r="P175">
        <v>5.6</v>
      </c>
      <c r="Q175">
        <v>2</v>
      </c>
      <c r="R175">
        <v>-4.3</v>
      </c>
      <c r="S175">
        <v>0</v>
      </c>
      <c r="T175">
        <v>3</v>
      </c>
    </row>
    <row r="176" spans="1:20" x14ac:dyDescent="0.35">
      <c r="A176">
        <v>174</v>
      </c>
      <c r="B176" t="s">
        <v>703</v>
      </c>
      <c r="C176" s="30"/>
      <c r="D176" t="s">
        <v>592</v>
      </c>
      <c r="E176" t="s">
        <v>599</v>
      </c>
      <c r="F176" t="s">
        <v>86</v>
      </c>
      <c r="G176" t="s">
        <v>601</v>
      </c>
      <c r="H176" t="s">
        <v>22</v>
      </c>
      <c r="I176">
        <v>-2.5</v>
      </c>
      <c r="J176">
        <v>1</v>
      </c>
      <c r="K176">
        <v>-0.7</v>
      </c>
      <c r="L176">
        <v>3</v>
      </c>
      <c r="M176">
        <v>1.5</v>
      </c>
      <c r="N176">
        <v>-5.3</v>
      </c>
      <c r="O176">
        <v>1.5</v>
      </c>
      <c r="P176">
        <v>7</v>
      </c>
      <c r="Q176">
        <v>-0.25</v>
      </c>
      <c r="R176">
        <v>-3.5</v>
      </c>
      <c r="S176">
        <v>0</v>
      </c>
      <c r="T176">
        <v>5.7</v>
      </c>
    </row>
    <row r="177" spans="1:20" x14ac:dyDescent="0.35">
      <c r="A177">
        <v>175</v>
      </c>
      <c r="B177" t="s">
        <v>365</v>
      </c>
      <c r="C177" s="30"/>
      <c r="D177" t="s">
        <v>82</v>
      </c>
      <c r="E177" t="s">
        <v>82</v>
      </c>
      <c r="F177" t="s">
        <v>82</v>
      </c>
      <c r="G177" t="s">
        <v>84</v>
      </c>
      <c r="H177" t="s">
        <v>85</v>
      </c>
      <c r="I177">
        <v>-1.3</v>
      </c>
      <c r="J177">
        <v>-4.5999999999999996</v>
      </c>
      <c r="K177">
        <v>1</v>
      </c>
      <c r="L177">
        <v>2</v>
      </c>
      <c r="M177">
        <v>0.5</v>
      </c>
      <c r="N177">
        <v>0.5</v>
      </c>
      <c r="O177">
        <v>1.5</v>
      </c>
      <c r="P177">
        <v>1.5</v>
      </c>
      <c r="Q177">
        <v>0</v>
      </c>
      <c r="R177">
        <v>-2</v>
      </c>
      <c r="S177">
        <v>1.5</v>
      </c>
      <c r="T177">
        <v>1.5</v>
      </c>
    </row>
    <row r="178" spans="1:20" x14ac:dyDescent="0.35">
      <c r="A178">
        <v>176</v>
      </c>
      <c r="B178" t="s">
        <v>988</v>
      </c>
      <c r="C178" s="30"/>
      <c r="D178" t="s">
        <v>86</v>
      </c>
      <c r="E178" t="s">
        <v>590</v>
      </c>
      <c r="F178" t="s">
        <v>589</v>
      </c>
      <c r="G178" t="s">
        <v>591</v>
      </c>
      <c r="H178" t="s">
        <v>630</v>
      </c>
      <c r="I178">
        <v>-1.3</v>
      </c>
      <c r="J178">
        <v>-1.3</v>
      </c>
      <c r="K178">
        <v>-0.7</v>
      </c>
      <c r="L178">
        <v>2</v>
      </c>
      <c r="M178">
        <v>4.3</v>
      </c>
      <c r="N178">
        <v>-5.3</v>
      </c>
      <c r="O178">
        <v>1.5</v>
      </c>
      <c r="P178">
        <v>2.5</v>
      </c>
      <c r="Q178">
        <v>1</v>
      </c>
      <c r="R178">
        <v>-4.3</v>
      </c>
      <c r="S178">
        <v>0</v>
      </c>
      <c r="T178">
        <v>3</v>
      </c>
    </row>
    <row r="179" spans="1:20" x14ac:dyDescent="0.35">
      <c r="A179">
        <v>177</v>
      </c>
      <c r="B179" t="s">
        <v>721</v>
      </c>
      <c r="C179" s="30"/>
      <c r="D179" t="s">
        <v>607</v>
      </c>
      <c r="E179" t="s">
        <v>590</v>
      </c>
      <c r="F179" t="s">
        <v>86</v>
      </c>
      <c r="G179" t="s">
        <v>601</v>
      </c>
      <c r="H179" t="s">
        <v>22</v>
      </c>
      <c r="I179">
        <v>-5.3</v>
      </c>
      <c r="J179">
        <v>1</v>
      </c>
      <c r="K179">
        <v>0.5</v>
      </c>
      <c r="L179">
        <v>2</v>
      </c>
      <c r="M179">
        <v>2.5</v>
      </c>
      <c r="N179">
        <v>-2</v>
      </c>
      <c r="O179">
        <v>0.5</v>
      </c>
      <c r="P179">
        <v>1.5</v>
      </c>
      <c r="Q179">
        <v>-0.5</v>
      </c>
      <c r="R179">
        <v>-1.5</v>
      </c>
      <c r="S179">
        <v>0</v>
      </c>
      <c r="T179">
        <v>1.5</v>
      </c>
    </row>
    <row r="180" spans="1:20" x14ac:dyDescent="0.35">
      <c r="A180">
        <v>178</v>
      </c>
      <c r="B180" t="s">
        <v>963</v>
      </c>
      <c r="C180" s="30"/>
      <c r="D180" t="s">
        <v>589</v>
      </c>
      <c r="E180" t="s">
        <v>589</v>
      </c>
      <c r="F180" t="s">
        <v>589</v>
      </c>
      <c r="G180" t="s">
        <v>591</v>
      </c>
      <c r="H180" t="s">
        <v>630</v>
      </c>
      <c r="I180">
        <v>0.5</v>
      </c>
      <c r="J180">
        <v>-1.3</v>
      </c>
      <c r="K180">
        <v>-1.5</v>
      </c>
      <c r="L180">
        <v>3</v>
      </c>
      <c r="M180">
        <v>2.5</v>
      </c>
      <c r="N180">
        <v>-4.3</v>
      </c>
      <c r="O180">
        <v>-2</v>
      </c>
      <c r="P180">
        <v>5.6</v>
      </c>
      <c r="Q180">
        <v>1.3</v>
      </c>
      <c r="R180">
        <v>-3.5</v>
      </c>
      <c r="S180">
        <v>-2</v>
      </c>
      <c r="T180">
        <v>5.5</v>
      </c>
    </row>
    <row r="181" spans="1:20" x14ac:dyDescent="0.35">
      <c r="A181">
        <v>179</v>
      </c>
      <c r="B181" t="s">
        <v>1153</v>
      </c>
      <c r="C181" s="30"/>
      <c r="D181" t="s">
        <v>82</v>
      </c>
      <c r="E181" t="s">
        <v>599</v>
      </c>
      <c r="F181" t="s">
        <v>82</v>
      </c>
      <c r="G181" t="s">
        <v>84</v>
      </c>
      <c r="H181" t="s">
        <v>85</v>
      </c>
      <c r="I181">
        <v>-2.5</v>
      </c>
      <c r="J181">
        <v>-4.5999999999999996</v>
      </c>
      <c r="K181">
        <v>1</v>
      </c>
      <c r="L181">
        <v>5.3</v>
      </c>
      <c r="M181">
        <v>2.5</v>
      </c>
      <c r="N181">
        <v>-4.3</v>
      </c>
      <c r="O181">
        <v>0.5</v>
      </c>
      <c r="P181">
        <v>7</v>
      </c>
      <c r="Q181">
        <v>0</v>
      </c>
      <c r="R181">
        <v>-4.7</v>
      </c>
      <c r="S181">
        <v>1</v>
      </c>
      <c r="T181">
        <v>6</v>
      </c>
    </row>
    <row r="182" spans="1:20" x14ac:dyDescent="0.35">
      <c r="A182">
        <v>180</v>
      </c>
      <c r="B182" t="s">
        <v>1091</v>
      </c>
      <c r="C182" s="30"/>
      <c r="D182" t="s">
        <v>589</v>
      </c>
      <c r="E182" t="s">
        <v>599</v>
      </c>
      <c r="F182" t="s">
        <v>589</v>
      </c>
      <c r="G182" t="s">
        <v>591</v>
      </c>
      <c r="H182" t="s">
        <v>630</v>
      </c>
      <c r="I182">
        <v>1</v>
      </c>
      <c r="J182">
        <v>-4.5999999999999996</v>
      </c>
      <c r="K182">
        <v>-3.5</v>
      </c>
      <c r="L182">
        <v>2</v>
      </c>
      <c r="M182">
        <v>1.5</v>
      </c>
      <c r="N182">
        <v>-3.5</v>
      </c>
      <c r="O182">
        <v>1.5</v>
      </c>
      <c r="P182">
        <v>4</v>
      </c>
      <c r="Q182">
        <v>1.3</v>
      </c>
      <c r="R182">
        <v>-4.3</v>
      </c>
      <c r="S182">
        <v>-1</v>
      </c>
      <c r="T182">
        <v>4</v>
      </c>
    </row>
    <row r="183" spans="1:20" x14ac:dyDescent="0.35">
      <c r="A183">
        <v>181</v>
      </c>
      <c r="B183" t="s">
        <v>1093</v>
      </c>
      <c r="C183" s="30"/>
      <c r="D183" t="s">
        <v>82</v>
      </c>
      <c r="E183" t="s">
        <v>82</v>
      </c>
      <c r="F183" t="s">
        <v>82</v>
      </c>
      <c r="G183" t="s">
        <v>84</v>
      </c>
      <c r="H183" t="s">
        <v>85</v>
      </c>
      <c r="I183">
        <v>-2.5</v>
      </c>
      <c r="J183">
        <v>-1.3</v>
      </c>
      <c r="K183">
        <v>0.5</v>
      </c>
      <c r="L183">
        <v>6</v>
      </c>
      <c r="M183">
        <v>-1.5</v>
      </c>
      <c r="N183">
        <v>-2</v>
      </c>
      <c r="O183">
        <v>4</v>
      </c>
      <c r="P183">
        <v>5.6</v>
      </c>
      <c r="Q183">
        <v>-2.5</v>
      </c>
      <c r="R183">
        <v>-2</v>
      </c>
      <c r="S183">
        <v>2</v>
      </c>
      <c r="T183">
        <v>6.3</v>
      </c>
    </row>
    <row r="184" spans="1:20" x14ac:dyDescent="0.35">
      <c r="A184">
        <v>182</v>
      </c>
      <c r="B184" t="s">
        <v>681</v>
      </c>
      <c r="C184" s="30"/>
      <c r="D184" t="s">
        <v>616</v>
      </c>
      <c r="E184" t="s">
        <v>88</v>
      </c>
      <c r="F184" t="s">
        <v>86</v>
      </c>
      <c r="G184" t="s">
        <v>601</v>
      </c>
      <c r="H184" t="s">
        <v>22</v>
      </c>
      <c r="I184">
        <v>-2.5</v>
      </c>
      <c r="J184">
        <v>1</v>
      </c>
      <c r="K184">
        <v>-3.5</v>
      </c>
      <c r="L184">
        <v>-1.5</v>
      </c>
      <c r="M184">
        <v>0.5</v>
      </c>
      <c r="N184">
        <v>-2</v>
      </c>
      <c r="O184">
        <v>1.5</v>
      </c>
      <c r="P184">
        <v>4</v>
      </c>
      <c r="Q184">
        <v>-0.5</v>
      </c>
      <c r="R184">
        <v>-1.5</v>
      </c>
      <c r="S184">
        <v>-1</v>
      </c>
      <c r="T184">
        <v>1.5</v>
      </c>
    </row>
    <row r="185" spans="1:20" x14ac:dyDescent="0.35">
      <c r="A185">
        <v>183</v>
      </c>
      <c r="B185" t="s">
        <v>657</v>
      </c>
      <c r="C185" s="30"/>
      <c r="D185" t="s">
        <v>590</v>
      </c>
      <c r="E185" t="s">
        <v>589</v>
      </c>
      <c r="F185" t="s">
        <v>589</v>
      </c>
      <c r="G185" t="s">
        <v>591</v>
      </c>
      <c r="H185" t="s">
        <v>630</v>
      </c>
      <c r="I185">
        <v>3</v>
      </c>
      <c r="J185">
        <v>-2.5</v>
      </c>
      <c r="K185">
        <v>-5.7</v>
      </c>
      <c r="L185">
        <v>2</v>
      </c>
      <c r="M185">
        <v>2.5</v>
      </c>
      <c r="N185">
        <v>-2</v>
      </c>
      <c r="O185">
        <v>-2</v>
      </c>
      <c r="P185">
        <v>4</v>
      </c>
      <c r="Q185">
        <v>2.5</v>
      </c>
      <c r="R185">
        <v>-3</v>
      </c>
      <c r="S185">
        <v>-4.3</v>
      </c>
      <c r="T185">
        <v>4</v>
      </c>
    </row>
    <row r="186" spans="1:20" x14ac:dyDescent="0.35">
      <c r="A186">
        <v>184</v>
      </c>
      <c r="B186" t="s">
        <v>713</v>
      </c>
      <c r="C186" s="30"/>
      <c r="D186" t="s">
        <v>86</v>
      </c>
      <c r="E186" t="s">
        <v>599</v>
      </c>
      <c r="F186" t="s">
        <v>86</v>
      </c>
      <c r="G186" t="s">
        <v>601</v>
      </c>
      <c r="H186" t="s">
        <v>22</v>
      </c>
      <c r="I186">
        <v>-1.3</v>
      </c>
      <c r="J186">
        <v>-4.5999999999999996</v>
      </c>
      <c r="K186">
        <v>-1.5</v>
      </c>
      <c r="L186">
        <v>6.3</v>
      </c>
      <c r="M186">
        <v>0.5</v>
      </c>
      <c r="N186">
        <v>-2</v>
      </c>
      <c r="O186">
        <v>0.5</v>
      </c>
      <c r="P186">
        <v>7</v>
      </c>
      <c r="Q186">
        <v>0</v>
      </c>
      <c r="R186">
        <v>-3.5</v>
      </c>
      <c r="S186">
        <v>-1</v>
      </c>
      <c r="T186">
        <v>6.7</v>
      </c>
    </row>
    <row r="187" spans="1:20" x14ac:dyDescent="0.35">
      <c r="A187">
        <v>185</v>
      </c>
      <c r="B187" t="s">
        <v>921</v>
      </c>
      <c r="C187" s="30"/>
      <c r="D187" t="s">
        <v>592</v>
      </c>
      <c r="E187" t="s">
        <v>606</v>
      </c>
      <c r="F187" t="s">
        <v>607</v>
      </c>
      <c r="G187" t="s">
        <v>609</v>
      </c>
      <c r="H187" t="s">
        <v>636</v>
      </c>
      <c r="I187">
        <v>0</v>
      </c>
      <c r="J187">
        <v>1</v>
      </c>
      <c r="K187">
        <v>-1.5</v>
      </c>
      <c r="L187">
        <v>3</v>
      </c>
      <c r="M187">
        <v>0</v>
      </c>
      <c r="N187">
        <v>2.5</v>
      </c>
      <c r="O187">
        <v>4</v>
      </c>
      <c r="P187">
        <v>1.5</v>
      </c>
      <c r="Q187">
        <v>0</v>
      </c>
      <c r="R187">
        <v>1</v>
      </c>
      <c r="S187">
        <v>1</v>
      </c>
      <c r="T187">
        <v>3</v>
      </c>
    </row>
    <row r="188" spans="1:20" x14ac:dyDescent="0.35">
      <c r="A188">
        <v>186</v>
      </c>
      <c r="B188" t="s">
        <v>1188</v>
      </c>
      <c r="C188" s="30"/>
      <c r="D188" t="s">
        <v>86</v>
      </c>
      <c r="E188" t="s">
        <v>82</v>
      </c>
      <c r="F188" t="s">
        <v>86</v>
      </c>
      <c r="G188" t="s">
        <v>601</v>
      </c>
      <c r="H188" t="s">
        <v>22</v>
      </c>
      <c r="I188">
        <v>0</v>
      </c>
      <c r="J188">
        <v>-1.3</v>
      </c>
      <c r="K188">
        <v>-1.5</v>
      </c>
      <c r="L188">
        <v>3</v>
      </c>
      <c r="M188">
        <v>-1.3</v>
      </c>
      <c r="N188">
        <v>0</v>
      </c>
      <c r="O188">
        <v>1.5</v>
      </c>
      <c r="P188">
        <v>4</v>
      </c>
      <c r="Q188">
        <v>-0.25</v>
      </c>
      <c r="R188">
        <v>-1.5</v>
      </c>
      <c r="S188">
        <v>-0.5</v>
      </c>
      <c r="T188">
        <v>4.3</v>
      </c>
    </row>
    <row r="189" spans="1:20" x14ac:dyDescent="0.35">
      <c r="A189">
        <v>187</v>
      </c>
      <c r="B189" t="s">
        <v>709</v>
      </c>
      <c r="C189" s="30"/>
      <c r="D189" t="s">
        <v>589</v>
      </c>
      <c r="E189" t="s">
        <v>615</v>
      </c>
      <c r="F189" t="s">
        <v>589</v>
      </c>
      <c r="G189" t="s">
        <v>591</v>
      </c>
      <c r="H189" t="s">
        <v>630</v>
      </c>
      <c r="I189">
        <v>1</v>
      </c>
      <c r="J189">
        <v>-2.5</v>
      </c>
      <c r="K189">
        <v>-1.5</v>
      </c>
      <c r="L189">
        <v>3</v>
      </c>
      <c r="M189">
        <v>2.5</v>
      </c>
      <c r="N189">
        <v>0</v>
      </c>
      <c r="O189">
        <v>0.5</v>
      </c>
      <c r="P189">
        <v>0.5</v>
      </c>
      <c r="Q189">
        <v>1.5</v>
      </c>
      <c r="R189">
        <v>-2</v>
      </c>
      <c r="S189">
        <v>-1</v>
      </c>
      <c r="T189">
        <v>1.5</v>
      </c>
    </row>
    <row r="190" spans="1:20" x14ac:dyDescent="0.35">
      <c r="A190">
        <v>188</v>
      </c>
      <c r="B190" t="s">
        <v>930</v>
      </c>
      <c r="C190" s="30"/>
      <c r="D190" t="s">
        <v>589</v>
      </c>
      <c r="E190" t="s">
        <v>82</v>
      </c>
      <c r="F190" t="s">
        <v>589</v>
      </c>
      <c r="G190" t="s">
        <v>591</v>
      </c>
      <c r="H190" t="s">
        <v>630</v>
      </c>
      <c r="I190">
        <v>1</v>
      </c>
      <c r="J190">
        <v>-2.5</v>
      </c>
      <c r="K190">
        <v>-4.3</v>
      </c>
      <c r="L190">
        <v>2</v>
      </c>
      <c r="M190">
        <v>0</v>
      </c>
      <c r="N190">
        <v>-2</v>
      </c>
      <c r="O190">
        <v>2.5</v>
      </c>
      <c r="P190">
        <v>5.6</v>
      </c>
      <c r="Q190">
        <v>0.7</v>
      </c>
      <c r="R190">
        <v>-3</v>
      </c>
      <c r="S190">
        <v>-1</v>
      </c>
      <c r="T190">
        <v>4.3</v>
      </c>
    </row>
    <row r="191" spans="1:20" x14ac:dyDescent="0.35">
      <c r="A191">
        <v>189</v>
      </c>
      <c r="B191" t="s">
        <v>1200</v>
      </c>
      <c r="C191" s="30"/>
      <c r="D191" t="s">
        <v>82</v>
      </c>
      <c r="E191" t="s">
        <v>597</v>
      </c>
      <c r="F191" t="s">
        <v>82</v>
      </c>
      <c r="G191" t="s">
        <v>84</v>
      </c>
      <c r="H191" t="s">
        <v>85</v>
      </c>
      <c r="I191">
        <v>-4</v>
      </c>
      <c r="J191">
        <v>-1.3</v>
      </c>
      <c r="K191">
        <v>1</v>
      </c>
      <c r="L191">
        <v>5.7</v>
      </c>
      <c r="M191">
        <v>0.5</v>
      </c>
      <c r="N191">
        <v>0</v>
      </c>
      <c r="O191">
        <v>4</v>
      </c>
      <c r="P191">
        <v>2.5</v>
      </c>
      <c r="Q191">
        <v>-1</v>
      </c>
      <c r="R191">
        <v>-1.5</v>
      </c>
      <c r="S191">
        <v>3</v>
      </c>
      <c r="T191">
        <v>5.5</v>
      </c>
    </row>
    <row r="192" spans="1:20" x14ac:dyDescent="0.35">
      <c r="A192">
        <v>190</v>
      </c>
      <c r="B192" t="s">
        <v>662</v>
      </c>
      <c r="C192" s="30"/>
      <c r="D192" t="s">
        <v>593</v>
      </c>
      <c r="E192" t="s">
        <v>627</v>
      </c>
      <c r="F192" t="s">
        <v>616</v>
      </c>
      <c r="G192" t="s">
        <v>1478</v>
      </c>
      <c r="H192" t="s">
        <v>15</v>
      </c>
      <c r="I192">
        <v>-1.3</v>
      </c>
      <c r="J192">
        <v>5.7</v>
      </c>
      <c r="K192">
        <v>-4.3</v>
      </c>
      <c r="L192">
        <v>0.5</v>
      </c>
      <c r="M192">
        <v>0.5</v>
      </c>
      <c r="N192">
        <v>4</v>
      </c>
      <c r="O192">
        <v>2.5</v>
      </c>
      <c r="P192">
        <v>-1.3</v>
      </c>
      <c r="Q192">
        <v>0</v>
      </c>
      <c r="R192">
        <v>5</v>
      </c>
      <c r="S192">
        <v>-1</v>
      </c>
      <c r="T192">
        <v>-0.5</v>
      </c>
    </row>
    <row r="193" spans="1:20" x14ac:dyDescent="0.35">
      <c r="A193">
        <v>191</v>
      </c>
      <c r="B193" t="s">
        <v>938</v>
      </c>
      <c r="C193" s="30"/>
      <c r="D193" t="s">
        <v>86</v>
      </c>
      <c r="E193" t="s">
        <v>590</v>
      </c>
      <c r="F193" t="s">
        <v>589</v>
      </c>
      <c r="G193" t="s">
        <v>591</v>
      </c>
      <c r="H193" t="s">
        <v>630</v>
      </c>
      <c r="I193">
        <v>-1.7</v>
      </c>
      <c r="J193">
        <v>-1.3</v>
      </c>
      <c r="K193">
        <v>-0.7</v>
      </c>
      <c r="L193">
        <v>5.3</v>
      </c>
      <c r="M193">
        <v>2.5</v>
      </c>
      <c r="N193">
        <v>-2</v>
      </c>
      <c r="O193">
        <v>1.5</v>
      </c>
      <c r="P193">
        <v>2.5</v>
      </c>
      <c r="Q193">
        <v>0.5</v>
      </c>
      <c r="R193">
        <v>-2</v>
      </c>
      <c r="S193">
        <v>0</v>
      </c>
      <c r="T193">
        <v>4.3</v>
      </c>
    </row>
    <row r="194" spans="1:20" x14ac:dyDescent="0.35">
      <c r="A194">
        <v>192</v>
      </c>
      <c r="B194" t="s">
        <v>299</v>
      </c>
      <c r="C194" s="30"/>
      <c r="D194" t="s">
        <v>602</v>
      </c>
      <c r="E194" t="s">
        <v>602</v>
      </c>
      <c r="F194" t="s">
        <v>595</v>
      </c>
      <c r="G194" t="s">
        <v>618</v>
      </c>
      <c r="H194" t="s">
        <v>641</v>
      </c>
      <c r="I194">
        <v>-1.7</v>
      </c>
      <c r="J194">
        <v>3</v>
      </c>
      <c r="K194">
        <v>0.5</v>
      </c>
      <c r="L194">
        <v>-1.5</v>
      </c>
      <c r="M194">
        <v>0.5</v>
      </c>
      <c r="N194">
        <v>4</v>
      </c>
      <c r="O194">
        <v>1.5</v>
      </c>
      <c r="P194">
        <v>2.5</v>
      </c>
      <c r="Q194">
        <v>-0.25</v>
      </c>
      <c r="R194">
        <v>3</v>
      </c>
      <c r="S194">
        <v>1</v>
      </c>
      <c r="T194">
        <v>0.5</v>
      </c>
    </row>
    <row r="195" spans="1:20" x14ac:dyDescent="0.35">
      <c r="A195">
        <v>193</v>
      </c>
      <c r="B195" t="s">
        <v>1184</v>
      </c>
      <c r="C195" s="30"/>
      <c r="D195" t="s">
        <v>590</v>
      </c>
      <c r="E195" t="s">
        <v>589</v>
      </c>
      <c r="F195" t="s">
        <v>589</v>
      </c>
      <c r="G195" t="s">
        <v>591</v>
      </c>
      <c r="H195" t="s">
        <v>630</v>
      </c>
      <c r="I195">
        <v>6.5</v>
      </c>
      <c r="J195">
        <v>-2.5</v>
      </c>
      <c r="K195">
        <v>-5.7</v>
      </c>
      <c r="L195">
        <v>0.5</v>
      </c>
      <c r="M195">
        <v>4.3</v>
      </c>
      <c r="N195">
        <v>-3.5</v>
      </c>
      <c r="O195">
        <v>-3</v>
      </c>
      <c r="P195">
        <v>7.5</v>
      </c>
      <c r="Q195">
        <v>5.5</v>
      </c>
      <c r="R195">
        <v>-3.5</v>
      </c>
      <c r="S195">
        <v>-4.7</v>
      </c>
      <c r="T195">
        <v>5.5</v>
      </c>
    </row>
    <row r="196" spans="1:20" x14ac:dyDescent="0.35">
      <c r="A196">
        <v>194</v>
      </c>
      <c r="B196" t="s">
        <v>1129</v>
      </c>
      <c r="C196" s="30"/>
      <c r="D196" t="s">
        <v>589</v>
      </c>
      <c r="E196" t="s">
        <v>88</v>
      </c>
      <c r="F196" t="s">
        <v>589</v>
      </c>
      <c r="G196" t="s">
        <v>591</v>
      </c>
      <c r="H196" t="s">
        <v>630</v>
      </c>
      <c r="I196">
        <v>1</v>
      </c>
      <c r="J196">
        <v>-4.5999999999999996</v>
      </c>
      <c r="K196">
        <v>-3.5</v>
      </c>
      <c r="L196">
        <v>5.3</v>
      </c>
      <c r="M196">
        <v>0.5</v>
      </c>
      <c r="N196">
        <v>0</v>
      </c>
      <c r="O196">
        <v>1.5</v>
      </c>
      <c r="P196">
        <v>4</v>
      </c>
      <c r="Q196">
        <v>1</v>
      </c>
      <c r="R196">
        <v>-3</v>
      </c>
      <c r="S196">
        <v>-1</v>
      </c>
      <c r="T196">
        <v>5.5</v>
      </c>
    </row>
    <row r="197" spans="1:20" x14ac:dyDescent="0.35">
      <c r="A197">
        <v>195</v>
      </c>
      <c r="B197" t="s">
        <v>1182</v>
      </c>
      <c r="C197" s="30"/>
      <c r="D197" t="s">
        <v>623</v>
      </c>
      <c r="E197" t="s">
        <v>623</v>
      </c>
      <c r="F197" t="s">
        <v>623</v>
      </c>
      <c r="G197" t="s">
        <v>1479</v>
      </c>
      <c r="H197" t="s">
        <v>1480</v>
      </c>
      <c r="I197">
        <v>4</v>
      </c>
      <c r="J197">
        <v>1</v>
      </c>
      <c r="K197">
        <v>-3.5</v>
      </c>
      <c r="L197">
        <v>-3.5</v>
      </c>
      <c r="M197">
        <v>4.3</v>
      </c>
      <c r="N197">
        <v>0.5</v>
      </c>
      <c r="O197">
        <v>1.5</v>
      </c>
      <c r="P197">
        <v>0.5</v>
      </c>
      <c r="Q197">
        <v>4.7</v>
      </c>
      <c r="R197">
        <v>0.5</v>
      </c>
      <c r="S197">
        <v>-1</v>
      </c>
      <c r="T197">
        <v>-0.5</v>
      </c>
    </row>
    <row r="198" spans="1:20" x14ac:dyDescent="0.35">
      <c r="A198">
        <v>196</v>
      </c>
      <c r="B198" t="s">
        <v>714</v>
      </c>
      <c r="C198" s="30"/>
      <c r="D198" t="s">
        <v>86</v>
      </c>
      <c r="E198" t="s">
        <v>87</v>
      </c>
      <c r="F198" t="s">
        <v>88</v>
      </c>
      <c r="G198" t="s">
        <v>89</v>
      </c>
      <c r="H198" t="s">
        <v>90</v>
      </c>
      <c r="I198">
        <v>-1.7</v>
      </c>
      <c r="J198">
        <v>-1.3</v>
      </c>
      <c r="K198">
        <v>-0.7</v>
      </c>
      <c r="L198">
        <v>3</v>
      </c>
      <c r="M198">
        <v>2.5</v>
      </c>
      <c r="N198">
        <v>-6</v>
      </c>
      <c r="O198">
        <v>4</v>
      </c>
      <c r="P198">
        <v>2.5</v>
      </c>
      <c r="Q198">
        <v>0.5</v>
      </c>
      <c r="R198">
        <v>-4.7</v>
      </c>
      <c r="S198">
        <v>1.5</v>
      </c>
      <c r="T198">
        <v>4</v>
      </c>
    </row>
    <row r="199" spans="1:20" x14ac:dyDescent="0.35">
      <c r="A199">
        <v>197</v>
      </c>
      <c r="B199" t="s">
        <v>971</v>
      </c>
      <c r="C199" s="30"/>
      <c r="D199" t="s">
        <v>589</v>
      </c>
      <c r="E199" t="s">
        <v>590</v>
      </c>
      <c r="F199" t="s">
        <v>589</v>
      </c>
      <c r="G199" t="s">
        <v>591</v>
      </c>
      <c r="H199" t="s">
        <v>630</v>
      </c>
      <c r="I199">
        <v>2</v>
      </c>
      <c r="J199">
        <v>-1.3</v>
      </c>
      <c r="K199">
        <v>-1.5</v>
      </c>
      <c r="L199">
        <v>3</v>
      </c>
      <c r="M199">
        <v>6.5</v>
      </c>
      <c r="N199">
        <v>-6</v>
      </c>
      <c r="O199">
        <v>1.5</v>
      </c>
      <c r="P199">
        <v>4</v>
      </c>
      <c r="Q199">
        <v>3.5</v>
      </c>
      <c r="R199">
        <v>-4.7</v>
      </c>
      <c r="S199">
        <v>-0.5</v>
      </c>
      <c r="T199">
        <v>4.3</v>
      </c>
    </row>
    <row r="200" spans="1:20" x14ac:dyDescent="0.35">
      <c r="A200">
        <v>198</v>
      </c>
      <c r="B200" t="s">
        <v>276</v>
      </c>
      <c r="C200" s="30"/>
      <c r="D200" t="s">
        <v>587</v>
      </c>
      <c r="E200" t="s">
        <v>587</v>
      </c>
      <c r="F200" t="s">
        <v>587</v>
      </c>
      <c r="G200" t="s">
        <v>588</v>
      </c>
      <c r="H200" t="s">
        <v>629</v>
      </c>
      <c r="I200">
        <v>3</v>
      </c>
      <c r="J200">
        <v>3</v>
      </c>
      <c r="K200">
        <v>-5.7</v>
      </c>
      <c r="L200">
        <v>-1.5</v>
      </c>
      <c r="M200">
        <v>0.5</v>
      </c>
      <c r="N200">
        <v>2.5</v>
      </c>
      <c r="O200">
        <v>1.5</v>
      </c>
      <c r="P200">
        <v>0.5</v>
      </c>
      <c r="Q200">
        <v>1.5</v>
      </c>
      <c r="R200">
        <v>1.5</v>
      </c>
      <c r="S200">
        <v>-2</v>
      </c>
      <c r="T200">
        <v>0</v>
      </c>
    </row>
    <row r="201" spans="1:20" x14ac:dyDescent="0.35">
      <c r="A201">
        <v>199</v>
      </c>
      <c r="B201" t="s">
        <v>247</v>
      </c>
      <c r="C201" s="30"/>
      <c r="D201" t="s">
        <v>82</v>
      </c>
      <c r="E201" t="s">
        <v>597</v>
      </c>
      <c r="F201" t="s">
        <v>82</v>
      </c>
      <c r="G201" t="s">
        <v>84</v>
      </c>
      <c r="H201" t="s">
        <v>85</v>
      </c>
      <c r="I201">
        <v>-2.5</v>
      </c>
      <c r="J201">
        <v>-7</v>
      </c>
      <c r="K201">
        <v>3</v>
      </c>
      <c r="L201">
        <v>6</v>
      </c>
      <c r="M201">
        <v>0.5</v>
      </c>
      <c r="N201">
        <v>-6.5</v>
      </c>
      <c r="O201">
        <v>7</v>
      </c>
      <c r="P201">
        <v>5.6</v>
      </c>
      <c r="Q201">
        <v>-0.5</v>
      </c>
      <c r="R201">
        <v>-6.7</v>
      </c>
      <c r="S201">
        <v>4.7</v>
      </c>
      <c r="T201">
        <v>6.3</v>
      </c>
    </row>
    <row r="202" spans="1:20" x14ac:dyDescent="0.35">
      <c r="A202">
        <v>200</v>
      </c>
      <c r="B202" t="s">
        <v>266</v>
      </c>
      <c r="C202" s="30"/>
      <c r="D202" t="s">
        <v>86</v>
      </c>
      <c r="E202" t="s">
        <v>88</v>
      </c>
      <c r="F202" t="s">
        <v>589</v>
      </c>
      <c r="G202" t="s">
        <v>591</v>
      </c>
      <c r="H202" t="s">
        <v>630</v>
      </c>
      <c r="I202">
        <v>0</v>
      </c>
      <c r="J202">
        <v>-4.5999999999999996</v>
      </c>
      <c r="K202">
        <v>-3.5</v>
      </c>
      <c r="L202">
        <v>5.3</v>
      </c>
      <c r="M202">
        <v>0.5</v>
      </c>
      <c r="N202">
        <v>-4.3</v>
      </c>
      <c r="O202">
        <v>2.5</v>
      </c>
      <c r="P202">
        <v>4</v>
      </c>
      <c r="Q202">
        <v>0.5</v>
      </c>
      <c r="R202">
        <v>-4.7</v>
      </c>
      <c r="S202">
        <v>-0.5</v>
      </c>
      <c r="T202">
        <v>5.5</v>
      </c>
    </row>
    <row r="203" spans="1:20" x14ac:dyDescent="0.35">
      <c r="A203">
        <v>201</v>
      </c>
      <c r="B203" t="s">
        <v>932</v>
      </c>
      <c r="C203" s="30"/>
      <c r="D203" t="s">
        <v>86</v>
      </c>
      <c r="E203" t="s">
        <v>597</v>
      </c>
      <c r="F203" t="s">
        <v>88</v>
      </c>
      <c r="G203" t="s">
        <v>89</v>
      </c>
      <c r="H203" t="s">
        <v>90</v>
      </c>
      <c r="I203">
        <v>0</v>
      </c>
      <c r="J203">
        <v>-7</v>
      </c>
      <c r="K203">
        <v>-0.7</v>
      </c>
      <c r="L203">
        <v>3</v>
      </c>
      <c r="M203">
        <v>0.5</v>
      </c>
      <c r="N203">
        <v>-6.5</v>
      </c>
      <c r="O203">
        <v>6</v>
      </c>
      <c r="P203">
        <v>5.6</v>
      </c>
      <c r="Q203">
        <v>0.5</v>
      </c>
      <c r="R203">
        <v>-6.7</v>
      </c>
      <c r="S203">
        <v>2</v>
      </c>
      <c r="T203">
        <v>5.5</v>
      </c>
    </row>
    <row r="204" spans="1:20" x14ac:dyDescent="0.35">
      <c r="A204">
        <v>202</v>
      </c>
      <c r="B204" t="s">
        <v>1131</v>
      </c>
      <c r="C204" s="30"/>
      <c r="D204" t="s">
        <v>589</v>
      </c>
      <c r="E204" t="s">
        <v>82</v>
      </c>
      <c r="F204" t="s">
        <v>589</v>
      </c>
      <c r="G204" t="s">
        <v>591</v>
      </c>
      <c r="H204" t="s">
        <v>630</v>
      </c>
      <c r="I204">
        <v>2</v>
      </c>
      <c r="J204">
        <v>-2.5</v>
      </c>
      <c r="K204">
        <v>-3.5</v>
      </c>
      <c r="L204">
        <v>5.3</v>
      </c>
      <c r="M204">
        <v>0</v>
      </c>
      <c r="N204">
        <v>0</v>
      </c>
      <c r="O204">
        <v>2.5</v>
      </c>
      <c r="P204">
        <v>2.5</v>
      </c>
      <c r="Q204">
        <v>1</v>
      </c>
      <c r="R204">
        <v>-2</v>
      </c>
      <c r="S204">
        <v>-0.5</v>
      </c>
      <c r="T204">
        <v>4.3</v>
      </c>
    </row>
    <row r="205" spans="1:20" x14ac:dyDescent="0.35">
      <c r="A205">
        <v>203</v>
      </c>
      <c r="B205" t="s">
        <v>1486</v>
      </c>
      <c r="C205" s="30"/>
      <c r="D205" t="s">
        <v>86</v>
      </c>
      <c r="E205" t="s">
        <v>88</v>
      </c>
      <c r="F205" t="s">
        <v>589</v>
      </c>
      <c r="G205" t="s">
        <v>591</v>
      </c>
      <c r="H205" t="s">
        <v>630</v>
      </c>
      <c r="I205">
        <v>0</v>
      </c>
      <c r="J205">
        <v>-2.5</v>
      </c>
      <c r="K205">
        <v>-3.5</v>
      </c>
      <c r="L205">
        <v>5.3</v>
      </c>
      <c r="M205">
        <v>0.5</v>
      </c>
      <c r="N205">
        <v>-3.5</v>
      </c>
      <c r="O205">
        <v>2.5</v>
      </c>
      <c r="P205">
        <v>4</v>
      </c>
      <c r="Q205">
        <v>0.5</v>
      </c>
      <c r="R205">
        <v>-3.5</v>
      </c>
      <c r="S205">
        <v>-0.5</v>
      </c>
      <c r="T205">
        <v>5.5</v>
      </c>
    </row>
    <row r="206" spans="1:20" x14ac:dyDescent="0.35">
      <c r="A206">
        <v>204</v>
      </c>
      <c r="B206" t="s">
        <v>973</v>
      </c>
      <c r="C206" s="30"/>
      <c r="D206" t="s">
        <v>589</v>
      </c>
      <c r="E206" t="s">
        <v>88</v>
      </c>
      <c r="F206" t="s">
        <v>599</v>
      </c>
      <c r="G206" t="s">
        <v>600</v>
      </c>
      <c r="H206" t="s">
        <v>633</v>
      </c>
      <c r="I206">
        <v>2</v>
      </c>
      <c r="J206">
        <v>-7</v>
      </c>
      <c r="K206">
        <v>-1.5</v>
      </c>
      <c r="L206">
        <v>2</v>
      </c>
      <c r="M206">
        <v>0.5</v>
      </c>
      <c r="N206">
        <v>-4.3</v>
      </c>
      <c r="O206">
        <v>4</v>
      </c>
      <c r="P206">
        <v>5.6</v>
      </c>
      <c r="Q206">
        <v>1.3</v>
      </c>
      <c r="R206">
        <v>-5.7</v>
      </c>
      <c r="S206">
        <v>1</v>
      </c>
      <c r="T206">
        <v>4.3</v>
      </c>
    </row>
    <row r="207" spans="1:20" x14ac:dyDescent="0.35">
      <c r="A207">
        <v>205</v>
      </c>
      <c r="B207" t="s">
        <v>702</v>
      </c>
      <c r="C207" s="30"/>
      <c r="D207" t="s">
        <v>607</v>
      </c>
      <c r="E207" t="s">
        <v>599</v>
      </c>
      <c r="F207" t="s">
        <v>88</v>
      </c>
      <c r="G207" t="s">
        <v>89</v>
      </c>
      <c r="H207" t="s">
        <v>90</v>
      </c>
      <c r="I207">
        <v>-1.3</v>
      </c>
      <c r="J207">
        <v>1</v>
      </c>
      <c r="K207">
        <v>0.5</v>
      </c>
      <c r="L207">
        <v>3</v>
      </c>
      <c r="M207">
        <v>2.5</v>
      </c>
      <c r="N207">
        <v>-5.3</v>
      </c>
      <c r="O207">
        <v>1.5</v>
      </c>
      <c r="P207">
        <v>5.6</v>
      </c>
      <c r="Q207">
        <v>0.7</v>
      </c>
      <c r="R207">
        <v>-3.5</v>
      </c>
      <c r="S207">
        <v>1</v>
      </c>
      <c r="T207">
        <v>5.5</v>
      </c>
    </row>
    <row r="208" spans="1:20" x14ac:dyDescent="0.35">
      <c r="A208">
        <v>206</v>
      </c>
      <c r="B208" t="s">
        <v>297</v>
      </c>
      <c r="C208" s="30"/>
      <c r="D208" t="s">
        <v>91</v>
      </c>
      <c r="E208" t="s">
        <v>83</v>
      </c>
      <c r="F208" t="s">
        <v>82</v>
      </c>
      <c r="G208" t="s">
        <v>84</v>
      </c>
      <c r="H208" t="s">
        <v>85</v>
      </c>
      <c r="I208">
        <v>-4</v>
      </c>
      <c r="J208">
        <v>1</v>
      </c>
      <c r="K208">
        <v>2.5</v>
      </c>
      <c r="L208">
        <v>3</v>
      </c>
      <c r="M208">
        <v>-1.5</v>
      </c>
      <c r="N208">
        <v>0</v>
      </c>
      <c r="O208">
        <v>6</v>
      </c>
      <c r="P208">
        <v>2.5</v>
      </c>
      <c r="Q208">
        <v>-2.75</v>
      </c>
      <c r="R208">
        <v>0</v>
      </c>
      <c r="S208">
        <v>4</v>
      </c>
      <c r="T208">
        <v>4</v>
      </c>
    </row>
    <row r="209" spans="1:20" x14ac:dyDescent="0.35">
      <c r="A209">
        <v>207</v>
      </c>
      <c r="B209" t="s">
        <v>336</v>
      </c>
      <c r="C209" s="30"/>
      <c r="D209" t="s">
        <v>595</v>
      </c>
      <c r="E209" t="s">
        <v>82</v>
      </c>
      <c r="F209" t="s">
        <v>91</v>
      </c>
      <c r="G209" t="s">
        <v>92</v>
      </c>
      <c r="H209" t="s">
        <v>93</v>
      </c>
      <c r="I209">
        <v>-2.5</v>
      </c>
      <c r="J209">
        <v>3</v>
      </c>
      <c r="K209">
        <v>1</v>
      </c>
      <c r="L209">
        <v>2</v>
      </c>
      <c r="M209">
        <v>-1.3</v>
      </c>
      <c r="N209">
        <v>0</v>
      </c>
      <c r="O209">
        <v>1.5</v>
      </c>
      <c r="P209">
        <v>2.5</v>
      </c>
      <c r="Q209">
        <v>-1.5</v>
      </c>
      <c r="R209">
        <v>0.5</v>
      </c>
      <c r="S209">
        <v>1.5</v>
      </c>
      <c r="T209">
        <v>3</v>
      </c>
    </row>
    <row r="210" spans="1:20" x14ac:dyDescent="0.35">
      <c r="A210">
        <v>208</v>
      </c>
      <c r="B210" t="s">
        <v>680</v>
      </c>
      <c r="C210" s="30"/>
      <c r="D210" t="s">
        <v>602</v>
      </c>
      <c r="E210" t="s">
        <v>604</v>
      </c>
      <c r="F210" t="s">
        <v>604</v>
      </c>
      <c r="G210" t="s">
        <v>605</v>
      </c>
      <c r="H210" t="s">
        <v>635</v>
      </c>
      <c r="I210">
        <v>0</v>
      </c>
      <c r="J210">
        <v>1</v>
      </c>
      <c r="K210">
        <v>0.5</v>
      </c>
      <c r="L210">
        <v>-3.5</v>
      </c>
      <c r="M210">
        <v>2.5</v>
      </c>
      <c r="N210">
        <v>-2</v>
      </c>
      <c r="O210">
        <v>4</v>
      </c>
      <c r="P210">
        <v>0</v>
      </c>
      <c r="Q210">
        <v>1</v>
      </c>
      <c r="R210">
        <v>-1.5</v>
      </c>
      <c r="S210">
        <v>2</v>
      </c>
      <c r="T210">
        <v>-2.5</v>
      </c>
    </row>
    <row r="211" spans="1:20" x14ac:dyDescent="0.35">
      <c r="A211">
        <v>209</v>
      </c>
      <c r="B211" t="s">
        <v>356</v>
      </c>
      <c r="C211" s="30"/>
      <c r="D211" t="s">
        <v>82</v>
      </c>
      <c r="E211" t="s">
        <v>597</v>
      </c>
      <c r="F211" t="s">
        <v>82</v>
      </c>
      <c r="G211" t="s">
        <v>84</v>
      </c>
      <c r="H211" t="s">
        <v>85</v>
      </c>
      <c r="I211">
        <v>-1.7</v>
      </c>
      <c r="J211">
        <v>-2.5</v>
      </c>
      <c r="K211">
        <v>2.5</v>
      </c>
      <c r="L211">
        <v>3</v>
      </c>
      <c r="M211">
        <v>0.5</v>
      </c>
      <c r="N211">
        <v>-3.5</v>
      </c>
      <c r="O211">
        <v>2.5</v>
      </c>
      <c r="P211">
        <v>2.5</v>
      </c>
      <c r="Q211">
        <v>-0.25</v>
      </c>
      <c r="R211">
        <v>-3.5</v>
      </c>
      <c r="S211">
        <v>3</v>
      </c>
      <c r="T211">
        <v>4</v>
      </c>
    </row>
    <row r="212" spans="1:20" x14ac:dyDescent="0.35">
      <c r="A212">
        <v>210</v>
      </c>
      <c r="B212" t="s">
        <v>1004</v>
      </c>
      <c r="C212" s="30"/>
      <c r="D212" t="s">
        <v>82</v>
      </c>
      <c r="E212" t="s">
        <v>82</v>
      </c>
      <c r="F212" t="s">
        <v>82</v>
      </c>
      <c r="G212" t="s">
        <v>84</v>
      </c>
      <c r="H212" t="s">
        <v>85</v>
      </c>
      <c r="I212">
        <v>-4</v>
      </c>
      <c r="J212">
        <v>-2.5</v>
      </c>
      <c r="K212">
        <v>1</v>
      </c>
      <c r="L212">
        <v>6</v>
      </c>
      <c r="M212">
        <v>0</v>
      </c>
      <c r="N212">
        <v>-4.3</v>
      </c>
      <c r="O212">
        <v>2.5</v>
      </c>
      <c r="P212">
        <v>5.6</v>
      </c>
      <c r="Q212">
        <v>-1.5</v>
      </c>
      <c r="R212">
        <v>-4.3</v>
      </c>
      <c r="S212">
        <v>2</v>
      </c>
      <c r="T212">
        <v>6.3</v>
      </c>
    </row>
    <row r="213" spans="1:20" x14ac:dyDescent="0.35">
      <c r="A213">
        <v>211</v>
      </c>
      <c r="B213" t="s">
        <v>255</v>
      </c>
      <c r="C213" s="30"/>
      <c r="D213" t="s">
        <v>86</v>
      </c>
      <c r="E213" t="s">
        <v>88</v>
      </c>
      <c r="F213" t="s">
        <v>86</v>
      </c>
      <c r="G213" t="s">
        <v>601</v>
      </c>
      <c r="H213" t="s">
        <v>22</v>
      </c>
      <c r="I213">
        <v>-4</v>
      </c>
      <c r="J213">
        <v>-2.5</v>
      </c>
      <c r="K213">
        <v>-4.3</v>
      </c>
      <c r="L213">
        <v>6.3</v>
      </c>
      <c r="M213">
        <v>0.5</v>
      </c>
      <c r="N213">
        <v>-2</v>
      </c>
      <c r="O213">
        <v>2.5</v>
      </c>
      <c r="P213">
        <v>4</v>
      </c>
      <c r="Q213">
        <v>-1</v>
      </c>
      <c r="R213">
        <v>-3</v>
      </c>
      <c r="S213">
        <v>-1</v>
      </c>
      <c r="T213">
        <v>6.3</v>
      </c>
    </row>
    <row r="214" spans="1:20" x14ac:dyDescent="0.35">
      <c r="A214">
        <v>212</v>
      </c>
      <c r="B214" t="s">
        <v>1073</v>
      </c>
      <c r="C214" s="30"/>
      <c r="D214" t="s">
        <v>82</v>
      </c>
      <c r="E214" t="s">
        <v>82</v>
      </c>
      <c r="F214" t="s">
        <v>82</v>
      </c>
      <c r="G214" t="s">
        <v>84</v>
      </c>
      <c r="H214" t="s">
        <v>85</v>
      </c>
      <c r="I214">
        <v>-5.3</v>
      </c>
      <c r="J214">
        <v>-4.5999999999999996</v>
      </c>
      <c r="K214">
        <v>1</v>
      </c>
      <c r="L214">
        <v>5.3</v>
      </c>
      <c r="M214">
        <v>0</v>
      </c>
      <c r="N214">
        <v>-3.5</v>
      </c>
      <c r="O214">
        <v>2.5</v>
      </c>
      <c r="P214">
        <v>2.5</v>
      </c>
      <c r="Q214">
        <v>-2.5</v>
      </c>
      <c r="R214">
        <v>-4.3</v>
      </c>
      <c r="S214">
        <v>2</v>
      </c>
      <c r="T214">
        <v>4.3</v>
      </c>
    </row>
    <row r="215" spans="1:20" x14ac:dyDescent="0.35">
      <c r="A215">
        <v>213</v>
      </c>
      <c r="B215" t="s">
        <v>934</v>
      </c>
      <c r="C215" s="30"/>
      <c r="D215" t="s">
        <v>592</v>
      </c>
      <c r="E215" t="s">
        <v>597</v>
      </c>
      <c r="F215" t="s">
        <v>86</v>
      </c>
      <c r="G215" t="s">
        <v>601</v>
      </c>
      <c r="H215" t="s">
        <v>22</v>
      </c>
      <c r="I215">
        <v>-2.5</v>
      </c>
      <c r="J215">
        <v>3</v>
      </c>
      <c r="K215">
        <v>-3.5</v>
      </c>
      <c r="L215">
        <v>5.3</v>
      </c>
      <c r="M215">
        <v>0.5</v>
      </c>
      <c r="N215">
        <v>-2</v>
      </c>
      <c r="O215">
        <v>1.5</v>
      </c>
      <c r="P215">
        <v>1.5</v>
      </c>
      <c r="Q215">
        <v>-0.5</v>
      </c>
      <c r="R215">
        <v>0</v>
      </c>
      <c r="S215">
        <v>-1</v>
      </c>
      <c r="T215">
        <v>4</v>
      </c>
    </row>
    <row r="216" spans="1:20" x14ac:dyDescent="0.35">
      <c r="A216">
        <v>214</v>
      </c>
      <c r="B216" t="s">
        <v>666</v>
      </c>
      <c r="C216" s="30"/>
      <c r="D216" t="s">
        <v>595</v>
      </c>
      <c r="E216" t="s">
        <v>595</v>
      </c>
      <c r="F216" t="s">
        <v>607</v>
      </c>
      <c r="G216" t="s">
        <v>609</v>
      </c>
      <c r="H216" t="s">
        <v>636</v>
      </c>
      <c r="I216">
        <v>-4</v>
      </c>
      <c r="J216">
        <v>3.5</v>
      </c>
      <c r="K216">
        <v>1</v>
      </c>
      <c r="L216">
        <v>0.5</v>
      </c>
      <c r="M216">
        <v>1.5</v>
      </c>
      <c r="N216">
        <v>0.5</v>
      </c>
      <c r="O216">
        <v>1.5</v>
      </c>
      <c r="P216">
        <v>2.5</v>
      </c>
      <c r="Q216">
        <v>-0.5</v>
      </c>
      <c r="R216">
        <v>1.5</v>
      </c>
      <c r="S216">
        <v>1.5</v>
      </c>
      <c r="T216">
        <v>1.5</v>
      </c>
    </row>
    <row r="217" spans="1:20" x14ac:dyDescent="0.35">
      <c r="A217">
        <v>215</v>
      </c>
      <c r="B217" t="s">
        <v>344</v>
      </c>
      <c r="C217" s="30"/>
      <c r="D217" t="s">
        <v>593</v>
      </c>
      <c r="E217" t="s">
        <v>589</v>
      </c>
      <c r="F217" t="s">
        <v>589</v>
      </c>
      <c r="G217" t="s">
        <v>591</v>
      </c>
      <c r="H217" t="s">
        <v>630</v>
      </c>
      <c r="I217">
        <v>-1.3</v>
      </c>
      <c r="J217">
        <v>3</v>
      </c>
      <c r="K217">
        <v>-1.5</v>
      </c>
      <c r="L217">
        <v>0.5</v>
      </c>
      <c r="M217">
        <v>1.5</v>
      </c>
      <c r="N217">
        <v>-3.5</v>
      </c>
      <c r="O217">
        <v>-2</v>
      </c>
      <c r="P217">
        <v>4</v>
      </c>
      <c r="Q217">
        <v>0.5</v>
      </c>
      <c r="R217">
        <v>-1.5</v>
      </c>
      <c r="S217">
        <v>-2</v>
      </c>
      <c r="T217">
        <v>3</v>
      </c>
    </row>
    <row r="218" spans="1:20" x14ac:dyDescent="0.35">
      <c r="A218">
        <v>216</v>
      </c>
      <c r="B218" t="s">
        <v>661</v>
      </c>
      <c r="C218" s="30"/>
      <c r="D218" t="s">
        <v>82</v>
      </c>
      <c r="E218" t="s">
        <v>599</v>
      </c>
      <c r="F218" t="s">
        <v>82</v>
      </c>
      <c r="G218" t="s">
        <v>84</v>
      </c>
      <c r="H218" t="s">
        <v>85</v>
      </c>
      <c r="I218">
        <v>-2.5</v>
      </c>
      <c r="J218">
        <v>-2.5</v>
      </c>
      <c r="K218">
        <v>1</v>
      </c>
      <c r="L218">
        <v>2</v>
      </c>
      <c r="M218">
        <v>2.5</v>
      </c>
      <c r="N218">
        <v>-3.5</v>
      </c>
      <c r="O218">
        <v>0.5</v>
      </c>
      <c r="P218">
        <v>4</v>
      </c>
      <c r="Q218">
        <v>0</v>
      </c>
      <c r="R218">
        <v>-3.5</v>
      </c>
      <c r="S218">
        <v>1</v>
      </c>
      <c r="T218">
        <v>4</v>
      </c>
    </row>
    <row r="219" spans="1:20" x14ac:dyDescent="0.35">
      <c r="A219">
        <v>217</v>
      </c>
      <c r="B219" t="s">
        <v>242</v>
      </c>
      <c r="C219" s="30"/>
      <c r="D219" t="s">
        <v>589</v>
      </c>
      <c r="E219" t="s">
        <v>599</v>
      </c>
      <c r="F219" t="s">
        <v>589</v>
      </c>
      <c r="G219" t="s">
        <v>591</v>
      </c>
      <c r="H219" t="s">
        <v>630</v>
      </c>
      <c r="I219">
        <v>3</v>
      </c>
      <c r="J219">
        <v>-4.5999999999999996</v>
      </c>
      <c r="K219">
        <v>-4.3</v>
      </c>
      <c r="L219">
        <v>5.7</v>
      </c>
      <c r="M219">
        <v>2.5</v>
      </c>
      <c r="N219">
        <v>-3.5</v>
      </c>
      <c r="O219">
        <v>1.5</v>
      </c>
      <c r="P219">
        <v>4</v>
      </c>
      <c r="Q219">
        <v>2.5</v>
      </c>
      <c r="R219">
        <v>-4.3</v>
      </c>
      <c r="S219">
        <v>-1.5</v>
      </c>
      <c r="T219">
        <v>5.7</v>
      </c>
    </row>
    <row r="220" spans="1:20" x14ac:dyDescent="0.35">
      <c r="A220">
        <v>218</v>
      </c>
      <c r="B220" t="s">
        <v>354</v>
      </c>
      <c r="C220" s="30"/>
      <c r="D220" t="s">
        <v>585</v>
      </c>
      <c r="E220" t="s">
        <v>86</v>
      </c>
      <c r="F220" t="s">
        <v>589</v>
      </c>
      <c r="G220" t="s">
        <v>591</v>
      </c>
      <c r="H220" t="s">
        <v>630</v>
      </c>
      <c r="I220">
        <v>0.5</v>
      </c>
      <c r="J220">
        <v>1</v>
      </c>
      <c r="K220">
        <v>-0.7</v>
      </c>
      <c r="L220">
        <v>0.5</v>
      </c>
      <c r="M220">
        <v>0</v>
      </c>
      <c r="N220">
        <v>-4.3</v>
      </c>
      <c r="O220">
        <v>-1.3</v>
      </c>
      <c r="P220">
        <v>7.5</v>
      </c>
      <c r="Q220">
        <v>0.5</v>
      </c>
      <c r="R220">
        <v>-3</v>
      </c>
      <c r="S220">
        <v>-1</v>
      </c>
      <c r="T220">
        <v>5.5</v>
      </c>
    </row>
    <row r="221" spans="1:20" x14ac:dyDescent="0.35">
      <c r="A221">
        <v>219</v>
      </c>
      <c r="B221" t="s">
        <v>273</v>
      </c>
      <c r="C221" s="30"/>
      <c r="D221" t="s">
        <v>592</v>
      </c>
      <c r="E221" t="s">
        <v>82</v>
      </c>
      <c r="F221" t="s">
        <v>589</v>
      </c>
      <c r="G221" t="s">
        <v>591</v>
      </c>
      <c r="H221" t="s">
        <v>630</v>
      </c>
      <c r="I221">
        <v>0.5</v>
      </c>
      <c r="J221">
        <v>3</v>
      </c>
      <c r="K221">
        <v>-3.5</v>
      </c>
      <c r="L221">
        <v>2</v>
      </c>
      <c r="M221">
        <v>0</v>
      </c>
      <c r="N221">
        <v>-4.3</v>
      </c>
      <c r="O221">
        <v>1.5</v>
      </c>
      <c r="P221">
        <v>5.6</v>
      </c>
      <c r="Q221">
        <v>0.5</v>
      </c>
      <c r="R221">
        <v>-2</v>
      </c>
      <c r="S221">
        <v>-1</v>
      </c>
      <c r="T221">
        <v>4.3</v>
      </c>
    </row>
    <row r="222" spans="1:20" x14ac:dyDescent="0.35">
      <c r="A222">
        <v>220</v>
      </c>
      <c r="B222" t="s">
        <v>1239</v>
      </c>
      <c r="C222" s="30"/>
      <c r="D222" t="s">
        <v>86</v>
      </c>
      <c r="E222" t="s">
        <v>82</v>
      </c>
      <c r="F222" t="s">
        <v>82</v>
      </c>
      <c r="G222" t="s">
        <v>84</v>
      </c>
      <c r="H222" t="s">
        <v>85</v>
      </c>
      <c r="I222">
        <v>-2.5</v>
      </c>
      <c r="J222">
        <v>-4.5999999999999996</v>
      </c>
      <c r="K222">
        <v>-0.7</v>
      </c>
      <c r="L222">
        <v>5.7</v>
      </c>
      <c r="M222">
        <v>0</v>
      </c>
      <c r="N222">
        <v>-5.3</v>
      </c>
      <c r="O222">
        <v>4</v>
      </c>
      <c r="P222">
        <v>5.6</v>
      </c>
      <c r="Q222">
        <v>-1</v>
      </c>
      <c r="R222">
        <v>-5.7</v>
      </c>
      <c r="S222">
        <v>1.5</v>
      </c>
      <c r="T222">
        <v>6</v>
      </c>
    </row>
    <row r="223" spans="1:20" x14ac:dyDescent="0.35">
      <c r="A223">
        <v>221</v>
      </c>
      <c r="B223" t="s">
        <v>257</v>
      </c>
      <c r="C223" s="30"/>
      <c r="D223" t="s">
        <v>86</v>
      </c>
      <c r="E223" t="s">
        <v>82</v>
      </c>
      <c r="F223" t="s">
        <v>86</v>
      </c>
      <c r="G223" t="s">
        <v>601</v>
      </c>
      <c r="H223" t="s">
        <v>22</v>
      </c>
      <c r="I223">
        <v>0</v>
      </c>
      <c r="J223">
        <v>-2.5</v>
      </c>
      <c r="K223">
        <v>-1.5</v>
      </c>
      <c r="L223">
        <v>5.7</v>
      </c>
      <c r="M223">
        <v>0</v>
      </c>
      <c r="N223">
        <v>-4.3</v>
      </c>
      <c r="O223">
        <v>1.5</v>
      </c>
      <c r="P223">
        <v>5.6</v>
      </c>
      <c r="Q223">
        <v>0</v>
      </c>
      <c r="R223">
        <v>-4.3</v>
      </c>
      <c r="S223">
        <v>-0.5</v>
      </c>
      <c r="T223">
        <v>6</v>
      </c>
    </row>
    <row r="224" spans="1:20" x14ac:dyDescent="0.35">
      <c r="A224">
        <v>222</v>
      </c>
      <c r="B224" t="s">
        <v>719</v>
      </c>
      <c r="C224" s="30"/>
      <c r="D224" t="s">
        <v>592</v>
      </c>
      <c r="E224" t="s">
        <v>590</v>
      </c>
      <c r="F224" t="s">
        <v>589</v>
      </c>
      <c r="G224" t="s">
        <v>591</v>
      </c>
      <c r="H224" t="s">
        <v>630</v>
      </c>
      <c r="I224">
        <v>0</v>
      </c>
      <c r="J224">
        <v>1</v>
      </c>
      <c r="K224">
        <v>-4.3</v>
      </c>
      <c r="L224">
        <v>5.7</v>
      </c>
      <c r="M224">
        <v>4.3</v>
      </c>
      <c r="N224">
        <v>0</v>
      </c>
      <c r="O224">
        <v>-2</v>
      </c>
      <c r="P224">
        <v>1.5</v>
      </c>
      <c r="Q224">
        <v>1.3</v>
      </c>
      <c r="R224">
        <v>0</v>
      </c>
      <c r="S224">
        <v>-3.5</v>
      </c>
      <c r="T224">
        <v>4.3</v>
      </c>
    </row>
    <row r="225" spans="1:20" x14ac:dyDescent="0.35">
      <c r="A225">
        <v>223</v>
      </c>
      <c r="B225" t="s">
        <v>990</v>
      </c>
      <c r="C225" s="30"/>
      <c r="D225" t="s">
        <v>593</v>
      </c>
      <c r="E225" t="s">
        <v>599</v>
      </c>
      <c r="F225" t="s">
        <v>592</v>
      </c>
      <c r="G225" t="s">
        <v>617</v>
      </c>
      <c r="H225" t="s">
        <v>648</v>
      </c>
      <c r="I225">
        <v>-1.3</v>
      </c>
      <c r="J225">
        <v>5.3</v>
      </c>
      <c r="K225">
        <v>-0.7</v>
      </c>
      <c r="L225">
        <v>0.5</v>
      </c>
      <c r="M225">
        <v>1.5</v>
      </c>
      <c r="N225">
        <v>-2</v>
      </c>
      <c r="O225">
        <v>1.5</v>
      </c>
      <c r="P225">
        <v>2.5</v>
      </c>
      <c r="Q225">
        <v>0.5</v>
      </c>
      <c r="R225">
        <v>1</v>
      </c>
      <c r="S225">
        <v>0</v>
      </c>
      <c r="T225">
        <v>1.5</v>
      </c>
    </row>
    <row r="226" spans="1:20" x14ac:dyDescent="0.35">
      <c r="A226">
        <v>224</v>
      </c>
      <c r="B226" t="s">
        <v>992</v>
      </c>
      <c r="C226" s="30"/>
      <c r="D226" t="s">
        <v>587</v>
      </c>
      <c r="E226" t="s">
        <v>587</v>
      </c>
      <c r="F226" t="s">
        <v>585</v>
      </c>
      <c r="G226" t="s">
        <v>611</v>
      </c>
      <c r="H226" t="s">
        <v>637</v>
      </c>
      <c r="I226">
        <v>0.5</v>
      </c>
      <c r="J226">
        <v>5.7</v>
      </c>
      <c r="K226">
        <v>-3.5</v>
      </c>
      <c r="L226">
        <v>-1.5</v>
      </c>
      <c r="M226">
        <v>0.5</v>
      </c>
      <c r="N226">
        <v>0.5</v>
      </c>
      <c r="O226">
        <v>2.5</v>
      </c>
      <c r="P226">
        <v>1.5</v>
      </c>
      <c r="Q226">
        <v>0.7</v>
      </c>
      <c r="R226">
        <v>4</v>
      </c>
      <c r="S226">
        <v>-0.5</v>
      </c>
      <c r="T226">
        <v>0.3</v>
      </c>
    </row>
    <row r="227" spans="1:20" x14ac:dyDescent="0.35">
      <c r="A227">
        <v>225</v>
      </c>
      <c r="B227" t="s">
        <v>1156</v>
      </c>
      <c r="C227" s="30"/>
      <c r="D227" t="s">
        <v>86</v>
      </c>
      <c r="E227" t="s">
        <v>82</v>
      </c>
      <c r="F227" t="s">
        <v>82</v>
      </c>
      <c r="G227" t="s">
        <v>84</v>
      </c>
      <c r="H227" t="s">
        <v>85</v>
      </c>
      <c r="I227">
        <v>-2.5</v>
      </c>
      <c r="J227">
        <v>-4.5999999999999996</v>
      </c>
      <c r="K227">
        <v>-0.7</v>
      </c>
      <c r="L227">
        <v>6</v>
      </c>
      <c r="M227">
        <v>0</v>
      </c>
      <c r="N227">
        <v>-5.3</v>
      </c>
      <c r="O227">
        <v>4</v>
      </c>
      <c r="P227">
        <v>5.6</v>
      </c>
      <c r="Q227">
        <v>-1</v>
      </c>
      <c r="R227">
        <v>-5.7</v>
      </c>
      <c r="S227">
        <v>1.5</v>
      </c>
      <c r="T227">
        <v>6.3</v>
      </c>
    </row>
    <row r="228" spans="1:20" x14ac:dyDescent="0.35">
      <c r="A228">
        <v>226</v>
      </c>
      <c r="B228" t="s">
        <v>940</v>
      </c>
      <c r="C228" s="30"/>
      <c r="D228" t="s">
        <v>82</v>
      </c>
      <c r="E228" t="s">
        <v>599</v>
      </c>
      <c r="F228" t="s">
        <v>82</v>
      </c>
      <c r="G228" t="s">
        <v>84</v>
      </c>
      <c r="H228" t="s">
        <v>85</v>
      </c>
      <c r="I228">
        <v>-2.5</v>
      </c>
      <c r="J228">
        <v>-1.3</v>
      </c>
      <c r="K228">
        <v>0.5</v>
      </c>
      <c r="L228">
        <v>2</v>
      </c>
      <c r="M228">
        <v>1.5</v>
      </c>
      <c r="N228">
        <v>-3.5</v>
      </c>
      <c r="O228">
        <v>1.5</v>
      </c>
      <c r="P228">
        <v>2.5</v>
      </c>
      <c r="Q228">
        <v>-0.25</v>
      </c>
      <c r="R228">
        <v>-3</v>
      </c>
      <c r="S228">
        <v>1</v>
      </c>
      <c r="T228">
        <v>3</v>
      </c>
    </row>
    <row r="229" spans="1:20" x14ac:dyDescent="0.35">
      <c r="A229">
        <v>227</v>
      </c>
      <c r="B229" t="s">
        <v>1006</v>
      </c>
      <c r="C229" s="30"/>
      <c r="D229" t="s">
        <v>82</v>
      </c>
      <c r="E229" t="s">
        <v>83</v>
      </c>
      <c r="F229" t="s">
        <v>82</v>
      </c>
      <c r="G229" t="s">
        <v>84</v>
      </c>
      <c r="H229" t="s">
        <v>85</v>
      </c>
      <c r="I229">
        <v>-5.3</v>
      </c>
      <c r="J229">
        <v>-1.3</v>
      </c>
      <c r="K229">
        <v>1</v>
      </c>
      <c r="L229">
        <v>3</v>
      </c>
      <c r="M229">
        <v>-2.5</v>
      </c>
      <c r="N229">
        <v>-2</v>
      </c>
      <c r="O229">
        <v>6</v>
      </c>
      <c r="P229">
        <v>5.6</v>
      </c>
      <c r="Q229">
        <v>-3.25</v>
      </c>
      <c r="R229">
        <v>-2</v>
      </c>
      <c r="S229">
        <v>3.5</v>
      </c>
      <c r="T229">
        <v>5.5</v>
      </c>
    </row>
    <row r="230" spans="1:20" x14ac:dyDescent="0.35">
      <c r="A230">
        <v>228</v>
      </c>
      <c r="B230" t="s">
        <v>695</v>
      </c>
      <c r="C230" s="30"/>
      <c r="D230" t="s">
        <v>82</v>
      </c>
      <c r="E230" t="s">
        <v>599</v>
      </c>
      <c r="F230" t="s">
        <v>82</v>
      </c>
      <c r="G230" t="s">
        <v>84</v>
      </c>
      <c r="H230" t="s">
        <v>85</v>
      </c>
      <c r="I230">
        <v>-5.3</v>
      </c>
      <c r="J230">
        <v>-4.5999999999999996</v>
      </c>
      <c r="K230">
        <v>2.5</v>
      </c>
      <c r="L230">
        <v>6</v>
      </c>
      <c r="M230">
        <v>4.3</v>
      </c>
      <c r="N230">
        <v>-7.2</v>
      </c>
      <c r="O230">
        <v>1.5</v>
      </c>
      <c r="P230">
        <v>7</v>
      </c>
      <c r="Q230">
        <v>-0.25</v>
      </c>
      <c r="R230">
        <v>-6.7</v>
      </c>
      <c r="S230">
        <v>2</v>
      </c>
      <c r="T230">
        <v>6.5</v>
      </c>
    </row>
    <row r="231" spans="1:20" x14ac:dyDescent="0.35">
      <c r="A231">
        <v>229</v>
      </c>
      <c r="B231" t="s">
        <v>282</v>
      </c>
      <c r="C231" s="30"/>
      <c r="D231" t="s">
        <v>602</v>
      </c>
      <c r="E231" t="s">
        <v>597</v>
      </c>
      <c r="F231" t="s">
        <v>87</v>
      </c>
      <c r="G231" t="s">
        <v>603</v>
      </c>
      <c r="H231" t="s">
        <v>634</v>
      </c>
      <c r="I231">
        <v>0</v>
      </c>
      <c r="J231">
        <v>1</v>
      </c>
      <c r="K231">
        <v>0.5</v>
      </c>
      <c r="L231">
        <v>-3.5</v>
      </c>
      <c r="M231">
        <v>0.5</v>
      </c>
      <c r="N231">
        <v>-3.5</v>
      </c>
      <c r="O231">
        <v>2.5</v>
      </c>
      <c r="P231">
        <v>2.5</v>
      </c>
      <c r="Q231">
        <v>0.5</v>
      </c>
      <c r="R231">
        <v>-2</v>
      </c>
      <c r="S231">
        <v>1.5</v>
      </c>
      <c r="T231">
        <v>0.3</v>
      </c>
    </row>
    <row r="232" spans="1:20" x14ac:dyDescent="0.35">
      <c r="A232">
        <v>230</v>
      </c>
      <c r="B232" t="s">
        <v>653</v>
      </c>
      <c r="C232" s="30"/>
      <c r="D232" t="s">
        <v>82</v>
      </c>
      <c r="E232" t="s">
        <v>83</v>
      </c>
      <c r="F232" t="s">
        <v>82</v>
      </c>
      <c r="G232" t="s">
        <v>84</v>
      </c>
      <c r="H232" t="s">
        <v>85</v>
      </c>
      <c r="I232">
        <v>-5.3</v>
      </c>
      <c r="J232">
        <v>-2.5</v>
      </c>
      <c r="K232">
        <v>0.5</v>
      </c>
      <c r="L232">
        <v>6</v>
      </c>
      <c r="M232">
        <v>0</v>
      </c>
      <c r="N232">
        <v>-3.5</v>
      </c>
      <c r="O232">
        <v>4</v>
      </c>
      <c r="P232">
        <v>2.5</v>
      </c>
      <c r="Q232">
        <v>-2.5</v>
      </c>
      <c r="R232">
        <v>-3.5</v>
      </c>
      <c r="S232">
        <v>2</v>
      </c>
      <c r="T232">
        <v>5.7</v>
      </c>
    </row>
    <row r="233" spans="1:20" x14ac:dyDescent="0.35">
      <c r="A233">
        <v>231</v>
      </c>
      <c r="B233" t="s">
        <v>953</v>
      </c>
      <c r="C233" s="30"/>
      <c r="D233" t="s">
        <v>598</v>
      </c>
      <c r="E233" t="s">
        <v>87</v>
      </c>
      <c r="F233" t="s">
        <v>599</v>
      </c>
      <c r="G233" t="s">
        <v>600</v>
      </c>
      <c r="H233" t="s">
        <v>633</v>
      </c>
      <c r="I233">
        <v>1</v>
      </c>
      <c r="J233">
        <v>1</v>
      </c>
      <c r="K233">
        <v>-1.5</v>
      </c>
      <c r="L233">
        <v>2</v>
      </c>
      <c r="M233">
        <v>1.5</v>
      </c>
      <c r="N233">
        <v>-4.3</v>
      </c>
      <c r="O233">
        <v>4</v>
      </c>
      <c r="P233">
        <v>1.5</v>
      </c>
      <c r="Q233">
        <v>1.3</v>
      </c>
      <c r="R233">
        <v>-3</v>
      </c>
      <c r="S233">
        <v>1</v>
      </c>
      <c r="T233">
        <v>1.5</v>
      </c>
    </row>
    <row r="234" spans="1:20" x14ac:dyDescent="0.35">
      <c r="A234">
        <v>232</v>
      </c>
      <c r="B234" t="s">
        <v>967</v>
      </c>
      <c r="C234" s="30"/>
      <c r="D234" t="s">
        <v>593</v>
      </c>
      <c r="E234" t="s">
        <v>82</v>
      </c>
      <c r="F234" t="s">
        <v>592</v>
      </c>
      <c r="G234" t="s">
        <v>617</v>
      </c>
      <c r="H234" t="s">
        <v>640</v>
      </c>
      <c r="I234">
        <v>0</v>
      </c>
      <c r="J234">
        <v>3</v>
      </c>
      <c r="K234">
        <v>-0.7</v>
      </c>
      <c r="L234">
        <v>0.5</v>
      </c>
      <c r="M234">
        <v>0</v>
      </c>
      <c r="N234">
        <v>0</v>
      </c>
      <c r="O234">
        <v>1.5</v>
      </c>
      <c r="P234">
        <v>2.5</v>
      </c>
      <c r="Q234">
        <v>0</v>
      </c>
      <c r="R234">
        <v>0.5</v>
      </c>
      <c r="S234">
        <v>0</v>
      </c>
      <c r="T234">
        <v>1.5</v>
      </c>
    </row>
    <row r="235" spans="1:20" x14ac:dyDescent="0.35">
      <c r="A235">
        <v>233</v>
      </c>
      <c r="B235" t="s">
        <v>994</v>
      </c>
      <c r="C235" s="30"/>
      <c r="D235" t="s">
        <v>592</v>
      </c>
      <c r="E235" t="s">
        <v>590</v>
      </c>
      <c r="F235" t="s">
        <v>589</v>
      </c>
      <c r="G235" t="s">
        <v>591</v>
      </c>
      <c r="H235" t="s">
        <v>630</v>
      </c>
      <c r="I235">
        <v>-1.3</v>
      </c>
      <c r="J235">
        <v>1</v>
      </c>
      <c r="K235">
        <v>-0.7</v>
      </c>
      <c r="L235">
        <v>2</v>
      </c>
      <c r="M235">
        <v>6.5</v>
      </c>
      <c r="N235">
        <v>0</v>
      </c>
      <c r="O235">
        <v>-2</v>
      </c>
      <c r="P235">
        <v>1.5</v>
      </c>
      <c r="Q235">
        <v>1.3</v>
      </c>
      <c r="R235">
        <v>0</v>
      </c>
      <c r="S235">
        <v>-1.5</v>
      </c>
      <c r="T235">
        <v>1.5</v>
      </c>
    </row>
    <row r="236" spans="1:20" x14ac:dyDescent="0.35">
      <c r="A236">
        <v>234</v>
      </c>
      <c r="B236" t="s">
        <v>720</v>
      </c>
      <c r="C236" s="30"/>
      <c r="D236" t="s">
        <v>589</v>
      </c>
      <c r="E236" t="s">
        <v>590</v>
      </c>
      <c r="F236" t="s">
        <v>589</v>
      </c>
      <c r="G236" t="s">
        <v>591</v>
      </c>
      <c r="H236" t="s">
        <v>630</v>
      </c>
      <c r="I236">
        <v>1</v>
      </c>
      <c r="J236">
        <v>-2.5</v>
      </c>
      <c r="K236">
        <v>-0.7</v>
      </c>
      <c r="L236">
        <v>3</v>
      </c>
      <c r="M236">
        <v>2.5</v>
      </c>
      <c r="N236">
        <v>-4.3</v>
      </c>
      <c r="O236">
        <v>1.5</v>
      </c>
      <c r="P236">
        <v>2.5</v>
      </c>
      <c r="Q236">
        <v>1.5</v>
      </c>
      <c r="R236">
        <v>-4.3</v>
      </c>
      <c r="S236">
        <v>0</v>
      </c>
      <c r="T236">
        <v>4</v>
      </c>
    </row>
    <row r="237" spans="1:20" x14ac:dyDescent="0.35">
      <c r="A237">
        <v>235</v>
      </c>
      <c r="B237" t="s">
        <v>1022</v>
      </c>
      <c r="C237" s="30"/>
      <c r="D237" t="s">
        <v>590</v>
      </c>
      <c r="E237" t="s">
        <v>620</v>
      </c>
      <c r="F237" t="s">
        <v>590</v>
      </c>
      <c r="G237" t="s">
        <v>614</v>
      </c>
      <c r="H237" t="s">
        <v>639</v>
      </c>
      <c r="I237">
        <v>1</v>
      </c>
      <c r="J237">
        <v>-2.5</v>
      </c>
      <c r="K237">
        <v>-0.7</v>
      </c>
      <c r="L237">
        <v>0.5</v>
      </c>
      <c r="M237">
        <v>2.5</v>
      </c>
      <c r="N237">
        <v>0.5</v>
      </c>
      <c r="O237">
        <v>-1.3</v>
      </c>
      <c r="P237">
        <v>0.5</v>
      </c>
      <c r="Q237">
        <v>1.5</v>
      </c>
      <c r="R237">
        <v>-1.5</v>
      </c>
      <c r="S237">
        <v>-1</v>
      </c>
      <c r="T237">
        <v>0.3</v>
      </c>
    </row>
    <row r="238" spans="1:20" x14ac:dyDescent="0.35">
      <c r="A238">
        <v>236</v>
      </c>
      <c r="B238" t="s">
        <v>1095</v>
      </c>
      <c r="C238" s="30"/>
      <c r="D238" t="s">
        <v>595</v>
      </c>
      <c r="E238" t="s">
        <v>83</v>
      </c>
      <c r="F238" t="s">
        <v>83</v>
      </c>
      <c r="G238" t="s">
        <v>594</v>
      </c>
      <c r="H238" t="s">
        <v>631</v>
      </c>
      <c r="I238">
        <v>-2.5</v>
      </c>
      <c r="J238">
        <v>3</v>
      </c>
      <c r="K238">
        <v>2.5</v>
      </c>
      <c r="L238">
        <v>0.5</v>
      </c>
      <c r="M238">
        <v>-3</v>
      </c>
      <c r="N238">
        <v>-5.3</v>
      </c>
      <c r="O238">
        <v>7.5</v>
      </c>
      <c r="P238">
        <v>5.6</v>
      </c>
      <c r="Q238">
        <v>-3</v>
      </c>
      <c r="R238">
        <v>-3</v>
      </c>
      <c r="S238">
        <v>4.7</v>
      </c>
      <c r="T238">
        <v>4</v>
      </c>
    </row>
    <row r="239" spans="1:20" x14ac:dyDescent="0.35">
      <c r="A239">
        <v>237</v>
      </c>
      <c r="B239" t="s">
        <v>712</v>
      </c>
      <c r="C239" s="30"/>
      <c r="D239" t="s">
        <v>82</v>
      </c>
      <c r="E239" t="s">
        <v>597</v>
      </c>
      <c r="F239" t="s">
        <v>82</v>
      </c>
      <c r="G239" t="s">
        <v>84</v>
      </c>
      <c r="H239" t="s">
        <v>85</v>
      </c>
      <c r="I239">
        <v>-1.3</v>
      </c>
      <c r="J239">
        <v>-4.5999999999999996</v>
      </c>
      <c r="K239">
        <v>3</v>
      </c>
      <c r="L239">
        <v>3</v>
      </c>
      <c r="M239">
        <v>0.5</v>
      </c>
      <c r="N239">
        <v>-4.3</v>
      </c>
      <c r="O239">
        <v>4</v>
      </c>
      <c r="P239">
        <v>2.5</v>
      </c>
      <c r="Q239">
        <v>0</v>
      </c>
      <c r="R239">
        <v>-4.7</v>
      </c>
      <c r="S239">
        <v>4</v>
      </c>
      <c r="T239">
        <v>4</v>
      </c>
    </row>
    <row r="240" spans="1:20" x14ac:dyDescent="0.35">
      <c r="A240">
        <v>238</v>
      </c>
      <c r="B240" t="s">
        <v>1475</v>
      </c>
      <c r="C240" s="30"/>
      <c r="D240" t="s">
        <v>82</v>
      </c>
      <c r="E240" t="s">
        <v>589</v>
      </c>
      <c r="F240" t="s">
        <v>82</v>
      </c>
      <c r="G240" t="s">
        <v>84</v>
      </c>
      <c r="H240" t="s">
        <v>85</v>
      </c>
      <c r="I240">
        <v>-2.5</v>
      </c>
      <c r="J240">
        <v>-4.5999999999999996</v>
      </c>
      <c r="K240">
        <v>2.5</v>
      </c>
      <c r="L240">
        <v>5.3</v>
      </c>
      <c r="M240">
        <v>1.5</v>
      </c>
      <c r="N240">
        <v>0</v>
      </c>
      <c r="O240">
        <v>-1.3</v>
      </c>
      <c r="P240">
        <v>4</v>
      </c>
      <c r="Q240">
        <v>-0.25</v>
      </c>
      <c r="R240">
        <v>-3</v>
      </c>
      <c r="S240">
        <v>1</v>
      </c>
      <c r="T240">
        <v>5.5</v>
      </c>
    </row>
    <row r="241" spans="1:20" x14ac:dyDescent="0.35">
      <c r="A241">
        <v>239</v>
      </c>
      <c r="B241" t="s">
        <v>342</v>
      </c>
      <c r="C241" s="30"/>
      <c r="D241" t="s">
        <v>589</v>
      </c>
      <c r="E241" t="s">
        <v>599</v>
      </c>
      <c r="F241" t="s">
        <v>589</v>
      </c>
      <c r="G241" t="s">
        <v>591</v>
      </c>
      <c r="H241" t="s">
        <v>630</v>
      </c>
      <c r="I241">
        <v>1</v>
      </c>
      <c r="J241">
        <v>-2.5</v>
      </c>
      <c r="K241">
        <v>-1.5</v>
      </c>
      <c r="L241">
        <v>2</v>
      </c>
      <c r="M241">
        <v>1.5</v>
      </c>
      <c r="N241">
        <v>-2</v>
      </c>
      <c r="O241">
        <v>0.5</v>
      </c>
      <c r="P241">
        <v>2.5</v>
      </c>
      <c r="Q241">
        <v>1.3</v>
      </c>
      <c r="R241">
        <v>-3</v>
      </c>
      <c r="S241">
        <v>-1</v>
      </c>
      <c r="T241">
        <v>3</v>
      </c>
    </row>
    <row r="242" spans="1:20" x14ac:dyDescent="0.35">
      <c r="A242">
        <v>240</v>
      </c>
      <c r="B242" t="s">
        <v>682</v>
      </c>
      <c r="C242" s="30"/>
      <c r="D242" t="s">
        <v>593</v>
      </c>
      <c r="E242" t="s">
        <v>83</v>
      </c>
      <c r="F242" t="s">
        <v>607</v>
      </c>
      <c r="G242" t="s">
        <v>609</v>
      </c>
      <c r="H242" t="s">
        <v>636</v>
      </c>
      <c r="I242">
        <v>-6</v>
      </c>
      <c r="J242">
        <v>5.7</v>
      </c>
      <c r="K242">
        <v>-0.7</v>
      </c>
      <c r="L242">
        <v>2</v>
      </c>
      <c r="M242">
        <v>-2.5</v>
      </c>
      <c r="N242">
        <v>0</v>
      </c>
      <c r="O242">
        <v>4</v>
      </c>
      <c r="P242">
        <v>2.5</v>
      </c>
      <c r="Q242">
        <v>-3.5</v>
      </c>
      <c r="R242">
        <v>3</v>
      </c>
      <c r="S242">
        <v>1.5</v>
      </c>
      <c r="T242">
        <v>3</v>
      </c>
    </row>
    <row r="243" spans="1:20" x14ac:dyDescent="0.35">
      <c r="A243">
        <v>241</v>
      </c>
      <c r="B243" t="s">
        <v>694</v>
      </c>
      <c r="C243" s="30"/>
      <c r="D243" t="s">
        <v>602</v>
      </c>
      <c r="E243" t="s">
        <v>602</v>
      </c>
      <c r="F243" t="s">
        <v>606</v>
      </c>
      <c r="G243" t="s">
        <v>622</v>
      </c>
      <c r="H243" t="s">
        <v>643</v>
      </c>
      <c r="I243">
        <v>-4</v>
      </c>
      <c r="J243">
        <v>3</v>
      </c>
      <c r="K243">
        <v>1</v>
      </c>
      <c r="L243">
        <v>-1.5</v>
      </c>
      <c r="M243">
        <v>0.5</v>
      </c>
      <c r="N243">
        <v>0.5</v>
      </c>
      <c r="O243">
        <v>2.5</v>
      </c>
      <c r="P243">
        <v>2.5</v>
      </c>
      <c r="Q243">
        <v>-1</v>
      </c>
      <c r="R243">
        <v>1</v>
      </c>
      <c r="S243">
        <v>2</v>
      </c>
      <c r="T243">
        <v>0.5</v>
      </c>
    </row>
    <row r="244" spans="1:20" x14ac:dyDescent="0.35">
      <c r="A244">
        <v>242</v>
      </c>
      <c r="B244" t="s">
        <v>996</v>
      </c>
      <c r="C244" s="30"/>
      <c r="D244" t="s">
        <v>607</v>
      </c>
      <c r="E244" t="s">
        <v>83</v>
      </c>
      <c r="F244" t="s">
        <v>82</v>
      </c>
      <c r="G244" t="s">
        <v>84</v>
      </c>
      <c r="H244" t="s">
        <v>85</v>
      </c>
      <c r="I244">
        <v>-5.3</v>
      </c>
      <c r="J244">
        <v>1</v>
      </c>
      <c r="K244">
        <v>0.5</v>
      </c>
      <c r="L244">
        <v>5.3</v>
      </c>
      <c r="M244">
        <v>-1.3</v>
      </c>
      <c r="N244">
        <v>-2</v>
      </c>
      <c r="O244">
        <v>4</v>
      </c>
      <c r="P244">
        <v>1.5</v>
      </c>
      <c r="Q244">
        <v>-2.75</v>
      </c>
      <c r="R244">
        <v>-1.5</v>
      </c>
      <c r="S244">
        <v>2</v>
      </c>
      <c r="T244">
        <v>4</v>
      </c>
    </row>
    <row r="245" spans="1:20" x14ac:dyDescent="0.35">
      <c r="A245">
        <v>243</v>
      </c>
      <c r="B245" t="s">
        <v>715</v>
      </c>
      <c r="C245" s="30"/>
      <c r="D245" t="s">
        <v>585</v>
      </c>
      <c r="E245" t="s">
        <v>590</v>
      </c>
      <c r="F245" t="s">
        <v>620</v>
      </c>
      <c r="G245" t="s">
        <v>621</v>
      </c>
      <c r="H245" t="s">
        <v>642</v>
      </c>
      <c r="I245">
        <v>0.5</v>
      </c>
      <c r="J245">
        <v>3</v>
      </c>
      <c r="K245">
        <v>-0.7</v>
      </c>
      <c r="L245">
        <v>0.5</v>
      </c>
      <c r="M245">
        <v>4.3</v>
      </c>
      <c r="N245">
        <v>0.5</v>
      </c>
      <c r="O245">
        <v>-1.3</v>
      </c>
      <c r="P245">
        <v>1.5</v>
      </c>
      <c r="Q245">
        <v>1.5</v>
      </c>
      <c r="R245">
        <v>1</v>
      </c>
      <c r="S245">
        <v>-1</v>
      </c>
      <c r="T245">
        <v>0.5</v>
      </c>
    </row>
    <row r="246" spans="1:20" x14ac:dyDescent="0.35">
      <c r="A246">
        <v>244</v>
      </c>
      <c r="B246" t="s">
        <v>975</v>
      </c>
      <c r="C246" s="30"/>
      <c r="D246" t="s">
        <v>604</v>
      </c>
      <c r="E246" t="s">
        <v>599</v>
      </c>
      <c r="F246" t="s">
        <v>599</v>
      </c>
      <c r="G246" t="s">
        <v>600</v>
      </c>
      <c r="H246" t="s">
        <v>633</v>
      </c>
      <c r="I246">
        <v>2</v>
      </c>
      <c r="J246">
        <v>-4.5999999999999996</v>
      </c>
      <c r="K246">
        <v>2.5</v>
      </c>
      <c r="L246">
        <v>-1.5</v>
      </c>
      <c r="M246">
        <v>2.5</v>
      </c>
      <c r="N246">
        <v>-2</v>
      </c>
      <c r="O246">
        <v>1.5</v>
      </c>
      <c r="P246">
        <v>7</v>
      </c>
      <c r="Q246">
        <v>2</v>
      </c>
      <c r="R246">
        <v>-3.5</v>
      </c>
      <c r="S246">
        <v>2</v>
      </c>
      <c r="T246">
        <v>4</v>
      </c>
    </row>
    <row r="247" spans="1:20" x14ac:dyDescent="0.35">
      <c r="A247">
        <v>245</v>
      </c>
      <c r="B247" t="s">
        <v>686</v>
      </c>
      <c r="C247" s="30"/>
      <c r="D247" t="s">
        <v>595</v>
      </c>
      <c r="E247" t="s">
        <v>87</v>
      </c>
      <c r="F247" t="s">
        <v>606</v>
      </c>
      <c r="G247" t="s">
        <v>622</v>
      </c>
      <c r="H247" t="s">
        <v>643</v>
      </c>
      <c r="I247">
        <v>-2.5</v>
      </c>
      <c r="J247">
        <v>3.5</v>
      </c>
      <c r="K247">
        <v>1</v>
      </c>
      <c r="L247">
        <v>2</v>
      </c>
      <c r="M247">
        <v>2.5</v>
      </c>
      <c r="N247">
        <v>-2</v>
      </c>
      <c r="O247">
        <v>2.5</v>
      </c>
      <c r="P247">
        <v>0.5</v>
      </c>
      <c r="Q247">
        <v>0</v>
      </c>
      <c r="R247">
        <v>0.5</v>
      </c>
      <c r="S247">
        <v>2</v>
      </c>
      <c r="T247">
        <v>0.5</v>
      </c>
    </row>
    <row r="248" spans="1:20" x14ac:dyDescent="0.35">
      <c r="A248">
        <v>246</v>
      </c>
      <c r="B248" t="s">
        <v>1255</v>
      </c>
      <c r="C248" s="30"/>
      <c r="D248" t="s">
        <v>82</v>
      </c>
      <c r="E248" t="s">
        <v>597</v>
      </c>
      <c r="F248" t="s">
        <v>88</v>
      </c>
      <c r="G248" t="s">
        <v>89</v>
      </c>
      <c r="H248" t="s">
        <v>90</v>
      </c>
      <c r="I248">
        <v>0</v>
      </c>
      <c r="J248">
        <v>-4.5999999999999996</v>
      </c>
      <c r="K248">
        <v>1</v>
      </c>
      <c r="L248">
        <v>2</v>
      </c>
      <c r="M248">
        <v>1.5</v>
      </c>
      <c r="N248">
        <v>-3.5</v>
      </c>
      <c r="O248">
        <v>2.5</v>
      </c>
      <c r="P248">
        <v>2.5</v>
      </c>
      <c r="Q248">
        <v>0.7</v>
      </c>
      <c r="R248">
        <v>-4.3</v>
      </c>
      <c r="S248">
        <v>2</v>
      </c>
      <c r="T248">
        <v>3</v>
      </c>
    </row>
    <row r="249" spans="1:20" x14ac:dyDescent="0.35">
      <c r="A249">
        <v>247</v>
      </c>
      <c r="B249" t="s">
        <v>583</v>
      </c>
      <c r="C249" s="30"/>
      <c r="D249" t="s">
        <v>624</v>
      </c>
      <c r="E249" t="s">
        <v>615</v>
      </c>
      <c r="F249" t="s">
        <v>604</v>
      </c>
      <c r="G249" t="s">
        <v>605</v>
      </c>
      <c r="H249" t="s">
        <v>635</v>
      </c>
      <c r="I249">
        <v>0</v>
      </c>
      <c r="J249">
        <v>1</v>
      </c>
      <c r="K249">
        <v>2.5</v>
      </c>
      <c r="L249">
        <v>-1.5</v>
      </c>
      <c r="M249">
        <v>2.5</v>
      </c>
      <c r="N249">
        <v>0</v>
      </c>
      <c r="O249">
        <v>1.5</v>
      </c>
      <c r="P249">
        <v>0.5</v>
      </c>
      <c r="Q249">
        <v>1</v>
      </c>
      <c r="R249">
        <v>0</v>
      </c>
      <c r="S249">
        <v>2</v>
      </c>
      <c r="T249">
        <v>0</v>
      </c>
    </row>
    <row r="250" spans="1:20" x14ac:dyDescent="0.35">
      <c r="A250">
        <v>248</v>
      </c>
      <c r="B250" t="s">
        <v>1133</v>
      </c>
      <c r="C250" s="30"/>
      <c r="D250" t="s">
        <v>607</v>
      </c>
      <c r="E250" t="s">
        <v>599</v>
      </c>
      <c r="F250" t="s">
        <v>86</v>
      </c>
      <c r="G250" t="s">
        <v>601</v>
      </c>
      <c r="H250" t="s">
        <v>22</v>
      </c>
      <c r="I250">
        <v>-4</v>
      </c>
      <c r="J250">
        <v>1</v>
      </c>
      <c r="K250">
        <v>0.5</v>
      </c>
      <c r="L250">
        <v>5.3</v>
      </c>
      <c r="M250">
        <v>1.5</v>
      </c>
      <c r="N250">
        <v>-3.5</v>
      </c>
      <c r="O250">
        <v>0.5</v>
      </c>
      <c r="P250">
        <v>2.5</v>
      </c>
      <c r="Q250">
        <v>-0.5</v>
      </c>
      <c r="R250">
        <v>-2</v>
      </c>
      <c r="S250">
        <v>0</v>
      </c>
      <c r="T250">
        <v>4.3</v>
      </c>
    </row>
    <row r="251" spans="1:20" x14ac:dyDescent="0.35">
      <c r="A251">
        <v>249</v>
      </c>
      <c r="B251" t="s">
        <v>676</v>
      </c>
      <c r="C251" s="30"/>
      <c r="D251" t="s">
        <v>607</v>
      </c>
      <c r="E251" t="s">
        <v>83</v>
      </c>
      <c r="F251" t="s">
        <v>82</v>
      </c>
      <c r="G251" t="s">
        <v>84</v>
      </c>
      <c r="H251" t="s">
        <v>85</v>
      </c>
      <c r="I251">
        <v>-5.3</v>
      </c>
      <c r="J251">
        <v>3</v>
      </c>
      <c r="K251">
        <v>1</v>
      </c>
      <c r="L251">
        <v>3</v>
      </c>
      <c r="M251">
        <v>-3.5</v>
      </c>
      <c r="N251">
        <v>-2</v>
      </c>
      <c r="O251">
        <v>7</v>
      </c>
      <c r="P251">
        <v>5.6</v>
      </c>
      <c r="Q251">
        <v>-4.3</v>
      </c>
      <c r="R251">
        <v>0</v>
      </c>
      <c r="S251">
        <v>4</v>
      </c>
      <c r="T251">
        <v>5.5</v>
      </c>
    </row>
    <row r="252" spans="1:20" x14ac:dyDescent="0.35">
      <c r="A252">
        <v>250</v>
      </c>
      <c r="B252" t="s">
        <v>969</v>
      </c>
      <c r="C252" s="30"/>
      <c r="D252" t="s">
        <v>602</v>
      </c>
      <c r="E252" t="s">
        <v>602</v>
      </c>
      <c r="F252" t="s">
        <v>595</v>
      </c>
      <c r="G252" t="s">
        <v>618</v>
      </c>
      <c r="H252" t="s">
        <v>641</v>
      </c>
      <c r="I252">
        <v>-4</v>
      </c>
      <c r="J252">
        <v>5.3</v>
      </c>
      <c r="K252">
        <v>0.5</v>
      </c>
      <c r="L252">
        <v>-1.5</v>
      </c>
      <c r="M252">
        <v>0.5</v>
      </c>
      <c r="N252">
        <v>0.5</v>
      </c>
      <c r="O252">
        <v>1.5</v>
      </c>
      <c r="P252">
        <v>1.5</v>
      </c>
      <c r="Q252">
        <v>-1</v>
      </c>
      <c r="R252">
        <v>3</v>
      </c>
      <c r="S252">
        <v>1</v>
      </c>
      <c r="T252">
        <v>0.3</v>
      </c>
    </row>
    <row r="253" spans="1:20" x14ac:dyDescent="0.35">
      <c r="A253">
        <v>251</v>
      </c>
      <c r="B253" t="s">
        <v>697</v>
      </c>
      <c r="C253" s="30"/>
      <c r="D253" t="s">
        <v>589</v>
      </c>
      <c r="E253" t="s">
        <v>599</v>
      </c>
      <c r="F253" t="s">
        <v>589</v>
      </c>
      <c r="G253" t="s">
        <v>591</v>
      </c>
      <c r="H253" t="s">
        <v>630</v>
      </c>
      <c r="I253">
        <v>0.5</v>
      </c>
      <c r="J253">
        <v>-1.3</v>
      </c>
      <c r="K253">
        <v>-0.7</v>
      </c>
      <c r="L253">
        <v>0.5</v>
      </c>
      <c r="M253">
        <v>1.5</v>
      </c>
      <c r="N253">
        <v>-4.3</v>
      </c>
      <c r="O253">
        <v>0.5</v>
      </c>
      <c r="P253">
        <v>5.6</v>
      </c>
      <c r="Q253">
        <v>1</v>
      </c>
      <c r="R253">
        <v>-3.5</v>
      </c>
      <c r="S253">
        <v>-0.5</v>
      </c>
      <c r="T253">
        <v>4</v>
      </c>
    </row>
    <row r="254" spans="1:20" x14ac:dyDescent="0.35">
      <c r="A254">
        <v>252</v>
      </c>
      <c r="B254" t="s">
        <v>696</v>
      </c>
      <c r="C254" s="30"/>
      <c r="D254" t="s">
        <v>589</v>
      </c>
      <c r="E254" t="s">
        <v>82</v>
      </c>
      <c r="F254" t="s">
        <v>88</v>
      </c>
      <c r="G254" t="s">
        <v>89</v>
      </c>
      <c r="H254" t="s">
        <v>90</v>
      </c>
      <c r="I254">
        <v>1</v>
      </c>
      <c r="J254">
        <v>-1.3</v>
      </c>
      <c r="K254">
        <v>-1.5</v>
      </c>
      <c r="L254">
        <v>3</v>
      </c>
      <c r="M254">
        <v>0</v>
      </c>
      <c r="N254">
        <v>-3.5</v>
      </c>
      <c r="O254">
        <v>4</v>
      </c>
      <c r="P254">
        <v>5.6</v>
      </c>
      <c r="Q254">
        <v>0.7</v>
      </c>
      <c r="R254">
        <v>-3</v>
      </c>
      <c r="S254">
        <v>1</v>
      </c>
      <c r="T254">
        <v>5.5</v>
      </c>
    </row>
    <row r="255" spans="1:20" x14ac:dyDescent="0.35">
      <c r="A255">
        <v>253</v>
      </c>
      <c r="B255" t="s">
        <v>710</v>
      </c>
      <c r="C255" s="30"/>
      <c r="D255" t="s">
        <v>592</v>
      </c>
      <c r="E255" t="s">
        <v>589</v>
      </c>
      <c r="F255" t="s">
        <v>86</v>
      </c>
      <c r="G255" t="s">
        <v>601</v>
      </c>
      <c r="H255" t="s">
        <v>22</v>
      </c>
      <c r="I255">
        <v>-1.7</v>
      </c>
      <c r="J255">
        <v>3</v>
      </c>
      <c r="K255">
        <v>-3.5</v>
      </c>
      <c r="L255">
        <v>5.7</v>
      </c>
      <c r="M255">
        <v>0.5</v>
      </c>
      <c r="N255">
        <v>-5.3</v>
      </c>
      <c r="O255">
        <v>-1.3</v>
      </c>
      <c r="P255">
        <v>7.5</v>
      </c>
      <c r="Q255">
        <v>-0.25</v>
      </c>
      <c r="R255">
        <v>-3</v>
      </c>
      <c r="S255">
        <v>-2</v>
      </c>
      <c r="T255">
        <v>6.5</v>
      </c>
    </row>
    <row r="256" spans="1:20" x14ac:dyDescent="0.35">
      <c r="A256">
        <v>254</v>
      </c>
      <c r="B256" t="s">
        <v>329</v>
      </c>
      <c r="C256" s="30"/>
      <c r="D256" t="s">
        <v>624</v>
      </c>
      <c r="E256" t="s">
        <v>606</v>
      </c>
      <c r="F256" t="s">
        <v>606</v>
      </c>
      <c r="G256" t="s">
        <v>622</v>
      </c>
      <c r="H256" t="s">
        <v>643</v>
      </c>
      <c r="I256">
        <v>-5.3</v>
      </c>
      <c r="J256">
        <v>3</v>
      </c>
      <c r="K256">
        <v>4</v>
      </c>
      <c r="L256">
        <v>-3.5</v>
      </c>
      <c r="M256">
        <v>-1.5</v>
      </c>
      <c r="N256">
        <v>0.5</v>
      </c>
      <c r="O256">
        <v>6</v>
      </c>
      <c r="P256">
        <v>2.5</v>
      </c>
      <c r="Q256">
        <v>-3</v>
      </c>
      <c r="R256">
        <v>1</v>
      </c>
      <c r="S256">
        <v>4.7</v>
      </c>
      <c r="T256">
        <v>0.3</v>
      </c>
    </row>
    <row r="257" spans="1:20" x14ac:dyDescent="0.35">
      <c r="A257">
        <v>255</v>
      </c>
      <c r="B257" t="s">
        <v>1059</v>
      </c>
      <c r="C257" s="30"/>
      <c r="D257" t="s">
        <v>592</v>
      </c>
      <c r="E257" t="s">
        <v>589</v>
      </c>
      <c r="F257" t="s">
        <v>589</v>
      </c>
      <c r="G257" t="s">
        <v>591</v>
      </c>
      <c r="H257" t="s">
        <v>630</v>
      </c>
      <c r="I257">
        <v>0.5</v>
      </c>
      <c r="J257">
        <v>3</v>
      </c>
      <c r="K257">
        <v>-0.7</v>
      </c>
      <c r="L257">
        <v>2</v>
      </c>
      <c r="M257">
        <v>2.5</v>
      </c>
      <c r="N257">
        <v>-5.3</v>
      </c>
      <c r="O257">
        <v>-1.3</v>
      </c>
      <c r="P257">
        <v>4</v>
      </c>
      <c r="Q257">
        <v>1.3</v>
      </c>
      <c r="R257">
        <v>-3</v>
      </c>
      <c r="S257">
        <v>-1</v>
      </c>
      <c r="T257">
        <v>4</v>
      </c>
    </row>
    <row r="258" spans="1:20" x14ac:dyDescent="0.35">
      <c r="A258">
        <v>256</v>
      </c>
      <c r="B258" t="s">
        <v>581</v>
      </c>
      <c r="C258" s="30"/>
      <c r="D258" t="s">
        <v>82</v>
      </c>
      <c r="E258" t="s">
        <v>83</v>
      </c>
      <c r="F258" t="s">
        <v>86</v>
      </c>
      <c r="G258" t="s">
        <v>601</v>
      </c>
      <c r="H258" t="s">
        <v>22</v>
      </c>
      <c r="I258">
        <v>-5.3</v>
      </c>
      <c r="J258">
        <v>-2.5</v>
      </c>
      <c r="K258">
        <v>3</v>
      </c>
      <c r="L258">
        <v>5.3</v>
      </c>
      <c r="M258">
        <v>-1.5</v>
      </c>
      <c r="N258">
        <v>-3.5</v>
      </c>
      <c r="O258">
        <v>6</v>
      </c>
      <c r="P258">
        <v>4</v>
      </c>
      <c r="Q258">
        <v>-3</v>
      </c>
      <c r="R258">
        <v>-3.5</v>
      </c>
      <c r="S258">
        <v>0</v>
      </c>
      <c r="T258">
        <v>5.5</v>
      </c>
    </row>
    <row r="259" spans="1:20" x14ac:dyDescent="0.35">
      <c r="A259">
        <v>257</v>
      </c>
      <c r="B259" t="s">
        <v>1061</v>
      </c>
      <c r="C259" s="30"/>
      <c r="D259" t="s">
        <v>593</v>
      </c>
      <c r="E259" t="s">
        <v>604</v>
      </c>
      <c r="F259" t="s">
        <v>604</v>
      </c>
      <c r="G259" t="s">
        <v>605</v>
      </c>
      <c r="H259" t="s">
        <v>635</v>
      </c>
      <c r="I259">
        <v>-1.3</v>
      </c>
      <c r="J259">
        <v>1</v>
      </c>
      <c r="K259">
        <v>-1.5</v>
      </c>
      <c r="L259">
        <v>0.5</v>
      </c>
      <c r="M259">
        <v>2.5</v>
      </c>
      <c r="N259">
        <v>-2</v>
      </c>
      <c r="O259">
        <v>4</v>
      </c>
      <c r="P259">
        <v>0</v>
      </c>
      <c r="Q259">
        <v>0.7</v>
      </c>
      <c r="R259">
        <v>-1.5</v>
      </c>
      <c r="S259">
        <v>1</v>
      </c>
      <c r="T259">
        <v>0</v>
      </c>
    </row>
    <row r="260" spans="1:20" x14ac:dyDescent="0.35">
      <c r="A260">
        <v>258</v>
      </c>
      <c r="B260" t="s">
        <v>1192</v>
      </c>
      <c r="C260" s="30"/>
      <c r="D260" t="s">
        <v>602</v>
      </c>
      <c r="E260" t="s">
        <v>82</v>
      </c>
      <c r="F260" t="s">
        <v>607</v>
      </c>
      <c r="G260" t="s">
        <v>609</v>
      </c>
      <c r="H260" t="s">
        <v>636</v>
      </c>
      <c r="I260">
        <v>-2.5</v>
      </c>
      <c r="J260">
        <v>5.3</v>
      </c>
      <c r="K260">
        <v>1</v>
      </c>
      <c r="L260">
        <v>-3.5</v>
      </c>
      <c r="M260">
        <v>-1.3</v>
      </c>
      <c r="N260">
        <v>-2</v>
      </c>
      <c r="O260">
        <v>0.5</v>
      </c>
      <c r="P260">
        <v>7</v>
      </c>
      <c r="Q260">
        <v>-1.5</v>
      </c>
      <c r="R260">
        <v>1</v>
      </c>
      <c r="S260">
        <v>1</v>
      </c>
      <c r="T260">
        <v>3</v>
      </c>
    </row>
    <row r="261" spans="1:20" x14ac:dyDescent="0.35">
      <c r="A261">
        <v>259</v>
      </c>
      <c r="B261" t="s">
        <v>706</v>
      </c>
      <c r="C261" s="30"/>
      <c r="D261" t="s">
        <v>607</v>
      </c>
      <c r="E261" t="s">
        <v>88</v>
      </c>
      <c r="F261" t="s">
        <v>82</v>
      </c>
      <c r="G261" t="s">
        <v>84</v>
      </c>
      <c r="H261" t="s">
        <v>85</v>
      </c>
      <c r="I261">
        <v>-2.5</v>
      </c>
      <c r="J261">
        <v>3</v>
      </c>
      <c r="K261">
        <v>0.5</v>
      </c>
      <c r="L261">
        <v>5.3</v>
      </c>
      <c r="M261">
        <v>0.5</v>
      </c>
      <c r="N261">
        <v>-5.3</v>
      </c>
      <c r="O261">
        <v>1.5</v>
      </c>
      <c r="P261">
        <v>7</v>
      </c>
      <c r="Q261">
        <v>-0.5</v>
      </c>
      <c r="R261">
        <v>-3</v>
      </c>
      <c r="S261">
        <v>1</v>
      </c>
      <c r="T261">
        <v>6</v>
      </c>
    </row>
    <row r="262" spans="1:20" x14ac:dyDescent="0.35">
      <c r="A262">
        <v>260</v>
      </c>
      <c r="B262" t="s">
        <v>1044</v>
      </c>
      <c r="C262" s="30"/>
      <c r="D262" t="s">
        <v>82</v>
      </c>
      <c r="E262" t="s">
        <v>88</v>
      </c>
      <c r="F262" t="s">
        <v>82</v>
      </c>
      <c r="G262" t="s">
        <v>84</v>
      </c>
      <c r="H262" t="s">
        <v>85</v>
      </c>
      <c r="I262">
        <v>-1.7</v>
      </c>
      <c r="J262">
        <v>-2.5</v>
      </c>
      <c r="K262">
        <v>4</v>
      </c>
      <c r="L262">
        <v>5.7</v>
      </c>
      <c r="M262">
        <v>1.5</v>
      </c>
      <c r="N262">
        <v>-7</v>
      </c>
      <c r="O262">
        <v>6</v>
      </c>
      <c r="P262">
        <v>7</v>
      </c>
      <c r="Q262">
        <v>0</v>
      </c>
      <c r="R262">
        <v>-6.5</v>
      </c>
      <c r="S262">
        <v>4.7</v>
      </c>
      <c r="T262">
        <v>6.3</v>
      </c>
    </row>
    <row r="263" spans="1:20" x14ac:dyDescent="0.35">
      <c r="A263">
        <v>261</v>
      </c>
      <c r="B263" t="s">
        <v>663</v>
      </c>
      <c r="C263" s="30"/>
      <c r="D263" t="s">
        <v>608</v>
      </c>
      <c r="E263" t="s">
        <v>599</v>
      </c>
      <c r="F263" t="s">
        <v>589</v>
      </c>
      <c r="G263" t="s">
        <v>591</v>
      </c>
      <c r="H263" t="s">
        <v>630</v>
      </c>
      <c r="I263">
        <v>0.5</v>
      </c>
      <c r="J263">
        <v>-2.5</v>
      </c>
      <c r="K263">
        <v>-0.7</v>
      </c>
      <c r="L263">
        <v>-1.5</v>
      </c>
      <c r="M263">
        <v>1.5</v>
      </c>
      <c r="N263">
        <v>-2</v>
      </c>
      <c r="O263">
        <v>1.5</v>
      </c>
      <c r="P263">
        <v>5.6</v>
      </c>
      <c r="Q263">
        <v>1</v>
      </c>
      <c r="R263">
        <v>-3</v>
      </c>
      <c r="S263">
        <v>0</v>
      </c>
      <c r="T263">
        <v>3</v>
      </c>
    </row>
    <row r="264" spans="1:20" x14ac:dyDescent="0.35">
      <c r="A264">
        <v>262</v>
      </c>
      <c r="B264" t="s">
        <v>1202</v>
      </c>
      <c r="C264" s="30"/>
      <c r="D264" t="s">
        <v>82</v>
      </c>
      <c r="E264" t="s">
        <v>599</v>
      </c>
      <c r="F264" t="s">
        <v>82</v>
      </c>
      <c r="G264" t="s">
        <v>84</v>
      </c>
      <c r="H264" t="s">
        <v>85</v>
      </c>
      <c r="I264">
        <v>-4</v>
      </c>
      <c r="J264">
        <v>-2.5</v>
      </c>
      <c r="K264">
        <v>0.5</v>
      </c>
      <c r="L264">
        <v>5.7</v>
      </c>
      <c r="M264">
        <v>2.5</v>
      </c>
      <c r="N264">
        <v>-6.5</v>
      </c>
      <c r="O264">
        <v>1.5</v>
      </c>
      <c r="P264">
        <v>7</v>
      </c>
      <c r="Q264">
        <v>-0.25</v>
      </c>
      <c r="R264">
        <v>-6</v>
      </c>
      <c r="S264">
        <v>1</v>
      </c>
      <c r="T264">
        <v>6.3</v>
      </c>
    </row>
    <row r="265" spans="1:20" x14ac:dyDescent="0.35">
      <c r="A265">
        <v>263</v>
      </c>
      <c r="B265" t="s">
        <v>1249</v>
      </c>
      <c r="C265" s="30"/>
      <c r="D265" t="s">
        <v>82</v>
      </c>
      <c r="E265" t="s">
        <v>82</v>
      </c>
      <c r="F265" t="s">
        <v>82</v>
      </c>
      <c r="G265" t="s">
        <v>84</v>
      </c>
      <c r="H265" t="s">
        <v>85</v>
      </c>
      <c r="I265">
        <v>-2.5</v>
      </c>
      <c r="J265">
        <v>-2.5</v>
      </c>
      <c r="K265">
        <v>0.5</v>
      </c>
      <c r="L265">
        <v>6</v>
      </c>
      <c r="M265">
        <v>0</v>
      </c>
      <c r="N265">
        <v>-5.3</v>
      </c>
      <c r="O265">
        <v>4</v>
      </c>
      <c r="P265">
        <v>5.6</v>
      </c>
      <c r="Q265">
        <v>-1</v>
      </c>
      <c r="R265">
        <v>-4.7</v>
      </c>
      <c r="S265">
        <v>2</v>
      </c>
      <c r="T265">
        <v>6.3</v>
      </c>
    </row>
    <row r="266" spans="1:20" x14ac:dyDescent="0.35">
      <c r="A266">
        <v>264</v>
      </c>
      <c r="B266" t="s">
        <v>650</v>
      </c>
      <c r="C266" s="30"/>
      <c r="D266" t="s">
        <v>82</v>
      </c>
      <c r="E266" t="s">
        <v>82</v>
      </c>
      <c r="F266" t="s">
        <v>82</v>
      </c>
      <c r="G266" t="s">
        <v>84</v>
      </c>
      <c r="H266" t="s">
        <v>85</v>
      </c>
      <c r="I266">
        <v>-2.5</v>
      </c>
      <c r="J266">
        <v>-4.5999999999999996</v>
      </c>
      <c r="K266">
        <v>1</v>
      </c>
      <c r="L266">
        <v>6.3</v>
      </c>
      <c r="M266">
        <v>-1.3</v>
      </c>
      <c r="N266">
        <v>-4.3</v>
      </c>
      <c r="O266">
        <v>2.5</v>
      </c>
      <c r="P266">
        <v>5.6</v>
      </c>
      <c r="Q266">
        <v>-1.5</v>
      </c>
      <c r="R266">
        <v>-4.7</v>
      </c>
      <c r="S266">
        <v>2</v>
      </c>
      <c r="T266">
        <v>6.5</v>
      </c>
    </row>
    <row r="267" spans="1:20" x14ac:dyDescent="0.35">
      <c r="A267">
        <v>265</v>
      </c>
      <c r="B267" t="s">
        <v>1158</v>
      </c>
      <c r="C267" s="30"/>
      <c r="D267" t="s">
        <v>589</v>
      </c>
      <c r="E267" t="s">
        <v>615</v>
      </c>
      <c r="F267" t="s">
        <v>590</v>
      </c>
      <c r="G267" t="s">
        <v>614</v>
      </c>
      <c r="H267" t="s">
        <v>639</v>
      </c>
      <c r="I267">
        <v>2</v>
      </c>
      <c r="J267">
        <v>-1.3</v>
      </c>
      <c r="K267">
        <v>-4.3</v>
      </c>
      <c r="L267">
        <v>2</v>
      </c>
      <c r="M267">
        <v>2.5</v>
      </c>
      <c r="N267">
        <v>0</v>
      </c>
      <c r="O267">
        <v>0.5</v>
      </c>
      <c r="P267">
        <v>0.5</v>
      </c>
      <c r="Q267">
        <v>2</v>
      </c>
      <c r="R267">
        <v>-1.5</v>
      </c>
      <c r="S267">
        <v>-2</v>
      </c>
      <c r="T267">
        <v>0.5</v>
      </c>
    </row>
    <row r="268" spans="1:20" x14ac:dyDescent="0.35">
      <c r="A268">
        <v>266</v>
      </c>
      <c r="B268" t="s">
        <v>1474</v>
      </c>
      <c r="C268" s="30"/>
      <c r="D268" t="s">
        <v>589</v>
      </c>
      <c r="E268" t="s">
        <v>589</v>
      </c>
      <c r="F268" t="s">
        <v>590</v>
      </c>
      <c r="G268" t="s">
        <v>614</v>
      </c>
      <c r="H268" t="s">
        <v>639</v>
      </c>
      <c r="I268">
        <v>2</v>
      </c>
      <c r="J268">
        <v>-1.3</v>
      </c>
      <c r="K268">
        <v>-4.3</v>
      </c>
      <c r="L268">
        <v>2</v>
      </c>
      <c r="M268">
        <v>2.5</v>
      </c>
      <c r="N268">
        <v>0.5</v>
      </c>
      <c r="O268">
        <v>0.5</v>
      </c>
      <c r="P268">
        <v>1.5</v>
      </c>
      <c r="Q268">
        <v>2</v>
      </c>
      <c r="R268">
        <v>0</v>
      </c>
      <c r="S268">
        <v>-2</v>
      </c>
      <c r="T268">
        <v>1.5</v>
      </c>
    </row>
    <row r="269" spans="1:20" x14ac:dyDescent="0.35">
      <c r="A269">
        <v>267</v>
      </c>
      <c r="B269" t="s">
        <v>1169</v>
      </c>
      <c r="C269" s="30"/>
      <c r="D269" t="s">
        <v>83</v>
      </c>
      <c r="E269" t="s">
        <v>83</v>
      </c>
      <c r="F269" t="s">
        <v>83</v>
      </c>
      <c r="G269" t="s">
        <v>594</v>
      </c>
      <c r="H269" t="s">
        <v>631</v>
      </c>
      <c r="I269">
        <v>-1.7</v>
      </c>
      <c r="J269">
        <v>-1.3</v>
      </c>
      <c r="K269">
        <v>2.5</v>
      </c>
      <c r="L269">
        <v>0.5</v>
      </c>
      <c r="M269">
        <v>-2.5</v>
      </c>
      <c r="N269">
        <v>-2</v>
      </c>
      <c r="O269">
        <v>6</v>
      </c>
      <c r="P269">
        <v>4</v>
      </c>
      <c r="Q269">
        <v>-2.5</v>
      </c>
      <c r="R269">
        <v>-2</v>
      </c>
      <c r="S269">
        <v>4</v>
      </c>
      <c r="T269">
        <v>3</v>
      </c>
    </row>
    <row r="270" spans="1:20" x14ac:dyDescent="0.35">
      <c r="A270">
        <v>268</v>
      </c>
      <c r="B270" t="s">
        <v>318</v>
      </c>
      <c r="C270" s="30"/>
      <c r="D270" t="s">
        <v>82</v>
      </c>
      <c r="E270" t="s">
        <v>88</v>
      </c>
      <c r="F270" t="s">
        <v>82</v>
      </c>
      <c r="G270" t="s">
        <v>84</v>
      </c>
      <c r="H270" t="s">
        <v>85</v>
      </c>
      <c r="I270">
        <v>-1.7</v>
      </c>
      <c r="J270">
        <v>-1.3</v>
      </c>
      <c r="K270">
        <v>0.5</v>
      </c>
      <c r="L270">
        <v>0.5</v>
      </c>
      <c r="M270">
        <v>0.5</v>
      </c>
      <c r="N270">
        <v>-3.5</v>
      </c>
      <c r="O270">
        <v>2.5</v>
      </c>
      <c r="P270">
        <v>4</v>
      </c>
      <c r="Q270">
        <v>-0.25</v>
      </c>
      <c r="R270">
        <v>-3</v>
      </c>
      <c r="S270">
        <v>1.5</v>
      </c>
      <c r="T270">
        <v>3</v>
      </c>
    </row>
    <row r="271" spans="1:20" x14ac:dyDescent="0.35">
      <c r="A271">
        <v>269</v>
      </c>
      <c r="B271" t="s">
        <v>688</v>
      </c>
      <c r="C271" s="30"/>
      <c r="D271" t="s">
        <v>82</v>
      </c>
      <c r="E271" t="s">
        <v>597</v>
      </c>
      <c r="F271" t="s">
        <v>86</v>
      </c>
      <c r="G271" t="s">
        <v>601</v>
      </c>
      <c r="H271" t="s">
        <v>22</v>
      </c>
      <c r="I271">
        <v>-5.3</v>
      </c>
      <c r="J271">
        <v>-7</v>
      </c>
      <c r="K271">
        <v>4</v>
      </c>
      <c r="L271">
        <v>5.3</v>
      </c>
      <c r="M271">
        <v>1.5</v>
      </c>
      <c r="N271">
        <v>-4.3</v>
      </c>
      <c r="O271">
        <v>4</v>
      </c>
      <c r="P271">
        <v>4</v>
      </c>
      <c r="Q271">
        <v>-1</v>
      </c>
      <c r="R271">
        <v>-5.7</v>
      </c>
      <c r="S271">
        <v>0</v>
      </c>
      <c r="T271">
        <v>5.5</v>
      </c>
    </row>
    <row r="272" spans="1:20" x14ac:dyDescent="0.35">
      <c r="A272">
        <v>270</v>
      </c>
      <c r="B272" t="s">
        <v>978</v>
      </c>
      <c r="C272" s="30"/>
      <c r="D272" t="s">
        <v>82</v>
      </c>
      <c r="E272" t="s">
        <v>590</v>
      </c>
      <c r="F272" t="s">
        <v>590</v>
      </c>
      <c r="G272" t="s">
        <v>614</v>
      </c>
      <c r="H272" t="s">
        <v>639</v>
      </c>
      <c r="I272">
        <v>-1.7</v>
      </c>
      <c r="J272">
        <v>-2.5</v>
      </c>
      <c r="K272">
        <v>0.5</v>
      </c>
      <c r="L272">
        <v>0.5</v>
      </c>
      <c r="M272">
        <v>4.3</v>
      </c>
      <c r="N272">
        <v>-2</v>
      </c>
      <c r="O272">
        <v>0.5</v>
      </c>
      <c r="P272">
        <v>1.5</v>
      </c>
      <c r="Q272">
        <v>0.7</v>
      </c>
      <c r="R272">
        <v>-3</v>
      </c>
      <c r="S272">
        <v>0</v>
      </c>
      <c r="T272">
        <v>0.5</v>
      </c>
    </row>
    <row r="273" spans="1:20" x14ac:dyDescent="0.35">
      <c r="A273">
        <v>271</v>
      </c>
      <c r="B273" t="s">
        <v>1175</v>
      </c>
      <c r="C273" s="30"/>
      <c r="D273" t="s">
        <v>592</v>
      </c>
      <c r="E273" t="s">
        <v>83</v>
      </c>
      <c r="F273" t="s">
        <v>82</v>
      </c>
      <c r="G273" t="s">
        <v>84</v>
      </c>
      <c r="H273" t="s">
        <v>85</v>
      </c>
      <c r="I273">
        <v>-2.5</v>
      </c>
      <c r="J273">
        <v>1</v>
      </c>
      <c r="K273">
        <v>-0.7</v>
      </c>
      <c r="L273">
        <v>5.3</v>
      </c>
      <c r="M273">
        <v>-1.3</v>
      </c>
      <c r="N273">
        <v>0</v>
      </c>
      <c r="O273">
        <v>2.5</v>
      </c>
      <c r="P273">
        <v>1.5</v>
      </c>
      <c r="Q273">
        <v>-1.5</v>
      </c>
      <c r="R273">
        <v>0</v>
      </c>
      <c r="S273">
        <v>1</v>
      </c>
      <c r="T273">
        <v>4</v>
      </c>
    </row>
    <row r="274" spans="1:20" x14ac:dyDescent="0.35">
      <c r="A274">
        <v>272</v>
      </c>
      <c r="B274" t="s">
        <v>998</v>
      </c>
      <c r="C274" s="30"/>
      <c r="D274" t="s">
        <v>589</v>
      </c>
      <c r="E274" t="s">
        <v>83</v>
      </c>
      <c r="F274" t="s">
        <v>597</v>
      </c>
      <c r="G274" t="s">
        <v>612</v>
      </c>
      <c r="H274" t="s">
        <v>638</v>
      </c>
      <c r="I274">
        <v>1</v>
      </c>
      <c r="J274">
        <v>-2.5</v>
      </c>
      <c r="K274">
        <v>-1.5</v>
      </c>
      <c r="L274">
        <v>3</v>
      </c>
      <c r="M274">
        <v>0</v>
      </c>
      <c r="N274">
        <v>-2</v>
      </c>
      <c r="O274">
        <v>6</v>
      </c>
      <c r="P274">
        <v>0.5</v>
      </c>
      <c r="Q274">
        <v>0.7</v>
      </c>
      <c r="R274">
        <v>-3</v>
      </c>
      <c r="S274">
        <v>1.5</v>
      </c>
      <c r="T274">
        <v>1.5</v>
      </c>
    </row>
    <row r="275" spans="1:20" x14ac:dyDescent="0.35">
      <c r="A275">
        <v>273</v>
      </c>
      <c r="B275" t="s">
        <v>1018</v>
      </c>
      <c r="C275" s="30"/>
      <c r="D275" t="s">
        <v>589</v>
      </c>
      <c r="E275" t="s">
        <v>599</v>
      </c>
      <c r="F275" t="s">
        <v>589</v>
      </c>
      <c r="G275" t="s">
        <v>591</v>
      </c>
      <c r="H275" t="s">
        <v>630</v>
      </c>
      <c r="I275">
        <v>1</v>
      </c>
      <c r="J275">
        <v>-1.3</v>
      </c>
      <c r="K275">
        <v>-3.5</v>
      </c>
      <c r="L275">
        <v>5.3</v>
      </c>
      <c r="M275">
        <v>2.5</v>
      </c>
      <c r="N275">
        <v>-4.3</v>
      </c>
      <c r="O275">
        <v>1.5</v>
      </c>
      <c r="P275">
        <v>4</v>
      </c>
      <c r="Q275">
        <v>1.5</v>
      </c>
      <c r="R275">
        <v>-3.5</v>
      </c>
      <c r="S275">
        <v>-1</v>
      </c>
      <c r="T275">
        <v>5.5</v>
      </c>
    </row>
    <row r="276" spans="1:20" x14ac:dyDescent="0.35">
      <c r="A276">
        <v>274</v>
      </c>
      <c r="B276" t="s">
        <v>1178</v>
      </c>
      <c r="C276" s="30"/>
      <c r="D276" t="s">
        <v>86</v>
      </c>
      <c r="E276" t="s">
        <v>82</v>
      </c>
      <c r="F276" t="s">
        <v>86</v>
      </c>
      <c r="G276" t="s">
        <v>601</v>
      </c>
      <c r="H276" t="s">
        <v>22</v>
      </c>
      <c r="I276">
        <v>0</v>
      </c>
      <c r="J276">
        <v>-1.3</v>
      </c>
      <c r="K276">
        <v>-0.7</v>
      </c>
      <c r="L276">
        <v>0.5</v>
      </c>
      <c r="M276">
        <v>0</v>
      </c>
      <c r="N276">
        <v>0</v>
      </c>
      <c r="O276">
        <v>1.5</v>
      </c>
      <c r="P276">
        <v>4</v>
      </c>
      <c r="Q276">
        <v>0</v>
      </c>
      <c r="R276">
        <v>-1.5</v>
      </c>
      <c r="S276">
        <v>0</v>
      </c>
      <c r="T276">
        <v>3</v>
      </c>
    </row>
    <row r="277" spans="1:20" x14ac:dyDescent="0.35">
      <c r="A277">
        <v>275</v>
      </c>
      <c r="B277" t="s">
        <v>1253</v>
      </c>
      <c r="C277" s="30"/>
      <c r="D277" t="s">
        <v>82</v>
      </c>
      <c r="E277" t="s">
        <v>82</v>
      </c>
      <c r="F277" t="s">
        <v>82</v>
      </c>
      <c r="G277" t="s">
        <v>84</v>
      </c>
      <c r="H277" t="s">
        <v>85</v>
      </c>
      <c r="I277">
        <v>-1.7</v>
      </c>
      <c r="J277">
        <v>-2.5</v>
      </c>
      <c r="K277">
        <v>1</v>
      </c>
      <c r="L277">
        <v>2</v>
      </c>
      <c r="M277">
        <v>0</v>
      </c>
      <c r="N277">
        <v>-3.5</v>
      </c>
      <c r="O277">
        <v>2.5</v>
      </c>
      <c r="P277">
        <v>5.6</v>
      </c>
      <c r="Q277">
        <v>-0.5</v>
      </c>
      <c r="R277">
        <v>-3.5</v>
      </c>
      <c r="S277">
        <v>2</v>
      </c>
      <c r="T277">
        <v>4.3</v>
      </c>
    </row>
    <row r="278" spans="1:20" x14ac:dyDescent="0.35">
      <c r="A278">
        <v>276</v>
      </c>
      <c r="B278" t="s">
        <v>284</v>
      </c>
      <c r="C278" s="30"/>
      <c r="D278" t="s">
        <v>595</v>
      </c>
      <c r="E278" t="s">
        <v>597</v>
      </c>
      <c r="F278" t="s">
        <v>606</v>
      </c>
      <c r="G278" t="s">
        <v>622</v>
      </c>
      <c r="H278" t="s">
        <v>644</v>
      </c>
      <c r="I278">
        <v>-5.3</v>
      </c>
      <c r="J278">
        <v>5.3</v>
      </c>
      <c r="K278">
        <v>1</v>
      </c>
      <c r="L278">
        <v>2</v>
      </c>
      <c r="M278">
        <v>0.5</v>
      </c>
      <c r="N278">
        <v>-2</v>
      </c>
      <c r="O278">
        <v>2.5</v>
      </c>
      <c r="P278">
        <v>1.5</v>
      </c>
      <c r="Q278">
        <v>-1.5</v>
      </c>
      <c r="R278">
        <v>1</v>
      </c>
      <c r="S278">
        <v>2</v>
      </c>
      <c r="T278">
        <v>1.5</v>
      </c>
    </row>
    <row r="279" spans="1:20" x14ac:dyDescent="0.35">
      <c r="A279">
        <v>277</v>
      </c>
      <c r="B279" t="s">
        <v>1136</v>
      </c>
      <c r="C279" s="30"/>
      <c r="D279" t="s">
        <v>86</v>
      </c>
      <c r="E279" t="s">
        <v>607</v>
      </c>
      <c r="F279" t="s">
        <v>86</v>
      </c>
      <c r="G279" t="s">
        <v>601</v>
      </c>
      <c r="H279" t="s">
        <v>22</v>
      </c>
      <c r="I279">
        <v>-1.3</v>
      </c>
      <c r="J279">
        <v>-2.5</v>
      </c>
      <c r="K279">
        <v>-0.7</v>
      </c>
      <c r="L279">
        <v>3</v>
      </c>
      <c r="M279">
        <v>0</v>
      </c>
      <c r="N279">
        <v>0.5</v>
      </c>
      <c r="O279">
        <v>0.5</v>
      </c>
      <c r="P279">
        <v>2.5</v>
      </c>
      <c r="Q279">
        <v>-0.25</v>
      </c>
      <c r="R279">
        <v>-1.5</v>
      </c>
      <c r="S279">
        <v>-0.5</v>
      </c>
      <c r="T279">
        <v>4</v>
      </c>
    </row>
    <row r="280" spans="1:20" x14ac:dyDescent="0.35">
      <c r="A280">
        <v>278</v>
      </c>
      <c r="B280" t="s">
        <v>1216</v>
      </c>
      <c r="C280" s="30"/>
      <c r="D280" t="s">
        <v>86</v>
      </c>
      <c r="E280" t="s">
        <v>610</v>
      </c>
      <c r="F280" t="s">
        <v>87</v>
      </c>
      <c r="G280" t="s">
        <v>603</v>
      </c>
      <c r="H280" t="s">
        <v>634</v>
      </c>
      <c r="I280">
        <v>-1.7</v>
      </c>
      <c r="J280">
        <v>-1.3</v>
      </c>
      <c r="K280">
        <v>-0.7</v>
      </c>
      <c r="L280">
        <v>2</v>
      </c>
      <c r="M280">
        <v>2.5</v>
      </c>
      <c r="N280">
        <v>0.5</v>
      </c>
      <c r="O280">
        <v>2.5</v>
      </c>
      <c r="P280">
        <v>0</v>
      </c>
      <c r="Q280">
        <v>0.5</v>
      </c>
      <c r="R280">
        <v>0</v>
      </c>
      <c r="S280">
        <v>1</v>
      </c>
      <c r="T280">
        <v>0.3</v>
      </c>
    </row>
    <row r="281" spans="1:20" x14ac:dyDescent="0.35">
      <c r="A281">
        <v>279</v>
      </c>
      <c r="B281" t="s">
        <v>1171</v>
      </c>
      <c r="C281" s="30"/>
      <c r="D281" t="s">
        <v>590</v>
      </c>
      <c r="E281" t="s">
        <v>599</v>
      </c>
      <c r="F281" t="s">
        <v>589</v>
      </c>
      <c r="G281" t="s">
        <v>591</v>
      </c>
      <c r="H281" t="s">
        <v>630</v>
      </c>
      <c r="I281">
        <v>1</v>
      </c>
      <c r="J281">
        <v>-1.3</v>
      </c>
      <c r="K281">
        <v>-0.7</v>
      </c>
      <c r="L281">
        <v>0.5</v>
      </c>
      <c r="M281">
        <v>1.5</v>
      </c>
      <c r="N281">
        <v>-4.3</v>
      </c>
      <c r="O281">
        <v>0.5</v>
      </c>
      <c r="P281">
        <v>4</v>
      </c>
      <c r="Q281">
        <v>1.3</v>
      </c>
      <c r="R281">
        <v>-3.5</v>
      </c>
      <c r="S281">
        <v>-0.5</v>
      </c>
      <c r="T281">
        <v>3</v>
      </c>
    </row>
    <row r="282" spans="1:20" x14ac:dyDescent="0.35">
      <c r="A282">
        <v>280</v>
      </c>
      <c r="B282" t="s">
        <v>303</v>
      </c>
      <c r="C282" s="30"/>
      <c r="D282" t="s">
        <v>82</v>
      </c>
      <c r="E282" t="s">
        <v>82</v>
      </c>
      <c r="F282" t="s">
        <v>82</v>
      </c>
      <c r="G282" t="s">
        <v>84</v>
      </c>
      <c r="H282" t="s">
        <v>85</v>
      </c>
      <c r="I282">
        <v>-1.7</v>
      </c>
      <c r="J282">
        <v>-2.5</v>
      </c>
      <c r="K282">
        <v>1</v>
      </c>
      <c r="L282">
        <v>5.3</v>
      </c>
      <c r="M282">
        <v>-1.3</v>
      </c>
      <c r="N282">
        <v>-2</v>
      </c>
      <c r="O282">
        <v>4</v>
      </c>
      <c r="P282">
        <v>7</v>
      </c>
      <c r="Q282">
        <v>-1</v>
      </c>
      <c r="R282">
        <v>-3</v>
      </c>
      <c r="S282">
        <v>3</v>
      </c>
      <c r="T282">
        <v>6</v>
      </c>
    </row>
    <row r="283" spans="1:20" x14ac:dyDescent="0.35">
      <c r="A283">
        <v>281</v>
      </c>
      <c r="B283" t="s">
        <v>679</v>
      </c>
      <c r="C283" s="30"/>
      <c r="D283" t="s">
        <v>83</v>
      </c>
      <c r="E283" t="s">
        <v>595</v>
      </c>
      <c r="F283" t="s">
        <v>606</v>
      </c>
      <c r="G283" t="s">
        <v>622</v>
      </c>
      <c r="H283" t="s">
        <v>644</v>
      </c>
      <c r="I283">
        <v>-2.5</v>
      </c>
      <c r="J283">
        <v>-1.3</v>
      </c>
      <c r="K283">
        <v>1</v>
      </c>
      <c r="L283">
        <v>0.5</v>
      </c>
      <c r="M283">
        <v>-1.3</v>
      </c>
      <c r="N283">
        <v>4</v>
      </c>
      <c r="O283">
        <v>2.5</v>
      </c>
      <c r="P283">
        <v>2.5</v>
      </c>
      <c r="Q283">
        <v>-1.5</v>
      </c>
      <c r="R283">
        <v>1</v>
      </c>
      <c r="S283">
        <v>2</v>
      </c>
      <c r="T283">
        <v>1.5</v>
      </c>
    </row>
    <row r="284" spans="1:20" x14ac:dyDescent="0.35">
      <c r="A284">
        <v>282</v>
      </c>
      <c r="B284" t="s">
        <v>924</v>
      </c>
      <c r="C284" s="30"/>
      <c r="D284" t="s">
        <v>595</v>
      </c>
      <c r="E284" t="s">
        <v>599</v>
      </c>
      <c r="F284" t="s">
        <v>91</v>
      </c>
      <c r="G284" t="s">
        <v>92</v>
      </c>
      <c r="H284" t="s">
        <v>93</v>
      </c>
      <c r="I284">
        <v>-4</v>
      </c>
      <c r="J284">
        <v>3.5</v>
      </c>
      <c r="K284">
        <v>2.5</v>
      </c>
      <c r="L284">
        <v>0.5</v>
      </c>
      <c r="M284">
        <v>0.5</v>
      </c>
      <c r="N284">
        <v>-2</v>
      </c>
      <c r="O284">
        <v>0.5</v>
      </c>
      <c r="P284">
        <v>4</v>
      </c>
      <c r="Q284">
        <v>-1</v>
      </c>
      <c r="R284">
        <v>0.5</v>
      </c>
      <c r="S284">
        <v>1.5</v>
      </c>
      <c r="T284">
        <v>3</v>
      </c>
    </row>
    <row r="285" spans="1:20" x14ac:dyDescent="0.35">
      <c r="A285">
        <v>283</v>
      </c>
      <c r="B285" t="s">
        <v>1033</v>
      </c>
      <c r="C285" s="30"/>
      <c r="D285" t="s">
        <v>593</v>
      </c>
      <c r="E285" t="s">
        <v>593</v>
      </c>
      <c r="F285" t="s">
        <v>592</v>
      </c>
      <c r="G285" t="s">
        <v>617</v>
      </c>
      <c r="H285" t="s">
        <v>640</v>
      </c>
      <c r="I285">
        <v>-2.5</v>
      </c>
      <c r="J285">
        <v>3.5</v>
      </c>
      <c r="K285">
        <v>-0.7</v>
      </c>
      <c r="L285">
        <v>3</v>
      </c>
      <c r="M285">
        <v>0.5</v>
      </c>
      <c r="N285">
        <v>2.5</v>
      </c>
      <c r="O285">
        <v>0.5</v>
      </c>
      <c r="P285">
        <v>2.5</v>
      </c>
      <c r="Q285">
        <v>-0.5</v>
      </c>
      <c r="R285">
        <v>3</v>
      </c>
      <c r="S285">
        <v>-0.5</v>
      </c>
      <c r="T285">
        <v>4</v>
      </c>
    </row>
    <row r="286" spans="1:20" x14ac:dyDescent="0.35">
      <c r="A286">
        <v>284</v>
      </c>
      <c r="B286" t="s">
        <v>672</v>
      </c>
      <c r="C286" s="30"/>
      <c r="D286" t="s">
        <v>82</v>
      </c>
      <c r="E286" t="s">
        <v>83</v>
      </c>
      <c r="F286" t="s">
        <v>82</v>
      </c>
      <c r="G286" t="s">
        <v>84</v>
      </c>
      <c r="H286" t="s">
        <v>85</v>
      </c>
      <c r="I286">
        <v>-4</v>
      </c>
      <c r="J286">
        <v>-1.3</v>
      </c>
      <c r="K286">
        <v>0.5</v>
      </c>
      <c r="L286">
        <v>2</v>
      </c>
      <c r="M286">
        <v>-1.3</v>
      </c>
      <c r="N286">
        <v>-5.3</v>
      </c>
      <c r="O286">
        <v>6</v>
      </c>
      <c r="P286">
        <v>4</v>
      </c>
      <c r="Q286">
        <v>-2.5</v>
      </c>
      <c r="R286">
        <v>-4.3</v>
      </c>
      <c r="S286">
        <v>3</v>
      </c>
      <c r="T286">
        <v>4</v>
      </c>
    </row>
    <row r="287" spans="1:20" x14ac:dyDescent="0.35">
      <c r="A287">
        <v>285</v>
      </c>
      <c r="B287" t="s">
        <v>1138</v>
      </c>
      <c r="C287" s="30"/>
      <c r="D287" t="s">
        <v>589</v>
      </c>
      <c r="E287" t="s">
        <v>623</v>
      </c>
      <c r="F287" t="s">
        <v>590</v>
      </c>
      <c r="G287" t="s">
        <v>614</v>
      </c>
      <c r="H287" t="s">
        <v>639</v>
      </c>
      <c r="I287">
        <v>2</v>
      </c>
      <c r="J287">
        <v>-1.3</v>
      </c>
      <c r="K287">
        <v>-3.5</v>
      </c>
      <c r="L287">
        <v>3</v>
      </c>
      <c r="M287">
        <v>2.5</v>
      </c>
      <c r="N287">
        <v>0.5</v>
      </c>
      <c r="O287">
        <v>-1.3</v>
      </c>
      <c r="P287">
        <v>0</v>
      </c>
      <c r="Q287">
        <v>2</v>
      </c>
      <c r="R287">
        <v>0</v>
      </c>
      <c r="S287">
        <v>-2</v>
      </c>
      <c r="T287">
        <v>0.5</v>
      </c>
    </row>
    <row r="288" spans="1:20" x14ac:dyDescent="0.35">
      <c r="A288">
        <v>286</v>
      </c>
      <c r="B288" t="s">
        <v>340</v>
      </c>
      <c r="C288" s="30"/>
      <c r="D288" t="s">
        <v>593</v>
      </c>
      <c r="E288" t="s">
        <v>593</v>
      </c>
      <c r="F288" t="s">
        <v>592</v>
      </c>
      <c r="G288" t="s">
        <v>617</v>
      </c>
      <c r="H288" t="s">
        <v>640</v>
      </c>
      <c r="I288">
        <v>-1.7</v>
      </c>
      <c r="J288">
        <v>3.5</v>
      </c>
      <c r="K288">
        <v>-0.7</v>
      </c>
      <c r="L288">
        <v>3</v>
      </c>
      <c r="M288">
        <v>0.5</v>
      </c>
      <c r="N288">
        <v>0.5</v>
      </c>
      <c r="O288">
        <v>0.5</v>
      </c>
      <c r="P288">
        <v>4</v>
      </c>
      <c r="Q288">
        <v>-0.25</v>
      </c>
      <c r="R288">
        <v>1.5</v>
      </c>
      <c r="S288">
        <v>-0.5</v>
      </c>
      <c r="T288">
        <v>4.3</v>
      </c>
    </row>
    <row r="289" spans="1:20" x14ac:dyDescent="0.35">
      <c r="A289">
        <v>287</v>
      </c>
      <c r="B289" t="s">
        <v>654</v>
      </c>
      <c r="C289" s="30"/>
      <c r="D289" t="s">
        <v>593</v>
      </c>
      <c r="E289" t="s">
        <v>598</v>
      </c>
      <c r="F289" t="s">
        <v>592</v>
      </c>
      <c r="G289" t="s">
        <v>617</v>
      </c>
      <c r="H289" t="s">
        <v>640</v>
      </c>
      <c r="I289">
        <v>-1.7</v>
      </c>
      <c r="J289">
        <v>1</v>
      </c>
      <c r="K289">
        <v>-1.5</v>
      </c>
      <c r="L289">
        <v>0.5</v>
      </c>
      <c r="M289">
        <v>1.5</v>
      </c>
      <c r="N289">
        <v>0.5</v>
      </c>
      <c r="O289">
        <v>-2</v>
      </c>
      <c r="P289">
        <v>4</v>
      </c>
      <c r="Q289">
        <v>0</v>
      </c>
      <c r="R289">
        <v>0.5</v>
      </c>
      <c r="S289">
        <v>-2</v>
      </c>
      <c r="T289">
        <v>3</v>
      </c>
    </row>
    <row r="290" spans="1:20" x14ac:dyDescent="0.35">
      <c r="A290">
        <v>288</v>
      </c>
      <c r="B290" t="s">
        <v>1194</v>
      </c>
      <c r="C290" s="30"/>
      <c r="D290" t="s">
        <v>593</v>
      </c>
      <c r="E290" t="s">
        <v>83</v>
      </c>
      <c r="F290" t="s">
        <v>83</v>
      </c>
      <c r="G290" t="s">
        <v>594</v>
      </c>
      <c r="H290" t="s">
        <v>631</v>
      </c>
      <c r="I290">
        <v>0</v>
      </c>
      <c r="J290">
        <v>1</v>
      </c>
      <c r="K290">
        <v>-3.5</v>
      </c>
      <c r="L290">
        <v>0.5</v>
      </c>
      <c r="M290">
        <v>0</v>
      </c>
      <c r="N290">
        <v>-2</v>
      </c>
      <c r="O290">
        <v>7</v>
      </c>
      <c r="P290">
        <v>1.5</v>
      </c>
      <c r="Q290">
        <v>0</v>
      </c>
      <c r="R290">
        <v>-1.5</v>
      </c>
      <c r="S290">
        <v>1.5</v>
      </c>
      <c r="T290">
        <v>0.5</v>
      </c>
    </row>
    <row r="291" spans="1:20" x14ac:dyDescent="0.35">
      <c r="A291">
        <v>289</v>
      </c>
      <c r="B291" t="s">
        <v>1196</v>
      </c>
      <c r="C291" s="30"/>
      <c r="D291" t="s">
        <v>86</v>
      </c>
      <c r="E291" t="s">
        <v>589</v>
      </c>
      <c r="F291" t="s">
        <v>589</v>
      </c>
      <c r="G291" t="s">
        <v>591</v>
      </c>
      <c r="H291" t="s">
        <v>630</v>
      </c>
      <c r="I291">
        <v>0</v>
      </c>
      <c r="J291">
        <v>-2.5</v>
      </c>
      <c r="K291">
        <v>-1.5</v>
      </c>
      <c r="L291">
        <v>2</v>
      </c>
      <c r="M291">
        <v>0.5</v>
      </c>
      <c r="N291">
        <v>0</v>
      </c>
      <c r="O291">
        <v>-1.3</v>
      </c>
      <c r="P291">
        <v>4</v>
      </c>
      <c r="Q291">
        <v>0.5</v>
      </c>
      <c r="R291">
        <v>-2</v>
      </c>
      <c r="S291">
        <v>-1.5</v>
      </c>
      <c r="T291">
        <v>4</v>
      </c>
    </row>
    <row r="292" spans="1:20" x14ac:dyDescent="0.35">
      <c r="A292">
        <v>290</v>
      </c>
      <c r="B292" t="s">
        <v>309</v>
      </c>
      <c r="C292" s="30"/>
      <c r="D292" t="s">
        <v>83</v>
      </c>
      <c r="E292" t="s">
        <v>590</v>
      </c>
      <c r="F292" t="s">
        <v>83</v>
      </c>
      <c r="G292" t="s">
        <v>594</v>
      </c>
      <c r="H292" t="s">
        <v>631</v>
      </c>
      <c r="I292">
        <v>-2.5</v>
      </c>
      <c r="J292">
        <v>-1.3</v>
      </c>
      <c r="K292">
        <v>2.5</v>
      </c>
      <c r="L292">
        <v>0.5</v>
      </c>
      <c r="M292">
        <v>2.5</v>
      </c>
      <c r="N292">
        <v>-4.3</v>
      </c>
      <c r="O292">
        <v>1.5</v>
      </c>
      <c r="P292">
        <v>2.5</v>
      </c>
      <c r="Q292">
        <v>0</v>
      </c>
      <c r="R292">
        <v>-3.5</v>
      </c>
      <c r="S292">
        <v>2</v>
      </c>
      <c r="T292">
        <v>1.5</v>
      </c>
    </row>
    <row r="293" spans="1:20" x14ac:dyDescent="0.35">
      <c r="A293">
        <v>291</v>
      </c>
      <c r="B293" t="s">
        <v>707</v>
      </c>
      <c r="C293" s="30"/>
      <c r="D293" t="s">
        <v>595</v>
      </c>
      <c r="E293" t="s">
        <v>595</v>
      </c>
      <c r="F293" t="s">
        <v>595</v>
      </c>
      <c r="G293" t="s">
        <v>618</v>
      </c>
      <c r="H293" t="s">
        <v>641</v>
      </c>
      <c r="I293">
        <v>-5.3</v>
      </c>
      <c r="J293">
        <v>3.5</v>
      </c>
      <c r="K293">
        <v>2.5</v>
      </c>
      <c r="L293">
        <v>0.5</v>
      </c>
      <c r="M293">
        <v>0.5</v>
      </c>
      <c r="N293">
        <v>2.5</v>
      </c>
      <c r="O293">
        <v>0.5</v>
      </c>
      <c r="P293">
        <v>1.5</v>
      </c>
      <c r="Q293">
        <v>-1.5</v>
      </c>
      <c r="R293">
        <v>3</v>
      </c>
      <c r="S293">
        <v>1.5</v>
      </c>
      <c r="T293">
        <v>0.5</v>
      </c>
    </row>
    <row r="294" spans="1:20" x14ac:dyDescent="0.35">
      <c r="A294">
        <v>292</v>
      </c>
      <c r="B294" t="s">
        <v>292</v>
      </c>
      <c r="C294" s="30"/>
      <c r="D294" t="s">
        <v>82</v>
      </c>
      <c r="E294" t="s">
        <v>83</v>
      </c>
      <c r="F294" t="s">
        <v>82</v>
      </c>
      <c r="G294" t="s">
        <v>84</v>
      </c>
      <c r="H294" t="s">
        <v>85</v>
      </c>
      <c r="I294">
        <v>-2.5</v>
      </c>
      <c r="J294">
        <v>-4.5999999999999996</v>
      </c>
      <c r="K294">
        <v>1</v>
      </c>
      <c r="L294">
        <v>3</v>
      </c>
      <c r="M294">
        <v>-1.5</v>
      </c>
      <c r="N294">
        <v>0</v>
      </c>
      <c r="O294">
        <v>6</v>
      </c>
      <c r="P294">
        <v>4</v>
      </c>
      <c r="Q294">
        <v>-2.5</v>
      </c>
      <c r="R294">
        <v>-3</v>
      </c>
      <c r="S294">
        <v>3.5</v>
      </c>
      <c r="T294">
        <v>4.3</v>
      </c>
    </row>
    <row r="295" spans="1:20" x14ac:dyDescent="0.35">
      <c r="A295">
        <v>293</v>
      </c>
      <c r="B295" t="s">
        <v>1052</v>
      </c>
      <c r="C295" s="30"/>
      <c r="D295" t="s">
        <v>86</v>
      </c>
      <c r="E295" t="s">
        <v>82</v>
      </c>
      <c r="F295" t="s">
        <v>86</v>
      </c>
      <c r="G295" t="s">
        <v>601</v>
      </c>
      <c r="H295" t="s">
        <v>22</v>
      </c>
      <c r="I295">
        <v>-1.7</v>
      </c>
      <c r="J295">
        <v>-1.3</v>
      </c>
      <c r="K295">
        <v>-0.7</v>
      </c>
      <c r="L295">
        <v>5.3</v>
      </c>
      <c r="M295">
        <v>0</v>
      </c>
      <c r="N295">
        <v>0</v>
      </c>
      <c r="O295">
        <v>1.5</v>
      </c>
      <c r="P295">
        <v>5.6</v>
      </c>
      <c r="Q295">
        <v>-0.5</v>
      </c>
      <c r="R295">
        <v>-1.5</v>
      </c>
      <c r="S295">
        <v>0</v>
      </c>
      <c r="T295">
        <v>5.7</v>
      </c>
    </row>
    <row r="296" spans="1:20" x14ac:dyDescent="0.35">
      <c r="A296">
        <v>294</v>
      </c>
      <c r="B296" t="s">
        <v>1140</v>
      </c>
      <c r="C296" s="30"/>
      <c r="D296" t="s">
        <v>593</v>
      </c>
      <c r="E296" t="s">
        <v>593</v>
      </c>
      <c r="F296" t="s">
        <v>592</v>
      </c>
      <c r="G296" t="s">
        <v>617</v>
      </c>
      <c r="H296" t="s">
        <v>648</v>
      </c>
      <c r="I296">
        <v>-1.3</v>
      </c>
      <c r="J296">
        <v>3</v>
      </c>
      <c r="K296">
        <v>-1.5</v>
      </c>
      <c r="L296">
        <v>3</v>
      </c>
      <c r="M296">
        <v>1.5</v>
      </c>
      <c r="N296">
        <v>0.5</v>
      </c>
      <c r="O296">
        <v>1.5</v>
      </c>
      <c r="P296">
        <v>2.5</v>
      </c>
      <c r="Q296">
        <v>0.5</v>
      </c>
      <c r="R296">
        <v>1</v>
      </c>
      <c r="S296">
        <v>-0.5</v>
      </c>
      <c r="T296">
        <v>4</v>
      </c>
    </row>
    <row r="297" spans="1:20" x14ac:dyDescent="0.35">
      <c r="A297">
        <v>295</v>
      </c>
      <c r="B297" t="s">
        <v>1010</v>
      </c>
      <c r="C297" s="30"/>
      <c r="D297" t="s">
        <v>86</v>
      </c>
      <c r="E297" t="s">
        <v>88</v>
      </c>
      <c r="F297" t="s">
        <v>82</v>
      </c>
      <c r="G297" t="s">
        <v>84</v>
      </c>
      <c r="H297" t="s">
        <v>85</v>
      </c>
      <c r="I297">
        <v>-1.3</v>
      </c>
      <c r="J297">
        <v>-2.5</v>
      </c>
      <c r="K297">
        <v>-0.7</v>
      </c>
      <c r="L297">
        <v>5.7</v>
      </c>
      <c r="M297">
        <v>0.5</v>
      </c>
      <c r="N297">
        <v>-6</v>
      </c>
      <c r="O297">
        <v>4</v>
      </c>
      <c r="P297">
        <v>5.6</v>
      </c>
      <c r="Q297">
        <v>0</v>
      </c>
      <c r="R297">
        <v>-5.7</v>
      </c>
      <c r="S297">
        <v>1.5</v>
      </c>
      <c r="T297">
        <v>6</v>
      </c>
    </row>
    <row r="298" spans="1:20" x14ac:dyDescent="0.35">
      <c r="A298">
        <v>296</v>
      </c>
      <c r="B298" t="s">
        <v>1180</v>
      </c>
      <c r="C298" s="30"/>
      <c r="D298" t="s">
        <v>83</v>
      </c>
      <c r="E298" t="s">
        <v>606</v>
      </c>
      <c r="F298" t="s">
        <v>83</v>
      </c>
      <c r="G298" t="s">
        <v>594</v>
      </c>
      <c r="H298" t="s">
        <v>631</v>
      </c>
      <c r="I298">
        <v>-6</v>
      </c>
      <c r="J298">
        <v>-1.3</v>
      </c>
      <c r="K298">
        <v>4</v>
      </c>
      <c r="L298">
        <v>0.5</v>
      </c>
      <c r="M298">
        <v>-4.3</v>
      </c>
      <c r="N298">
        <v>0.5</v>
      </c>
      <c r="O298">
        <v>7.5</v>
      </c>
      <c r="P298">
        <v>4</v>
      </c>
      <c r="Q298">
        <v>-5.7</v>
      </c>
      <c r="R298">
        <v>0</v>
      </c>
      <c r="S298">
        <v>5.5</v>
      </c>
      <c r="T298">
        <v>3</v>
      </c>
    </row>
    <row r="299" spans="1:20" x14ac:dyDescent="0.35">
      <c r="A299">
        <v>297</v>
      </c>
      <c r="B299" t="s">
        <v>241</v>
      </c>
      <c r="C299" s="30"/>
      <c r="D299" t="s">
        <v>592</v>
      </c>
      <c r="E299" t="s">
        <v>82</v>
      </c>
      <c r="F299" t="s">
        <v>589</v>
      </c>
      <c r="G299" t="s">
        <v>591</v>
      </c>
      <c r="H299" t="s">
        <v>630</v>
      </c>
      <c r="I299">
        <v>0.5</v>
      </c>
      <c r="J299">
        <v>1</v>
      </c>
      <c r="K299">
        <v>-3.5</v>
      </c>
      <c r="L299">
        <v>2</v>
      </c>
      <c r="M299">
        <v>0</v>
      </c>
      <c r="N299">
        <v>-2</v>
      </c>
      <c r="O299">
        <v>2.5</v>
      </c>
      <c r="P299">
        <v>2.5</v>
      </c>
      <c r="Q299">
        <v>0.5</v>
      </c>
      <c r="R299">
        <v>-1.5</v>
      </c>
      <c r="S299">
        <v>-0.5</v>
      </c>
      <c r="T299">
        <v>3</v>
      </c>
    </row>
    <row r="300" spans="1:20" x14ac:dyDescent="0.35">
      <c r="A300">
        <v>298</v>
      </c>
      <c r="B300" t="s">
        <v>1069</v>
      </c>
      <c r="C300" s="30"/>
      <c r="D300" t="s">
        <v>589</v>
      </c>
      <c r="E300" t="s">
        <v>590</v>
      </c>
      <c r="F300" t="s">
        <v>589</v>
      </c>
      <c r="G300" t="s">
        <v>591</v>
      </c>
      <c r="H300" t="s">
        <v>630</v>
      </c>
      <c r="I300">
        <v>0.5</v>
      </c>
      <c r="J300">
        <v>-7</v>
      </c>
      <c r="K300">
        <v>-0.7</v>
      </c>
      <c r="L300">
        <v>6</v>
      </c>
      <c r="M300">
        <v>4.3</v>
      </c>
      <c r="N300">
        <v>-5.3</v>
      </c>
      <c r="O300">
        <v>0.5</v>
      </c>
      <c r="P300">
        <v>2.5</v>
      </c>
      <c r="Q300">
        <v>1.5</v>
      </c>
      <c r="R300">
        <v>-6</v>
      </c>
      <c r="S300">
        <v>-0.5</v>
      </c>
      <c r="T300">
        <v>5.7</v>
      </c>
    </row>
    <row r="301" spans="1:20" x14ac:dyDescent="0.35">
      <c r="A301">
        <v>299</v>
      </c>
      <c r="B301" t="s">
        <v>307</v>
      </c>
      <c r="C301" s="30"/>
      <c r="D301" t="s">
        <v>86</v>
      </c>
      <c r="E301" t="s">
        <v>82</v>
      </c>
      <c r="F301" t="s">
        <v>86</v>
      </c>
      <c r="G301" t="s">
        <v>601</v>
      </c>
      <c r="H301" t="s">
        <v>22</v>
      </c>
      <c r="I301">
        <v>-2.5</v>
      </c>
      <c r="J301">
        <v>-2.5</v>
      </c>
      <c r="K301">
        <v>-0.7</v>
      </c>
      <c r="L301">
        <v>6</v>
      </c>
      <c r="M301">
        <v>-1.3</v>
      </c>
      <c r="N301">
        <v>-2</v>
      </c>
      <c r="O301">
        <v>1.5</v>
      </c>
      <c r="P301">
        <v>7</v>
      </c>
      <c r="Q301">
        <v>-1.5</v>
      </c>
      <c r="R301">
        <v>-3</v>
      </c>
      <c r="S301">
        <v>0</v>
      </c>
      <c r="T301">
        <v>6.5</v>
      </c>
    </row>
    <row r="302" spans="1:20" x14ac:dyDescent="0.35">
      <c r="A302">
        <v>300</v>
      </c>
      <c r="B302" t="s">
        <v>651</v>
      </c>
      <c r="C302" s="30"/>
      <c r="D302" t="s">
        <v>586</v>
      </c>
      <c r="E302" t="s">
        <v>599</v>
      </c>
      <c r="F302" t="s">
        <v>599</v>
      </c>
      <c r="G302" t="s">
        <v>600</v>
      </c>
      <c r="H302" t="s">
        <v>633</v>
      </c>
      <c r="I302">
        <v>1</v>
      </c>
      <c r="J302">
        <v>1</v>
      </c>
      <c r="K302">
        <v>0.5</v>
      </c>
      <c r="L302">
        <v>-1.5</v>
      </c>
      <c r="M302">
        <v>4.3</v>
      </c>
      <c r="N302">
        <v>-7</v>
      </c>
      <c r="O302">
        <v>1.5</v>
      </c>
      <c r="P302">
        <v>5.6</v>
      </c>
      <c r="Q302">
        <v>2</v>
      </c>
      <c r="R302">
        <v>-5.7</v>
      </c>
      <c r="S302">
        <v>1</v>
      </c>
      <c r="T302">
        <v>3</v>
      </c>
    </row>
    <row r="303" spans="1:20" x14ac:dyDescent="0.35">
      <c r="A303">
        <v>301</v>
      </c>
      <c r="B303" t="s">
        <v>1097</v>
      </c>
      <c r="C303" s="30"/>
      <c r="D303" t="s">
        <v>599</v>
      </c>
      <c r="E303" t="s">
        <v>590</v>
      </c>
      <c r="F303" t="s">
        <v>589</v>
      </c>
      <c r="G303" t="s">
        <v>591</v>
      </c>
      <c r="H303" t="s">
        <v>630</v>
      </c>
      <c r="I303">
        <v>0.5</v>
      </c>
      <c r="J303">
        <v>-1.3</v>
      </c>
      <c r="K303">
        <v>0.5</v>
      </c>
      <c r="L303">
        <v>5.3</v>
      </c>
      <c r="M303">
        <v>4.3</v>
      </c>
      <c r="N303">
        <v>-2</v>
      </c>
      <c r="O303">
        <v>0.5</v>
      </c>
      <c r="P303">
        <v>4</v>
      </c>
      <c r="Q303">
        <v>1.5</v>
      </c>
      <c r="R303">
        <v>-2</v>
      </c>
      <c r="S303">
        <v>0</v>
      </c>
      <c r="T303">
        <v>5.5</v>
      </c>
    </row>
    <row r="304" spans="1:20" x14ac:dyDescent="0.35">
      <c r="A304">
        <v>302</v>
      </c>
      <c r="B304" t="s">
        <v>294</v>
      </c>
      <c r="C304" s="30"/>
      <c r="D304" t="s">
        <v>86</v>
      </c>
      <c r="E304" t="s">
        <v>83</v>
      </c>
      <c r="F304" t="s">
        <v>82</v>
      </c>
      <c r="G304" t="s">
        <v>84</v>
      </c>
      <c r="H304" t="s">
        <v>85</v>
      </c>
      <c r="I304">
        <v>-4</v>
      </c>
      <c r="J304">
        <v>-4.5999999999999996</v>
      </c>
      <c r="K304">
        <v>-1.5</v>
      </c>
      <c r="L304">
        <v>6.3</v>
      </c>
      <c r="M304">
        <v>0</v>
      </c>
      <c r="N304">
        <v>-4.3</v>
      </c>
      <c r="O304">
        <v>7</v>
      </c>
      <c r="P304">
        <v>2.5</v>
      </c>
      <c r="Q304">
        <v>-1.5</v>
      </c>
      <c r="R304">
        <v>-4.7</v>
      </c>
      <c r="S304">
        <v>2</v>
      </c>
      <c r="T304">
        <v>6</v>
      </c>
    </row>
    <row r="305" spans="1:20" x14ac:dyDescent="0.35">
      <c r="A305">
        <v>303</v>
      </c>
      <c r="B305" t="s">
        <v>1160</v>
      </c>
      <c r="C305" s="30"/>
      <c r="D305" t="s">
        <v>602</v>
      </c>
      <c r="E305" t="s">
        <v>599</v>
      </c>
      <c r="F305" t="s">
        <v>82</v>
      </c>
      <c r="G305" t="s">
        <v>84</v>
      </c>
      <c r="H305" t="s">
        <v>85</v>
      </c>
      <c r="I305">
        <v>-2.5</v>
      </c>
      <c r="J305">
        <v>3</v>
      </c>
      <c r="K305">
        <v>2.5</v>
      </c>
      <c r="L305">
        <v>-1.5</v>
      </c>
      <c r="M305">
        <v>1.5</v>
      </c>
      <c r="N305">
        <v>-4.3</v>
      </c>
      <c r="O305">
        <v>0.5</v>
      </c>
      <c r="P305">
        <v>5.6</v>
      </c>
      <c r="Q305">
        <v>-0.25</v>
      </c>
      <c r="R305">
        <v>-2</v>
      </c>
      <c r="S305">
        <v>1.5</v>
      </c>
      <c r="T305">
        <v>3</v>
      </c>
    </row>
    <row r="306" spans="1:20" x14ac:dyDescent="0.35">
      <c r="A306">
        <v>304</v>
      </c>
      <c r="B306" t="s">
        <v>1057</v>
      </c>
      <c r="C306" s="30"/>
      <c r="D306" t="s">
        <v>587</v>
      </c>
      <c r="E306" t="s">
        <v>82</v>
      </c>
      <c r="F306" t="s">
        <v>592</v>
      </c>
      <c r="G306" t="s">
        <v>617</v>
      </c>
      <c r="H306" t="s">
        <v>640</v>
      </c>
      <c r="I306">
        <v>0.5</v>
      </c>
      <c r="J306">
        <v>3</v>
      </c>
      <c r="K306">
        <v>-3.5</v>
      </c>
      <c r="L306">
        <v>-1.5</v>
      </c>
      <c r="M306">
        <v>-1.3</v>
      </c>
      <c r="N306">
        <v>0</v>
      </c>
      <c r="O306">
        <v>0.5</v>
      </c>
      <c r="P306">
        <v>4</v>
      </c>
      <c r="Q306">
        <v>0</v>
      </c>
      <c r="R306">
        <v>0.5</v>
      </c>
      <c r="S306">
        <v>-1.5</v>
      </c>
      <c r="T306">
        <v>1.5</v>
      </c>
    </row>
    <row r="307" spans="1:20" x14ac:dyDescent="0.35">
      <c r="A307">
        <v>305</v>
      </c>
      <c r="B307" t="s">
        <v>723</v>
      </c>
      <c r="C307" s="30"/>
      <c r="D307" t="s">
        <v>83</v>
      </c>
      <c r="E307" t="s">
        <v>82</v>
      </c>
      <c r="F307" t="s">
        <v>82</v>
      </c>
      <c r="G307" t="s">
        <v>84</v>
      </c>
      <c r="H307" t="s">
        <v>85</v>
      </c>
      <c r="I307">
        <v>-2.5</v>
      </c>
      <c r="J307">
        <v>-1.3</v>
      </c>
      <c r="K307">
        <v>2.5</v>
      </c>
      <c r="L307">
        <v>2</v>
      </c>
      <c r="M307">
        <v>-1.5</v>
      </c>
      <c r="N307">
        <v>0</v>
      </c>
      <c r="O307">
        <v>4</v>
      </c>
      <c r="P307">
        <v>7</v>
      </c>
      <c r="Q307">
        <v>-2.5</v>
      </c>
      <c r="R307">
        <v>-1.5</v>
      </c>
      <c r="S307">
        <v>3.5</v>
      </c>
      <c r="T307">
        <v>5.5</v>
      </c>
    </row>
    <row r="308" spans="1:20" x14ac:dyDescent="0.35">
      <c r="A308">
        <v>306</v>
      </c>
      <c r="B308" t="s">
        <v>723</v>
      </c>
      <c r="C308" s="30"/>
    </row>
    <row r="309" spans="1:20" x14ac:dyDescent="0.35">
      <c r="A309">
        <v>307</v>
      </c>
      <c r="B309" t="s">
        <v>723</v>
      </c>
      <c r="C309" s="30"/>
    </row>
    <row r="310" spans="1:20" x14ac:dyDescent="0.35">
      <c r="A310">
        <v>308</v>
      </c>
      <c r="B310" t="s">
        <v>723</v>
      </c>
      <c r="C310" s="30"/>
    </row>
    <row r="311" spans="1:20" x14ac:dyDescent="0.35">
      <c r="A311">
        <v>309</v>
      </c>
      <c r="B311" t="s">
        <v>723</v>
      </c>
      <c r="C311" s="30"/>
    </row>
    <row r="312" spans="1:20" x14ac:dyDescent="0.35">
      <c r="A312">
        <v>310</v>
      </c>
      <c r="B312" t="s">
        <v>723</v>
      </c>
      <c r="C312" s="30"/>
    </row>
    <row r="313" spans="1:20" x14ac:dyDescent="0.35">
      <c r="A313">
        <v>311</v>
      </c>
      <c r="B313" t="s">
        <v>723</v>
      </c>
      <c r="C313" s="30"/>
    </row>
    <row r="314" spans="1:20" x14ac:dyDescent="0.35">
      <c r="A314">
        <v>312</v>
      </c>
      <c r="B314" t="s">
        <v>723</v>
      </c>
      <c r="C314" s="30"/>
    </row>
    <row r="315" spans="1:20" x14ac:dyDescent="0.35">
      <c r="A315">
        <v>313</v>
      </c>
      <c r="B315" t="s">
        <v>723</v>
      </c>
      <c r="C315" s="30"/>
    </row>
    <row r="316" spans="1:20" x14ac:dyDescent="0.35">
      <c r="A316">
        <v>314</v>
      </c>
      <c r="B316" t="s">
        <v>723</v>
      </c>
      <c r="C316" s="30"/>
    </row>
    <row r="317" spans="1:20" x14ac:dyDescent="0.35">
      <c r="A317">
        <v>315</v>
      </c>
      <c r="B317" t="s">
        <v>723</v>
      </c>
      <c r="C317" s="30"/>
    </row>
    <row r="318" spans="1:20" x14ac:dyDescent="0.35">
      <c r="A318">
        <v>316</v>
      </c>
      <c r="B318" t="s">
        <v>723</v>
      </c>
      <c r="C318" s="30"/>
    </row>
    <row r="319" spans="1:20" x14ac:dyDescent="0.35">
      <c r="A319">
        <v>317</v>
      </c>
      <c r="B319" t="s">
        <v>723</v>
      </c>
      <c r="C319" s="30"/>
    </row>
    <row r="320" spans="1:20" x14ac:dyDescent="0.35">
      <c r="A320">
        <v>318</v>
      </c>
      <c r="B320" t="s">
        <v>723</v>
      </c>
      <c r="C320" s="30"/>
    </row>
    <row r="321" spans="1:3" x14ac:dyDescent="0.35">
      <c r="A321">
        <v>319</v>
      </c>
      <c r="B321" t="s">
        <v>723</v>
      </c>
      <c r="C321" s="30"/>
    </row>
    <row r="322" spans="1:3" x14ac:dyDescent="0.35">
      <c r="A322">
        <v>320</v>
      </c>
      <c r="B322" t="s">
        <v>723</v>
      </c>
      <c r="C322" s="30"/>
    </row>
    <row r="323" spans="1:3" x14ac:dyDescent="0.35">
      <c r="A323">
        <v>321</v>
      </c>
      <c r="B323" t="s">
        <v>723</v>
      </c>
      <c r="C323" s="30"/>
    </row>
    <row r="324" spans="1:3" x14ac:dyDescent="0.35">
      <c r="A324">
        <v>322</v>
      </c>
      <c r="B324" t="s">
        <v>723</v>
      </c>
      <c r="C324" s="30"/>
    </row>
    <row r="325" spans="1:3" x14ac:dyDescent="0.35">
      <c r="A325">
        <v>323</v>
      </c>
      <c r="B325" t="s">
        <v>723</v>
      </c>
      <c r="C325" s="30"/>
    </row>
    <row r="326" spans="1:3" x14ac:dyDescent="0.35">
      <c r="A326">
        <v>324</v>
      </c>
      <c r="B326" t="s">
        <v>723</v>
      </c>
      <c r="C326" s="30"/>
    </row>
    <row r="327" spans="1:3" x14ac:dyDescent="0.35">
      <c r="A327">
        <v>325</v>
      </c>
      <c r="B327" t="s">
        <v>723</v>
      </c>
      <c r="C327" s="30"/>
    </row>
    <row r="328" spans="1:3" x14ac:dyDescent="0.35">
      <c r="A328">
        <v>326</v>
      </c>
      <c r="B328" t="s">
        <v>723</v>
      </c>
      <c r="C328" s="30"/>
    </row>
    <row r="329" spans="1:3" x14ac:dyDescent="0.35">
      <c r="A329">
        <v>327</v>
      </c>
      <c r="B329" t="s">
        <v>723</v>
      </c>
      <c r="C329" s="30"/>
    </row>
    <row r="330" spans="1:3" x14ac:dyDescent="0.35">
      <c r="A330">
        <v>328</v>
      </c>
      <c r="B330" t="s">
        <v>723</v>
      </c>
      <c r="C330" s="30"/>
    </row>
    <row r="331" spans="1:3" x14ac:dyDescent="0.35">
      <c r="A331">
        <v>329</v>
      </c>
      <c r="B331" t="s">
        <v>723</v>
      </c>
      <c r="C331" s="30"/>
    </row>
    <row r="332" spans="1:3" x14ac:dyDescent="0.35">
      <c r="A332">
        <v>330</v>
      </c>
      <c r="B332" t="s">
        <v>723</v>
      </c>
      <c r="C332" s="30"/>
    </row>
    <row r="333" spans="1:3" x14ac:dyDescent="0.35">
      <c r="A333">
        <v>331</v>
      </c>
      <c r="B333" t="s">
        <v>723</v>
      </c>
      <c r="C333" s="30"/>
    </row>
    <row r="334" spans="1:3" x14ac:dyDescent="0.35">
      <c r="A334">
        <v>332</v>
      </c>
      <c r="B334" t="s">
        <v>723</v>
      </c>
      <c r="C334" s="30"/>
    </row>
    <row r="335" spans="1:3" x14ac:dyDescent="0.35">
      <c r="A335">
        <v>333</v>
      </c>
      <c r="B335" t="s">
        <v>723</v>
      </c>
      <c r="C335" s="30"/>
    </row>
    <row r="336" spans="1:3" x14ac:dyDescent="0.35">
      <c r="A336">
        <v>334</v>
      </c>
      <c r="B336" t="s">
        <v>723</v>
      </c>
      <c r="C336" s="30"/>
    </row>
    <row r="337" spans="1:3" x14ac:dyDescent="0.35">
      <c r="A337">
        <v>335</v>
      </c>
      <c r="B337" t="s">
        <v>723</v>
      </c>
      <c r="C337" s="30"/>
    </row>
    <row r="338" spans="1:3" x14ac:dyDescent="0.35">
      <c r="A338">
        <v>336</v>
      </c>
      <c r="B338" t="s">
        <v>723</v>
      </c>
      <c r="C338" s="30"/>
    </row>
    <row r="339" spans="1:3" x14ac:dyDescent="0.35">
      <c r="A339">
        <v>337</v>
      </c>
      <c r="B339" t="s">
        <v>723</v>
      </c>
      <c r="C339" s="30"/>
    </row>
    <row r="340" spans="1:3" x14ac:dyDescent="0.35">
      <c r="A340">
        <v>338</v>
      </c>
      <c r="B340" t="s">
        <v>723</v>
      </c>
      <c r="C340" s="30"/>
    </row>
    <row r="341" spans="1:3" x14ac:dyDescent="0.35">
      <c r="A341">
        <v>339</v>
      </c>
      <c r="B341" t="s">
        <v>723</v>
      </c>
      <c r="C341" s="30"/>
    </row>
    <row r="342" spans="1:3" x14ac:dyDescent="0.35">
      <c r="A342">
        <v>340</v>
      </c>
      <c r="B342" t="s">
        <v>723</v>
      </c>
      <c r="C342" s="30"/>
    </row>
    <row r="343" spans="1:3" x14ac:dyDescent="0.35">
      <c r="A343">
        <v>341</v>
      </c>
      <c r="B343" t="s">
        <v>723</v>
      </c>
      <c r="C343" s="30"/>
    </row>
    <row r="344" spans="1:3" x14ac:dyDescent="0.35">
      <c r="A344">
        <v>342</v>
      </c>
      <c r="B344" t="s">
        <v>723</v>
      </c>
      <c r="C344" s="30"/>
    </row>
    <row r="345" spans="1:3" x14ac:dyDescent="0.35">
      <c r="A345">
        <v>343</v>
      </c>
      <c r="B345" t="s">
        <v>723</v>
      </c>
      <c r="C345" s="30"/>
    </row>
    <row r="346" spans="1:3" x14ac:dyDescent="0.35">
      <c r="A346">
        <v>344</v>
      </c>
      <c r="B346" t="s">
        <v>723</v>
      </c>
      <c r="C346" s="30"/>
    </row>
    <row r="347" spans="1:3" x14ac:dyDescent="0.35">
      <c r="A347">
        <v>345</v>
      </c>
      <c r="B347" t="s">
        <v>723</v>
      </c>
      <c r="C347" s="30"/>
    </row>
    <row r="348" spans="1:3" x14ac:dyDescent="0.35">
      <c r="A348">
        <v>346</v>
      </c>
      <c r="B348" t="s">
        <v>723</v>
      </c>
      <c r="C348" s="30"/>
    </row>
    <row r="349" spans="1:3" x14ac:dyDescent="0.35">
      <c r="A349">
        <v>347</v>
      </c>
      <c r="B349" t="s">
        <v>723</v>
      </c>
      <c r="C349" s="30"/>
    </row>
    <row r="350" spans="1:3" x14ac:dyDescent="0.35">
      <c r="A350">
        <v>348</v>
      </c>
      <c r="B350" t="s">
        <v>723</v>
      </c>
      <c r="C350" s="30"/>
    </row>
    <row r="351" spans="1:3" x14ac:dyDescent="0.35">
      <c r="A351">
        <v>349</v>
      </c>
      <c r="B351" t="s">
        <v>723</v>
      </c>
      <c r="C351" s="30"/>
    </row>
    <row r="352" spans="1:3" x14ac:dyDescent="0.35">
      <c r="A352">
        <v>350</v>
      </c>
      <c r="B352" t="s">
        <v>723</v>
      </c>
      <c r="C352" s="30"/>
    </row>
    <row r="353" spans="1:3" x14ac:dyDescent="0.35">
      <c r="A353">
        <v>351</v>
      </c>
      <c r="B353" t="s">
        <v>723</v>
      </c>
      <c r="C353" s="30"/>
    </row>
    <row r="354" spans="1:3" x14ac:dyDescent="0.35">
      <c r="A354">
        <v>352</v>
      </c>
      <c r="B354" t="s">
        <v>723</v>
      </c>
      <c r="C354" s="30"/>
    </row>
    <row r="355" spans="1:3" x14ac:dyDescent="0.35">
      <c r="A355">
        <v>353</v>
      </c>
      <c r="B355" t="s">
        <v>723</v>
      </c>
      <c r="C355" s="30"/>
    </row>
    <row r="356" spans="1:3" x14ac:dyDescent="0.35">
      <c r="A356">
        <v>354</v>
      </c>
      <c r="B356" t="s">
        <v>723</v>
      </c>
      <c r="C356" s="30"/>
    </row>
    <row r="357" spans="1:3" x14ac:dyDescent="0.35">
      <c r="A357">
        <v>355</v>
      </c>
      <c r="B357" t="s">
        <v>723</v>
      </c>
      <c r="C357" s="30"/>
    </row>
    <row r="358" spans="1:3" x14ac:dyDescent="0.35">
      <c r="A358">
        <v>356</v>
      </c>
      <c r="B358" t="s">
        <v>723</v>
      </c>
      <c r="C358" s="30"/>
    </row>
    <row r="359" spans="1:3" x14ac:dyDescent="0.35">
      <c r="A359">
        <v>357</v>
      </c>
      <c r="B359" t="s">
        <v>723</v>
      </c>
      <c r="C359" s="30"/>
    </row>
    <row r="360" spans="1:3" x14ac:dyDescent="0.35">
      <c r="A360">
        <v>358</v>
      </c>
      <c r="B360" t="s">
        <v>723</v>
      </c>
      <c r="C360" s="30"/>
    </row>
    <row r="361" spans="1:3" x14ac:dyDescent="0.35">
      <c r="A361">
        <v>359</v>
      </c>
      <c r="B361" t="s">
        <v>723</v>
      </c>
      <c r="C361" s="30"/>
    </row>
    <row r="362" spans="1:3" x14ac:dyDescent="0.35">
      <c r="A362">
        <v>360</v>
      </c>
      <c r="B362" t="s">
        <v>723</v>
      </c>
      <c r="C362" s="30"/>
    </row>
    <row r="363" spans="1:3" x14ac:dyDescent="0.35">
      <c r="A363">
        <v>361</v>
      </c>
      <c r="B363" t="s">
        <v>723</v>
      </c>
      <c r="C363" s="30"/>
    </row>
    <row r="364" spans="1:3" x14ac:dyDescent="0.35">
      <c r="A364">
        <v>362</v>
      </c>
      <c r="B364" t="s">
        <v>723</v>
      </c>
      <c r="C364" s="30"/>
    </row>
    <row r="365" spans="1:3" x14ac:dyDescent="0.35">
      <c r="A365">
        <v>363</v>
      </c>
      <c r="B365" t="s">
        <v>723</v>
      </c>
      <c r="C365" s="30"/>
    </row>
    <row r="366" spans="1:3" x14ac:dyDescent="0.35">
      <c r="A366">
        <v>364</v>
      </c>
      <c r="B366" t="s">
        <v>723</v>
      </c>
      <c r="C366" s="30"/>
    </row>
    <row r="367" spans="1:3" x14ac:dyDescent="0.35">
      <c r="A367">
        <v>365</v>
      </c>
      <c r="B367" t="s">
        <v>723</v>
      </c>
      <c r="C367" s="30"/>
    </row>
    <row r="368" spans="1:3" x14ac:dyDescent="0.35">
      <c r="A368">
        <v>366</v>
      </c>
      <c r="B368" t="s">
        <v>723</v>
      </c>
      <c r="C368" s="30"/>
    </row>
    <row r="369" spans="1:3" x14ac:dyDescent="0.35">
      <c r="A369">
        <v>367</v>
      </c>
      <c r="B369" t="s">
        <v>723</v>
      </c>
      <c r="C369" s="30"/>
    </row>
    <row r="370" spans="1:3" x14ac:dyDescent="0.35">
      <c r="A370">
        <v>368</v>
      </c>
      <c r="B370" t="s">
        <v>723</v>
      </c>
      <c r="C370" s="30"/>
    </row>
    <row r="371" spans="1:3" x14ac:dyDescent="0.35">
      <c r="A371">
        <v>369</v>
      </c>
      <c r="B371" t="s">
        <v>723</v>
      </c>
      <c r="C371" s="30"/>
    </row>
    <row r="372" spans="1:3" x14ac:dyDescent="0.35">
      <c r="A372">
        <v>370</v>
      </c>
      <c r="B372" t="s">
        <v>723</v>
      </c>
      <c r="C372" s="30"/>
    </row>
    <row r="373" spans="1:3" x14ac:dyDescent="0.35">
      <c r="A373">
        <v>371</v>
      </c>
      <c r="B373" t="s">
        <v>723</v>
      </c>
      <c r="C373" s="30"/>
    </row>
    <row r="374" spans="1:3" x14ac:dyDescent="0.35">
      <c r="A374">
        <v>372</v>
      </c>
      <c r="B374" t="s">
        <v>723</v>
      </c>
      <c r="C374" s="30"/>
    </row>
    <row r="375" spans="1:3" x14ac:dyDescent="0.35">
      <c r="A375">
        <v>373</v>
      </c>
      <c r="B375" t="s">
        <v>723</v>
      </c>
      <c r="C375" s="30"/>
    </row>
    <row r="376" spans="1:3" x14ac:dyDescent="0.35">
      <c r="A376">
        <v>374</v>
      </c>
      <c r="B376" t="s">
        <v>723</v>
      </c>
      <c r="C376" s="30"/>
    </row>
    <row r="377" spans="1:3" x14ac:dyDescent="0.35">
      <c r="A377">
        <v>375</v>
      </c>
      <c r="B377" t="s">
        <v>723</v>
      </c>
      <c r="C377" s="30"/>
    </row>
    <row r="378" spans="1:3" x14ac:dyDescent="0.35">
      <c r="A378">
        <v>376</v>
      </c>
      <c r="B378" t="s">
        <v>723</v>
      </c>
      <c r="C378" s="30"/>
    </row>
    <row r="379" spans="1:3" x14ac:dyDescent="0.35">
      <c r="A379">
        <v>377</v>
      </c>
      <c r="B379" t="s">
        <v>723</v>
      </c>
      <c r="C379" s="30"/>
    </row>
    <row r="380" spans="1:3" x14ac:dyDescent="0.35">
      <c r="A380">
        <v>378</v>
      </c>
      <c r="B380" t="s">
        <v>723</v>
      </c>
      <c r="C380" s="30"/>
    </row>
    <row r="381" spans="1:3" x14ac:dyDescent="0.35">
      <c r="A381">
        <v>379</v>
      </c>
      <c r="B381" t="s">
        <v>723</v>
      </c>
      <c r="C381" s="30"/>
    </row>
    <row r="382" spans="1:3" x14ac:dyDescent="0.35">
      <c r="A382">
        <v>380</v>
      </c>
      <c r="B382" t="s">
        <v>723</v>
      </c>
      <c r="C382" s="30"/>
    </row>
    <row r="383" spans="1:3" x14ac:dyDescent="0.35">
      <c r="A383">
        <v>381</v>
      </c>
      <c r="B383" t="s">
        <v>723</v>
      </c>
      <c r="C383" s="30"/>
    </row>
    <row r="384" spans="1:3" x14ac:dyDescent="0.35">
      <c r="A384">
        <v>382</v>
      </c>
      <c r="B384" t="s">
        <v>723</v>
      </c>
      <c r="C384" s="30"/>
    </row>
    <row r="385" spans="1:3" x14ac:dyDescent="0.35">
      <c r="A385">
        <v>383</v>
      </c>
      <c r="B385" t="s">
        <v>723</v>
      </c>
      <c r="C385" s="30"/>
    </row>
    <row r="386" spans="1:3" x14ac:dyDescent="0.35">
      <c r="A386">
        <v>384</v>
      </c>
      <c r="B386" t="s">
        <v>723</v>
      </c>
      <c r="C386" s="30"/>
    </row>
    <row r="387" spans="1:3" x14ac:dyDescent="0.35">
      <c r="A387">
        <v>385</v>
      </c>
      <c r="B387" t="s">
        <v>723</v>
      </c>
      <c r="C387" s="30"/>
    </row>
    <row r="388" spans="1:3" x14ac:dyDescent="0.35">
      <c r="A388">
        <v>386</v>
      </c>
      <c r="B388" t="s">
        <v>723</v>
      </c>
      <c r="C388" s="30"/>
    </row>
    <row r="389" spans="1:3" x14ac:dyDescent="0.35">
      <c r="A389">
        <v>387</v>
      </c>
      <c r="B389" t="s">
        <v>723</v>
      </c>
      <c r="C389" s="30"/>
    </row>
    <row r="390" spans="1:3" x14ac:dyDescent="0.35">
      <c r="A390">
        <v>388</v>
      </c>
      <c r="B390" t="s">
        <v>723</v>
      </c>
      <c r="C390" s="30"/>
    </row>
    <row r="391" spans="1:3" x14ac:dyDescent="0.35">
      <c r="A391">
        <v>389</v>
      </c>
      <c r="B391" t="s">
        <v>723</v>
      </c>
      <c r="C391" s="30"/>
    </row>
    <row r="392" spans="1:3" x14ac:dyDescent="0.35">
      <c r="A392">
        <v>390</v>
      </c>
      <c r="B392" t="s">
        <v>723</v>
      </c>
      <c r="C392" s="30"/>
    </row>
    <row r="393" spans="1:3" x14ac:dyDescent="0.35">
      <c r="A393">
        <v>391</v>
      </c>
      <c r="B393" t="s">
        <v>723</v>
      </c>
      <c r="C393" s="30"/>
    </row>
    <row r="394" spans="1:3" x14ac:dyDescent="0.35">
      <c r="A394">
        <v>392</v>
      </c>
      <c r="B394" t="s">
        <v>723</v>
      </c>
      <c r="C394" s="30"/>
    </row>
    <row r="395" spans="1:3" x14ac:dyDescent="0.35">
      <c r="A395">
        <v>393</v>
      </c>
      <c r="B395" t="s">
        <v>723</v>
      </c>
      <c r="C395" s="30"/>
    </row>
    <row r="396" spans="1:3" x14ac:dyDescent="0.35">
      <c r="A396">
        <v>394</v>
      </c>
      <c r="B396" t="s">
        <v>723</v>
      </c>
      <c r="C396" s="30"/>
    </row>
    <row r="397" spans="1:3" x14ac:dyDescent="0.35">
      <c r="A397">
        <v>395</v>
      </c>
      <c r="B397" t="s">
        <v>723</v>
      </c>
      <c r="C397" s="30"/>
    </row>
    <row r="398" spans="1:3" x14ac:dyDescent="0.35">
      <c r="A398">
        <v>396</v>
      </c>
      <c r="B398" t="s">
        <v>723</v>
      </c>
      <c r="C398" s="30"/>
    </row>
    <row r="399" spans="1:3" x14ac:dyDescent="0.35">
      <c r="A399">
        <v>397</v>
      </c>
      <c r="B399" t="s">
        <v>723</v>
      </c>
      <c r="C399" s="30"/>
    </row>
    <row r="400" spans="1:3" x14ac:dyDescent="0.35">
      <c r="A400">
        <v>398</v>
      </c>
      <c r="B400" t="s">
        <v>723</v>
      </c>
      <c r="C400" s="30"/>
    </row>
    <row r="401" spans="1:3" x14ac:dyDescent="0.35">
      <c r="A401">
        <v>399</v>
      </c>
      <c r="B401" t="s">
        <v>723</v>
      </c>
      <c r="C401" s="30"/>
    </row>
    <row r="402" spans="1:3" x14ac:dyDescent="0.35">
      <c r="A402">
        <v>400</v>
      </c>
      <c r="B402" t="s">
        <v>723</v>
      </c>
      <c r="C402" s="30"/>
    </row>
    <row r="403" spans="1:3" x14ac:dyDescent="0.35">
      <c r="A403">
        <v>401</v>
      </c>
      <c r="B403" t="s">
        <v>723</v>
      </c>
      <c r="C403" s="30"/>
    </row>
    <row r="404" spans="1:3" x14ac:dyDescent="0.35">
      <c r="A404">
        <v>402</v>
      </c>
      <c r="B404" t="s">
        <v>723</v>
      </c>
      <c r="C404" s="30"/>
    </row>
    <row r="405" spans="1:3" x14ac:dyDescent="0.35">
      <c r="A405">
        <v>403</v>
      </c>
      <c r="B405" t="s">
        <v>723</v>
      </c>
      <c r="C405" s="30"/>
    </row>
    <row r="406" spans="1:3" x14ac:dyDescent="0.35">
      <c r="A406">
        <v>404</v>
      </c>
      <c r="B406" t="s">
        <v>723</v>
      </c>
      <c r="C406" s="30"/>
    </row>
    <row r="407" spans="1:3" x14ac:dyDescent="0.35">
      <c r="A407">
        <v>405</v>
      </c>
      <c r="B407" t="s">
        <v>723</v>
      </c>
      <c r="C407" s="30"/>
    </row>
    <row r="408" spans="1:3" x14ac:dyDescent="0.35">
      <c r="A408">
        <v>406</v>
      </c>
      <c r="B408" t="s">
        <v>723</v>
      </c>
      <c r="C408" s="30"/>
    </row>
    <row r="409" spans="1:3" x14ac:dyDescent="0.35">
      <c r="A409">
        <v>407</v>
      </c>
      <c r="B409" t="s">
        <v>723</v>
      </c>
      <c r="C409" s="30"/>
    </row>
    <row r="410" spans="1:3" x14ac:dyDescent="0.35">
      <c r="A410">
        <v>408</v>
      </c>
      <c r="B410" t="s">
        <v>723</v>
      </c>
      <c r="C410" s="30"/>
    </row>
    <row r="411" spans="1:3" x14ac:dyDescent="0.35">
      <c r="A411">
        <v>409</v>
      </c>
      <c r="B411" t="s">
        <v>723</v>
      </c>
      <c r="C411" s="30"/>
    </row>
    <row r="412" spans="1:3" x14ac:dyDescent="0.35">
      <c r="A412">
        <v>410</v>
      </c>
      <c r="B412" t="s">
        <v>723</v>
      </c>
      <c r="C412" s="30"/>
    </row>
    <row r="413" spans="1:3" x14ac:dyDescent="0.35">
      <c r="A413">
        <v>411</v>
      </c>
      <c r="B413" t="s">
        <v>723</v>
      </c>
      <c r="C413" s="30"/>
    </row>
    <row r="414" spans="1:3" x14ac:dyDescent="0.35">
      <c r="A414">
        <v>412</v>
      </c>
      <c r="B414" t="s">
        <v>723</v>
      </c>
      <c r="C414" s="30"/>
    </row>
    <row r="415" spans="1:3" x14ac:dyDescent="0.35">
      <c r="A415">
        <v>413</v>
      </c>
      <c r="B415" t="s">
        <v>723</v>
      </c>
      <c r="C415" s="30"/>
    </row>
    <row r="416" spans="1:3" x14ac:dyDescent="0.35">
      <c r="A416">
        <v>414</v>
      </c>
      <c r="B416" t="s">
        <v>723</v>
      </c>
      <c r="C416" s="30"/>
    </row>
    <row r="417" spans="1:3" x14ac:dyDescent="0.35">
      <c r="A417">
        <v>415</v>
      </c>
      <c r="B417" t="s">
        <v>723</v>
      </c>
      <c r="C417" s="30"/>
    </row>
    <row r="418" spans="1:3" x14ac:dyDescent="0.35">
      <c r="A418">
        <v>416</v>
      </c>
      <c r="B418" t="s">
        <v>723</v>
      </c>
      <c r="C418" s="30"/>
    </row>
    <row r="419" spans="1:3" x14ac:dyDescent="0.35">
      <c r="A419">
        <v>417</v>
      </c>
      <c r="B419" t="s">
        <v>723</v>
      </c>
      <c r="C419" s="30"/>
    </row>
    <row r="420" spans="1:3" x14ac:dyDescent="0.35">
      <c r="A420">
        <v>418</v>
      </c>
      <c r="B420" t="s">
        <v>723</v>
      </c>
      <c r="C420" s="30"/>
    </row>
    <row r="421" spans="1:3" x14ac:dyDescent="0.35">
      <c r="A421">
        <v>419</v>
      </c>
      <c r="B421" t="s">
        <v>723</v>
      </c>
      <c r="C421" s="30"/>
    </row>
    <row r="422" spans="1:3" x14ac:dyDescent="0.35">
      <c r="A422">
        <v>420</v>
      </c>
      <c r="B422" t="s">
        <v>723</v>
      </c>
      <c r="C422" s="30"/>
    </row>
    <row r="423" spans="1:3" x14ac:dyDescent="0.35">
      <c r="A423">
        <v>421</v>
      </c>
      <c r="B423" t="s">
        <v>723</v>
      </c>
      <c r="C423" s="30"/>
    </row>
    <row r="424" spans="1:3" x14ac:dyDescent="0.35">
      <c r="A424">
        <v>422</v>
      </c>
      <c r="B424" t="s">
        <v>723</v>
      </c>
      <c r="C424" s="30"/>
    </row>
    <row r="425" spans="1:3" x14ac:dyDescent="0.35">
      <c r="A425">
        <v>423</v>
      </c>
      <c r="B425" t="s">
        <v>723</v>
      </c>
      <c r="C425" s="30"/>
    </row>
    <row r="426" spans="1:3" x14ac:dyDescent="0.35">
      <c r="A426">
        <v>424</v>
      </c>
      <c r="B426" t="s">
        <v>723</v>
      </c>
      <c r="C426" s="30"/>
    </row>
    <row r="427" spans="1:3" x14ac:dyDescent="0.35">
      <c r="A427">
        <v>425</v>
      </c>
      <c r="B427" t="s">
        <v>723</v>
      </c>
      <c r="C427" s="30"/>
    </row>
    <row r="428" spans="1:3" x14ac:dyDescent="0.35">
      <c r="A428">
        <v>426</v>
      </c>
      <c r="B428" t="s">
        <v>723</v>
      </c>
      <c r="C428" s="30"/>
    </row>
    <row r="429" spans="1:3" x14ac:dyDescent="0.35">
      <c r="A429">
        <v>427</v>
      </c>
      <c r="B429" t="s">
        <v>723</v>
      </c>
      <c r="C429" s="30"/>
    </row>
    <row r="430" spans="1:3" x14ac:dyDescent="0.35">
      <c r="A430">
        <v>428</v>
      </c>
      <c r="B430" t="s">
        <v>723</v>
      </c>
      <c r="C430" s="30"/>
    </row>
    <row r="431" spans="1:3" x14ac:dyDescent="0.35">
      <c r="A431">
        <v>429</v>
      </c>
      <c r="B431" t="s">
        <v>723</v>
      </c>
      <c r="C431" s="30"/>
    </row>
    <row r="432" spans="1:3" x14ac:dyDescent="0.35">
      <c r="A432">
        <v>430</v>
      </c>
      <c r="B432" t="s">
        <v>723</v>
      </c>
      <c r="C432" s="30"/>
    </row>
    <row r="433" spans="1:3" x14ac:dyDescent="0.35">
      <c r="A433">
        <v>431</v>
      </c>
      <c r="B433" t="s">
        <v>723</v>
      </c>
      <c r="C433" s="30"/>
    </row>
    <row r="434" spans="1:3" x14ac:dyDescent="0.35">
      <c r="A434">
        <v>432</v>
      </c>
      <c r="B434" t="s">
        <v>723</v>
      </c>
      <c r="C434" s="30"/>
    </row>
    <row r="435" spans="1:3" x14ac:dyDescent="0.35">
      <c r="A435">
        <v>433</v>
      </c>
      <c r="B435" t="s">
        <v>723</v>
      </c>
      <c r="C435" s="30"/>
    </row>
    <row r="436" spans="1:3" x14ac:dyDescent="0.35">
      <c r="A436">
        <v>434</v>
      </c>
      <c r="B436" t="s">
        <v>723</v>
      </c>
      <c r="C436" s="30"/>
    </row>
    <row r="437" spans="1:3" x14ac:dyDescent="0.35">
      <c r="A437">
        <v>435</v>
      </c>
      <c r="B437" t="s">
        <v>723</v>
      </c>
      <c r="C437" s="30"/>
    </row>
    <row r="438" spans="1:3" x14ac:dyDescent="0.35">
      <c r="A438">
        <v>436</v>
      </c>
      <c r="B438" t="s">
        <v>723</v>
      </c>
      <c r="C438" s="30"/>
    </row>
    <row r="439" spans="1:3" x14ac:dyDescent="0.35">
      <c r="A439">
        <v>437</v>
      </c>
      <c r="B439" t="s">
        <v>723</v>
      </c>
      <c r="C439" s="30"/>
    </row>
    <row r="440" spans="1:3" x14ac:dyDescent="0.35">
      <c r="A440">
        <v>438</v>
      </c>
      <c r="B440" t="s">
        <v>723</v>
      </c>
      <c r="C440" s="30"/>
    </row>
    <row r="441" spans="1:3" x14ac:dyDescent="0.35">
      <c r="A441">
        <v>439</v>
      </c>
      <c r="B441" t="s">
        <v>723</v>
      </c>
      <c r="C441" s="30"/>
    </row>
    <row r="442" spans="1:3" x14ac:dyDescent="0.35">
      <c r="A442">
        <v>440</v>
      </c>
      <c r="B442" t="s">
        <v>723</v>
      </c>
      <c r="C442" s="30"/>
    </row>
    <row r="443" spans="1:3" x14ac:dyDescent="0.35">
      <c r="A443">
        <v>441</v>
      </c>
      <c r="B443" t="s">
        <v>723</v>
      </c>
      <c r="C443" s="30"/>
    </row>
    <row r="444" spans="1:3" x14ac:dyDescent="0.35">
      <c r="A444">
        <v>442</v>
      </c>
      <c r="B444" t="s">
        <v>723</v>
      </c>
      <c r="C444" s="30"/>
    </row>
    <row r="445" spans="1:3" x14ac:dyDescent="0.35">
      <c r="A445">
        <v>443</v>
      </c>
      <c r="B445" t="s">
        <v>723</v>
      </c>
      <c r="C445" s="30"/>
    </row>
    <row r="446" spans="1:3" x14ac:dyDescent="0.35">
      <c r="A446">
        <v>444</v>
      </c>
      <c r="B446" t="s">
        <v>723</v>
      </c>
      <c r="C446" s="30"/>
    </row>
    <row r="447" spans="1:3" x14ac:dyDescent="0.35">
      <c r="A447">
        <v>445</v>
      </c>
      <c r="B447" t="s">
        <v>723</v>
      </c>
      <c r="C447" s="30"/>
    </row>
    <row r="448" spans="1:3" x14ac:dyDescent="0.35">
      <c r="A448">
        <v>446</v>
      </c>
      <c r="B448" t="s">
        <v>723</v>
      </c>
      <c r="C448" s="30"/>
    </row>
    <row r="449" spans="1:3" x14ac:dyDescent="0.35">
      <c r="A449">
        <v>447</v>
      </c>
      <c r="B449" t="s">
        <v>723</v>
      </c>
      <c r="C449" s="30"/>
    </row>
    <row r="450" spans="1:3" x14ac:dyDescent="0.35">
      <c r="A450">
        <v>448</v>
      </c>
      <c r="B450" t="s">
        <v>723</v>
      </c>
      <c r="C450" s="30"/>
    </row>
    <row r="451" spans="1:3" x14ac:dyDescent="0.35">
      <c r="A451">
        <v>449</v>
      </c>
      <c r="B451" t="s">
        <v>723</v>
      </c>
      <c r="C451" s="30"/>
    </row>
    <row r="452" spans="1:3" x14ac:dyDescent="0.35">
      <c r="A452">
        <v>450</v>
      </c>
      <c r="B452" t="s">
        <v>723</v>
      </c>
      <c r="C452" s="30"/>
    </row>
    <row r="453" spans="1:3" x14ac:dyDescent="0.35">
      <c r="A453">
        <v>451</v>
      </c>
      <c r="B453" t="s">
        <v>723</v>
      </c>
      <c r="C453" s="30"/>
    </row>
    <row r="454" spans="1:3" x14ac:dyDescent="0.35">
      <c r="A454">
        <v>452</v>
      </c>
      <c r="B454" t="s">
        <v>723</v>
      </c>
      <c r="C454" s="30"/>
    </row>
    <row r="455" spans="1:3" x14ac:dyDescent="0.35">
      <c r="A455">
        <v>453</v>
      </c>
      <c r="B455" t="s">
        <v>723</v>
      </c>
      <c r="C455" s="30"/>
    </row>
    <row r="456" spans="1:3" x14ac:dyDescent="0.35">
      <c r="A456">
        <v>454</v>
      </c>
      <c r="B456" t="s">
        <v>723</v>
      </c>
      <c r="C456" s="30"/>
    </row>
    <row r="457" spans="1:3" x14ac:dyDescent="0.35">
      <c r="A457">
        <v>455</v>
      </c>
      <c r="B457" t="s">
        <v>723</v>
      </c>
      <c r="C457" s="30"/>
    </row>
    <row r="458" spans="1:3" x14ac:dyDescent="0.35">
      <c r="A458">
        <v>456</v>
      </c>
      <c r="B458" t="s">
        <v>723</v>
      </c>
      <c r="C458" s="30"/>
    </row>
    <row r="459" spans="1:3" x14ac:dyDescent="0.35">
      <c r="A459">
        <v>457</v>
      </c>
      <c r="B459" t="s">
        <v>723</v>
      </c>
      <c r="C459" s="30"/>
    </row>
    <row r="460" spans="1:3" x14ac:dyDescent="0.35">
      <c r="A460">
        <v>458</v>
      </c>
      <c r="B460" t="s">
        <v>723</v>
      </c>
      <c r="C460" s="30"/>
    </row>
    <row r="461" spans="1:3" x14ac:dyDescent="0.35">
      <c r="A461">
        <v>459</v>
      </c>
      <c r="B461" t="s">
        <v>723</v>
      </c>
      <c r="C461" s="30"/>
    </row>
    <row r="462" spans="1:3" x14ac:dyDescent="0.35">
      <c r="A462">
        <v>460</v>
      </c>
      <c r="B462" t="s">
        <v>723</v>
      </c>
      <c r="C462" s="30"/>
    </row>
    <row r="463" spans="1:3" x14ac:dyDescent="0.35">
      <c r="A463">
        <v>461</v>
      </c>
      <c r="B463" t="s">
        <v>723</v>
      </c>
      <c r="C463" s="30"/>
    </row>
    <row r="464" spans="1:3" x14ac:dyDescent="0.35">
      <c r="A464">
        <v>462</v>
      </c>
      <c r="B464" t="s">
        <v>723</v>
      </c>
      <c r="C464" s="30"/>
    </row>
    <row r="465" spans="1:3" x14ac:dyDescent="0.35">
      <c r="A465">
        <v>463</v>
      </c>
      <c r="B465" t="s">
        <v>723</v>
      </c>
      <c r="C465" s="30"/>
    </row>
    <row r="466" spans="1:3" x14ac:dyDescent="0.35">
      <c r="A466">
        <v>464</v>
      </c>
      <c r="B466" t="s">
        <v>723</v>
      </c>
      <c r="C466" s="30"/>
    </row>
    <row r="467" spans="1:3" x14ac:dyDescent="0.35">
      <c r="A467">
        <v>465</v>
      </c>
      <c r="B467" t="s">
        <v>723</v>
      </c>
      <c r="C467" s="30"/>
    </row>
    <row r="468" spans="1:3" x14ac:dyDescent="0.35">
      <c r="A468">
        <v>466</v>
      </c>
      <c r="B468" t="s">
        <v>723</v>
      </c>
      <c r="C468" s="30"/>
    </row>
    <row r="469" spans="1:3" x14ac:dyDescent="0.35">
      <c r="A469">
        <v>467</v>
      </c>
      <c r="B469" t="s">
        <v>723</v>
      </c>
      <c r="C469" s="30"/>
    </row>
    <row r="470" spans="1:3" x14ac:dyDescent="0.35">
      <c r="A470">
        <v>468</v>
      </c>
      <c r="B470" t="s">
        <v>723</v>
      </c>
      <c r="C470" s="30"/>
    </row>
    <row r="471" spans="1:3" x14ac:dyDescent="0.35">
      <c r="A471">
        <v>469</v>
      </c>
      <c r="B471" t="s">
        <v>723</v>
      </c>
      <c r="C471" s="30"/>
    </row>
    <row r="472" spans="1:3" x14ac:dyDescent="0.35">
      <c r="A472">
        <v>470</v>
      </c>
      <c r="B472" t="s">
        <v>723</v>
      </c>
      <c r="C472" s="30"/>
    </row>
    <row r="473" spans="1:3" x14ac:dyDescent="0.35">
      <c r="A473">
        <v>471</v>
      </c>
      <c r="B473" t="s">
        <v>723</v>
      </c>
      <c r="C473" s="30"/>
    </row>
    <row r="474" spans="1:3" x14ac:dyDescent="0.35">
      <c r="A474">
        <v>472</v>
      </c>
      <c r="B474" t="s">
        <v>723</v>
      </c>
      <c r="C474" s="30"/>
    </row>
    <row r="475" spans="1:3" x14ac:dyDescent="0.35">
      <c r="A475">
        <v>473</v>
      </c>
      <c r="B475" t="s">
        <v>723</v>
      </c>
      <c r="C475" s="30"/>
    </row>
    <row r="476" spans="1:3" x14ac:dyDescent="0.35">
      <c r="A476">
        <v>474</v>
      </c>
      <c r="B476" t="s">
        <v>723</v>
      </c>
      <c r="C476" s="30"/>
    </row>
    <row r="477" spans="1:3" x14ac:dyDescent="0.35">
      <c r="A477">
        <v>475</v>
      </c>
      <c r="B477" t="s">
        <v>723</v>
      </c>
      <c r="C477" s="30"/>
    </row>
    <row r="478" spans="1:3" x14ac:dyDescent="0.35">
      <c r="A478">
        <v>476</v>
      </c>
      <c r="B478" t="s">
        <v>723</v>
      </c>
      <c r="C478" s="30"/>
    </row>
    <row r="479" spans="1:3" x14ac:dyDescent="0.35">
      <c r="A479">
        <v>477</v>
      </c>
      <c r="B479" t="s">
        <v>723</v>
      </c>
      <c r="C479" s="30"/>
    </row>
    <row r="480" spans="1:3" x14ac:dyDescent="0.35">
      <c r="A480">
        <v>478</v>
      </c>
      <c r="B480" t="s">
        <v>723</v>
      </c>
      <c r="C480" s="30"/>
    </row>
    <row r="481" spans="1:3" x14ac:dyDescent="0.35">
      <c r="A481">
        <v>479</v>
      </c>
      <c r="B481" t="s">
        <v>723</v>
      </c>
      <c r="C481" s="30"/>
    </row>
    <row r="482" spans="1:3" x14ac:dyDescent="0.35">
      <c r="A482">
        <v>480</v>
      </c>
      <c r="B482" t="s">
        <v>723</v>
      </c>
      <c r="C482" s="30"/>
    </row>
    <row r="483" spans="1:3" x14ac:dyDescent="0.35">
      <c r="A483">
        <v>481</v>
      </c>
      <c r="B483" t="s">
        <v>723</v>
      </c>
      <c r="C483" s="30"/>
    </row>
    <row r="484" spans="1:3" x14ac:dyDescent="0.35">
      <c r="A484">
        <v>482</v>
      </c>
      <c r="B484" t="s">
        <v>723</v>
      </c>
      <c r="C484" s="30"/>
    </row>
    <row r="485" spans="1:3" x14ac:dyDescent="0.35">
      <c r="A485">
        <v>483</v>
      </c>
      <c r="B485" t="s">
        <v>723</v>
      </c>
      <c r="C485" s="30"/>
    </row>
    <row r="486" spans="1:3" x14ac:dyDescent="0.35">
      <c r="A486">
        <v>484</v>
      </c>
      <c r="B486" t="s">
        <v>723</v>
      </c>
      <c r="C486" s="30"/>
    </row>
    <row r="487" spans="1:3" x14ac:dyDescent="0.35">
      <c r="A487">
        <v>485</v>
      </c>
      <c r="B487" t="s">
        <v>723</v>
      </c>
      <c r="C487" s="30"/>
    </row>
    <row r="488" spans="1:3" x14ac:dyDescent="0.35">
      <c r="A488">
        <v>486</v>
      </c>
      <c r="B488" t="s">
        <v>723</v>
      </c>
      <c r="C488" s="30"/>
    </row>
    <row r="489" spans="1:3" x14ac:dyDescent="0.35">
      <c r="A489">
        <v>487</v>
      </c>
      <c r="B489" t="s">
        <v>723</v>
      </c>
      <c r="C489" s="30"/>
    </row>
    <row r="490" spans="1:3" x14ac:dyDescent="0.35">
      <c r="A490">
        <v>488</v>
      </c>
      <c r="B490" t="s">
        <v>723</v>
      </c>
      <c r="C490" s="30"/>
    </row>
    <row r="491" spans="1:3" x14ac:dyDescent="0.35">
      <c r="A491">
        <v>489</v>
      </c>
      <c r="B491" t="s">
        <v>723</v>
      </c>
      <c r="C491" s="30"/>
    </row>
    <row r="492" spans="1:3" x14ac:dyDescent="0.35">
      <c r="A492">
        <v>490</v>
      </c>
      <c r="B492" t="s">
        <v>723</v>
      </c>
      <c r="C492" s="30"/>
    </row>
    <row r="493" spans="1:3" x14ac:dyDescent="0.35">
      <c r="A493">
        <v>491</v>
      </c>
      <c r="B493" t="s">
        <v>723</v>
      </c>
      <c r="C493" s="30"/>
    </row>
    <row r="494" spans="1:3" x14ac:dyDescent="0.35">
      <c r="A494">
        <v>492</v>
      </c>
      <c r="B494" t="s">
        <v>723</v>
      </c>
      <c r="C494" s="30"/>
    </row>
    <row r="495" spans="1:3" x14ac:dyDescent="0.35">
      <c r="A495">
        <v>493</v>
      </c>
      <c r="B495" t="s">
        <v>723</v>
      </c>
      <c r="C495" s="30"/>
    </row>
    <row r="496" spans="1:3" x14ac:dyDescent="0.35">
      <c r="A496">
        <v>494</v>
      </c>
      <c r="B496" t="s">
        <v>723</v>
      </c>
      <c r="C496" s="30"/>
    </row>
    <row r="497" spans="1:3" x14ac:dyDescent="0.35">
      <c r="A497">
        <v>495</v>
      </c>
      <c r="B497" t="s">
        <v>723</v>
      </c>
      <c r="C497" s="30"/>
    </row>
    <row r="498" spans="1:3" x14ac:dyDescent="0.35">
      <c r="A498">
        <v>496</v>
      </c>
      <c r="B498" t="s">
        <v>723</v>
      </c>
      <c r="C498" s="30"/>
    </row>
    <row r="499" spans="1:3" x14ac:dyDescent="0.35">
      <c r="A499">
        <v>497</v>
      </c>
      <c r="B499" t="s">
        <v>723</v>
      </c>
      <c r="C499" s="30"/>
    </row>
    <row r="500" spans="1:3" x14ac:dyDescent="0.35">
      <c r="A500">
        <v>498</v>
      </c>
      <c r="B500" t="s">
        <v>723</v>
      </c>
      <c r="C500" s="30"/>
    </row>
    <row r="501" spans="1:3" x14ac:dyDescent="0.35">
      <c r="A501">
        <v>499</v>
      </c>
      <c r="B501" t="s">
        <v>723</v>
      </c>
      <c r="C501" s="30"/>
    </row>
    <row r="502" spans="1:3" x14ac:dyDescent="0.35">
      <c r="A502">
        <v>500</v>
      </c>
      <c r="B502" t="s">
        <v>723</v>
      </c>
      <c r="C502" s="30"/>
    </row>
  </sheetData>
  <autoFilter ref="A3:T502" xr:uid="{61DBC0B4-AAF5-4AC9-99FE-CAE98963FF01}"/>
  <mergeCells count="3">
    <mergeCell ref="I2:L2"/>
    <mergeCell ref="M2:P2"/>
    <mergeCell ref="Q2:T2"/>
  </mergeCells>
  <conditionalFormatting sqref="B4:B306">
    <cfRule type="duplicateValues" dxfId="1" priority="2"/>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8797E-6A55-4DD4-A420-5F212E01BAB6}">
  <sheetPr codeName="Sheet3"/>
  <dimension ref="A1:XFD304"/>
  <sheetViews>
    <sheetView workbookViewId="0">
      <selection activeCell="B2" sqref="B2:B304"/>
    </sheetView>
  </sheetViews>
  <sheetFormatPr defaultRowHeight="14.5" x14ac:dyDescent="0.35"/>
  <sheetData>
    <row r="1" spans="1:13 16383:16384" ht="15" customHeight="1" x14ac:dyDescent="0.35">
      <c r="A1" s="9" t="s">
        <v>30</v>
      </c>
      <c r="B1" s="9" t="s">
        <v>0</v>
      </c>
      <c r="C1" t="s">
        <v>24</v>
      </c>
      <c r="D1" t="s">
        <v>15</v>
      </c>
      <c r="E1" t="s">
        <v>12</v>
      </c>
      <c r="F1" t="s">
        <v>20</v>
      </c>
      <c r="G1" t="s">
        <v>26</v>
      </c>
      <c r="H1" t="s">
        <v>22</v>
      </c>
      <c r="I1" t="s">
        <v>190</v>
      </c>
      <c r="J1" t="s">
        <v>191</v>
      </c>
      <c r="K1" t="s">
        <v>192</v>
      </c>
      <c r="L1" t="s">
        <v>193</v>
      </c>
      <c r="M1" t="s">
        <v>194</v>
      </c>
      <c r="XFC1" t="s">
        <v>240</v>
      </c>
      <c r="XFD1">
        <v>1</v>
      </c>
    </row>
    <row r="2" spans="1:13 16383:16384" x14ac:dyDescent="0.35">
      <c r="A2" s="52" t="s">
        <v>195</v>
      </c>
      <c r="B2" s="21" t="s">
        <v>1464</v>
      </c>
      <c r="C2" s="69">
        <v>0.14285714285714285</v>
      </c>
      <c r="D2" s="69">
        <v>0.11904761904761904</v>
      </c>
      <c r="E2" s="69">
        <v>9.5238095238095233E-2</v>
      </c>
      <c r="F2" s="69">
        <v>0.16666666666666666</v>
      </c>
      <c r="G2" s="69">
        <v>0.14285714285714285</v>
      </c>
      <c r="H2" s="69">
        <v>0.16666666666666666</v>
      </c>
      <c r="XFC2" t="s">
        <v>241</v>
      </c>
      <c r="XFD2">
        <v>1</v>
      </c>
    </row>
    <row r="3" spans="1:13 16383:16384" x14ac:dyDescent="0.35">
      <c r="A3" s="52" t="s">
        <v>196</v>
      </c>
      <c r="B3" s="21" t="s">
        <v>322</v>
      </c>
      <c r="C3" s="69">
        <v>0.16666666666666666</v>
      </c>
      <c r="D3" s="69">
        <v>0.16666666666666666</v>
      </c>
      <c r="E3" s="69">
        <v>9.5238095238095233E-2</v>
      </c>
      <c r="F3" s="69">
        <v>0.14285714285714285</v>
      </c>
      <c r="G3" s="69">
        <v>0.11904761904761904</v>
      </c>
      <c r="H3" s="69">
        <v>0.16666666666666666</v>
      </c>
      <c r="XFC3" t="s">
        <v>242</v>
      </c>
      <c r="XFD3">
        <v>1</v>
      </c>
    </row>
    <row r="4" spans="1:13 16383:16384" x14ac:dyDescent="0.35">
      <c r="A4" s="52" t="s">
        <v>197</v>
      </c>
      <c r="B4" s="21" t="s">
        <v>1198</v>
      </c>
      <c r="C4" s="69">
        <v>0.11904761904761904</v>
      </c>
      <c r="D4" s="69">
        <v>0.11904761904761904</v>
      </c>
      <c r="E4" s="69">
        <v>0.11904761904761904</v>
      </c>
      <c r="F4" s="69">
        <v>0.14285714285714285</v>
      </c>
      <c r="G4" s="69">
        <v>7.1428571428571425E-2</v>
      </c>
      <c r="H4" s="69">
        <v>0.16666666666666666</v>
      </c>
      <c r="XFC4" t="s">
        <v>582</v>
      </c>
      <c r="XFD4">
        <v>1</v>
      </c>
    </row>
    <row r="5" spans="1:13 16383:16384" x14ac:dyDescent="0.35">
      <c r="A5" s="52" t="s">
        <v>198</v>
      </c>
      <c r="B5" s="21" t="s">
        <v>1241</v>
      </c>
      <c r="C5" s="69">
        <v>0.16666666666666666</v>
      </c>
      <c r="D5" s="69">
        <v>0.14285714285714285</v>
      </c>
      <c r="E5" s="69">
        <v>0.14285714285714285</v>
      </c>
      <c r="F5" s="69">
        <v>0.16666666666666666</v>
      </c>
      <c r="G5" s="69">
        <v>0.16666666666666666</v>
      </c>
      <c r="H5" s="69">
        <v>0.16666666666666666</v>
      </c>
      <c r="XFC5" t="s">
        <v>243</v>
      </c>
      <c r="XFD5">
        <v>1</v>
      </c>
    </row>
    <row r="6" spans="1:13 16383:16384" x14ac:dyDescent="0.35">
      <c r="A6" s="52" t="s">
        <v>199</v>
      </c>
      <c r="B6" s="21" t="s">
        <v>1449</v>
      </c>
      <c r="C6" s="69">
        <v>0.11904761904761904</v>
      </c>
      <c r="D6" s="69">
        <v>0.11904761904761904</v>
      </c>
      <c r="E6" s="69">
        <v>0</v>
      </c>
      <c r="F6" s="69">
        <v>0.11904761904761904</v>
      </c>
      <c r="G6" s="69">
        <v>7.1428571428571425E-2</v>
      </c>
      <c r="H6" s="69">
        <v>0.14285714285714285</v>
      </c>
      <c r="XFC6" t="s">
        <v>244</v>
      </c>
      <c r="XFD6">
        <v>1</v>
      </c>
    </row>
    <row r="7" spans="1:13 16383:16384" x14ac:dyDescent="0.35">
      <c r="A7" s="52" t="s">
        <v>200</v>
      </c>
      <c r="B7" t="s">
        <v>279</v>
      </c>
      <c r="C7" s="69">
        <v>0.11904761904761904</v>
      </c>
      <c r="D7" s="69">
        <v>0.14285714285714285</v>
      </c>
      <c r="E7" s="69">
        <v>0</v>
      </c>
      <c r="F7" s="69">
        <v>7.1428571428571425E-2</v>
      </c>
      <c r="G7" s="69">
        <v>0.14285714285714285</v>
      </c>
      <c r="H7" s="69">
        <v>0.16666666666666666</v>
      </c>
      <c r="XFC7" t="s">
        <v>245</v>
      </c>
      <c r="XFD7">
        <v>1</v>
      </c>
    </row>
    <row r="8" spans="1:13 16383:16384" x14ac:dyDescent="0.35">
      <c r="B8" t="s">
        <v>368</v>
      </c>
      <c r="C8" s="69">
        <v>7.1428571428571425E-2</v>
      </c>
      <c r="D8" s="69">
        <v>0.14285714285714285</v>
      </c>
      <c r="E8" s="69">
        <v>9.5238095238095233E-2</v>
      </c>
      <c r="F8" s="69">
        <v>0.14285714285714285</v>
      </c>
      <c r="G8" s="69">
        <v>0.11904761904761904</v>
      </c>
      <c r="H8" s="69">
        <v>0.16666666666666666</v>
      </c>
      <c r="XFC8" t="s">
        <v>246</v>
      </c>
      <c r="XFD8">
        <v>1</v>
      </c>
    </row>
    <row r="9" spans="1:13 16383:16384" x14ac:dyDescent="0.35">
      <c r="B9" t="s">
        <v>345</v>
      </c>
      <c r="C9" s="69">
        <v>0.14285714285714285</v>
      </c>
      <c r="D9" s="69">
        <v>4.7619047619047616E-2</v>
      </c>
      <c r="E9" s="69">
        <v>0</v>
      </c>
      <c r="F9" s="69">
        <v>0.14285714285714285</v>
      </c>
      <c r="G9" s="69">
        <v>0.16666666666666666</v>
      </c>
      <c r="H9" s="69">
        <v>0.16666666666666666</v>
      </c>
      <c r="XFC9" t="s">
        <v>247</v>
      </c>
      <c r="XFD9">
        <v>1</v>
      </c>
    </row>
    <row r="10" spans="1:13 16383:16384" x14ac:dyDescent="0.35">
      <c r="B10" t="s">
        <v>328</v>
      </c>
      <c r="C10" s="69">
        <v>0.11904761904761904</v>
      </c>
      <c r="D10" s="69">
        <v>7.1428571428571425E-2</v>
      </c>
      <c r="E10" s="69">
        <v>0.11904761904761904</v>
      </c>
      <c r="F10" s="69">
        <v>0.11904761904761904</v>
      </c>
      <c r="G10" s="69">
        <v>9.5238095238095233E-2</v>
      </c>
      <c r="H10" s="69">
        <v>0.11904761904761904</v>
      </c>
      <c r="XFC10" t="s">
        <v>248</v>
      </c>
      <c r="XFD10">
        <v>1</v>
      </c>
    </row>
    <row r="11" spans="1:13 16383:16384" x14ac:dyDescent="0.35">
      <c r="B11" t="s">
        <v>879</v>
      </c>
      <c r="C11" s="69">
        <v>0.11904761904761904</v>
      </c>
      <c r="D11" s="69">
        <v>0.11904761904761904</v>
      </c>
      <c r="E11" s="69">
        <v>4.7619047619047616E-2</v>
      </c>
      <c r="F11" s="69">
        <v>9.5238095238095233E-2</v>
      </c>
      <c r="G11" s="69">
        <v>0.11904761904761904</v>
      </c>
      <c r="H11" s="69">
        <v>0.11904761904761904</v>
      </c>
      <c r="XFC11" t="s">
        <v>249</v>
      </c>
      <c r="XFD11">
        <v>1</v>
      </c>
    </row>
    <row r="12" spans="1:13 16383:16384" x14ac:dyDescent="0.35">
      <c r="B12" t="s">
        <v>1162</v>
      </c>
      <c r="C12" s="69">
        <v>0.11904761904761904</v>
      </c>
      <c r="D12" s="69">
        <v>4.7619047619047616E-2</v>
      </c>
      <c r="E12" s="69">
        <v>4.7619047619047616E-2</v>
      </c>
      <c r="F12" s="69">
        <v>9.5238095238095233E-2</v>
      </c>
      <c r="G12" s="69">
        <v>4.7619047619047616E-2</v>
      </c>
      <c r="H12" s="69">
        <v>0.11904761904761904</v>
      </c>
      <c r="XFC12" t="s">
        <v>250</v>
      </c>
      <c r="XFD12">
        <v>1</v>
      </c>
    </row>
    <row r="13" spans="1:13 16383:16384" x14ac:dyDescent="0.35">
      <c r="B13" t="s">
        <v>353</v>
      </c>
      <c r="C13" s="69">
        <v>0.14285714285714285</v>
      </c>
      <c r="D13" s="69">
        <v>0.14285714285714285</v>
      </c>
      <c r="E13" s="69">
        <v>0.14285714285714285</v>
      </c>
      <c r="F13" s="69">
        <v>0.11904761904761904</v>
      </c>
      <c r="G13" s="69">
        <v>0.14285714285714285</v>
      </c>
      <c r="H13" s="69">
        <v>0.16666666666666666</v>
      </c>
      <c r="XFC13" t="s">
        <v>251</v>
      </c>
      <c r="XFD13">
        <v>1</v>
      </c>
    </row>
    <row r="14" spans="1:13 16383:16384" x14ac:dyDescent="0.35">
      <c r="B14" t="s">
        <v>1225</v>
      </c>
      <c r="C14" s="69">
        <v>0.14285714285714285</v>
      </c>
      <c r="D14" s="69">
        <v>9.5238095238095233E-2</v>
      </c>
      <c r="E14" s="69">
        <v>7.1428571428571425E-2</v>
      </c>
      <c r="F14" s="69">
        <v>7.1428571428571425E-2</v>
      </c>
      <c r="G14" s="69">
        <v>9.5238095238095233E-2</v>
      </c>
      <c r="H14" s="69">
        <v>0.16666666666666666</v>
      </c>
      <c r="XFC14" t="s">
        <v>252</v>
      </c>
      <c r="XFD14">
        <v>1</v>
      </c>
    </row>
    <row r="15" spans="1:13 16383:16384" x14ac:dyDescent="0.35">
      <c r="B15" t="s">
        <v>1064</v>
      </c>
      <c r="C15" s="69">
        <v>0.11904761904761904</v>
      </c>
      <c r="D15" s="69">
        <v>7.1428571428571425E-2</v>
      </c>
      <c r="E15" s="69">
        <v>0</v>
      </c>
      <c r="F15" s="69">
        <v>7.1428571428571425E-2</v>
      </c>
      <c r="G15" s="69">
        <v>0.11904761904761904</v>
      </c>
      <c r="H15" s="69">
        <v>0.14285714285714285</v>
      </c>
      <c r="XFC15" t="s">
        <v>253</v>
      </c>
      <c r="XFD15">
        <v>1</v>
      </c>
    </row>
    <row r="16" spans="1:13 16383:16384" x14ac:dyDescent="0.35">
      <c r="B16" t="s">
        <v>268</v>
      </c>
      <c r="C16" s="69">
        <v>0.16666666666666666</v>
      </c>
      <c r="D16" s="69">
        <v>9.5238095238095233E-2</v>
      </c>
      <c r="E16" s="69">
        <v>0</v>
      </c>
      <c r="F16" s="69">
        <v>0.14285714285714285</v>
      </c>
      <c r="G16" s="69">
        <v>0.11904761904761904</v>
      </c>
      <c r="H16" s="69">
        <v>0.14285714285714285</v>
      </c>
      <c r="XFC16" t="s">
        <v>254</v>
      </c>
      <c r="XFD16">
        <v>1</v>
      </c>
    </row>
    <row r="17" spans="2:8 16383:16384" x14ac:dyDescent="0.35">
      <c r="B17" t="s">
        <v>1099</v>
      </c>
      <c r="C17" s="69">
        <v>0.14285714285714285</v>
      </c>
      <c r="D17" s="69">
        <v>0.11904761904761904</v>
      </c>
      <c r="E17" s="69">
        <v>0.14285714285714285</v>
      </c>
      <c r="F17" s="69">
        <v>0.16666666666666666</v>
      </c>
      <c r="G17" s="69">
        <v>0.14285714285714285</v>
      </c>
      <c r="H17" s="69">
        <v>0.14285714285714285</v>
      </c>
      <c r="XFC17" t="s">
        <v>255</v>
      </c>
      <c r="XFD17">
        <v>1</v>
      </c>
    </row>
    <row r="18" spans="2:8 16383:16384" x14ac:dyDescent="0.35">
      <c r="B18" t="s">
        <v>316</v>
      </c>
      <c r="C18" s="69">
        <v>0.16666666666666666</v>
      </c>
      <c r="D18" s="69">
        <v>0.14285714285714285</v>
      </c>
      <c r="E18" s="69">
        <v>0.11904761904761904</v>
      </c>
      <c r="F18" s="69">
        <v>0.14285714285714285</v>
      </c>
      <c r="G18" s="69">
        <v>0.11904761904761904</v>
      </c>
      <c r="H18" s="69">
        <v>0.16666666666666666</v>
      </c>
      <c r="XFC18" t="s">
        <v>256</v>
      </c>
      <c r="XFD18">
        <v>1</v>
      </c>
    </row>
    <row r="19" spans="2:8 16383:16384" x14ac:dyDescent="0.35">
      <c r="B19" t="s">
        <v>1037</v>
      </c>
      <c r="C19" s="69">
        <v>0.11904761904761904</v>
      </c>
      <c r="D19" s="69">
        <v>0.11904761904761904</v>
      </c>
      <c r="E19" s="69">
        <v>4.7619047619047616E-2</v>
      </c>
      <c r="F19" s="69">
        <v>0.14285714285714285</v>
      </c>
      <c r="G19" s="69">
        <v>0.14285714285714285</v>
      </c>
      <c r="H19" s="69">
        <v>0.16666666666666666</v>
      </c>
      <c r="XFC19" t="s">
        <v>257</v>
      </c>
      <c r="XFD19">
        <v>1</v>
      </c>
    </row>
    <row r="20" spans="2:8 16383:16384" x14ac:dyDescent="0.35">
      <c r="B20" t="s">
        <v>1079</v>
      </c>
      <c r="C20" s="69">
        <v>9.5238095238095233E-2</v>
      </c>
      <c r="D20" s="69">
        <v>0.14285714285714285</v>
      </c>
      <c r="E20" s="69">
        <v>7.1428571428571425E-2</v>
      </c>
      <c r="F20" s="69">
        <v>4.7619047619047616E-2</v>
      </c>
      <c r="G20" s="69">
        <v>0</v>
      </c>
      <c r="H20" s="69">
        <v>0.16666666666666666</v>
      </c>
      <c r="XFC20" t="s">
        <v>258</v>
      </c>
      <c r="XFD20">
        <v>1</v>
      </c>
    </row>
    <row r="21" spans="2:8 16383:16384" x14ac:dyDescent="0.35">
      <c r="B21" t="s">
        <v>1035</v>
      </c>
      <c r="C21" s="69">
        <v>0.11904761904761904</v>
      </c>
      <c r="D21" s="69">
        <v>0.16666666666666666</v>
      </c>
      <c r="E21" s="69">
        <v>0.14285714285714285</v>
      </c>
      <c r="F21" s="69">
        <v>0.14285714285714285</v>
      </c>
      <c r="G21" s="69">
        <v>0.11904761904761904</v>
      </c>
      <c r="H21" s="69">
        <v>0.14285714285714285</v>
      </c>
      <c r="XFC21" t="s">
        <v>259</v>
      </c>
      <c r="XFD21">
        <v>1</v>
      </c>
    </row>
    <row r="22" spans="2:8 16383:16384" x14ac:dyDescent="0.35">
      <c r="B22" t="s">
        <v>1144</v>
      </c>
      <c r="C22" s="69">
        <v>0.11904761904761904</v>
      </c>
      <c r="D22" s="69">
        <v>9.5238095238095233E-2</v>
      </c>
      <c r="E22" s="69">
        <v>9.5238095238095233E-2</v>
      </c>
      <c r="F22" s="69">
        <v>0.11904761904761904</v>
      </c>
      <c r="G22" s="69">
        <v>2.3809523809523808E-2</v>
      </c>
      <c r="H22" s="69">
        <v>9.5238095238095233E-2</v>
      </c>
      <c r="XFC22" t="s">
        <v>260</v>
      </c>
      <c r="XFD22">
        <v>1</v>
      </c>
    </row>
    <row r="23" spans="2:8 16383:16384" x14ac:dyDescent="0.35">
      <c r="B23" t="s">
        <v>1102</v>
      </c>
      <c r="C23" s="69">
        <v>0.14285714285714285</v>
      </c>
      <c r="D23" s="69">
        <v>9.5238095238095233E-2</v>
      </c>
      <c r="E23" s="69">
        <v>0.16666666666666666</v>
      </c>
      <c r="F23" s="69">
        <v>0.14285714285714285</v>
      </c>
      <c r="G23" s="69">
        <v>0.11904761904761904</v>
      </c>
      <c r="H23" s="69">
        <v>0.11904761904761904</v>
      </c>
      <c r="XFC23" t="s">
        <v>261</v>
      </c>
      <c r="XFD23">
        <v>1</v>
      </c>
    </row>
    <row r="24" spans="2:8 16383:16384" x14ac:dyDescent="0.35">
      <c r="B24" t="s">
        <v>253</v>
      </c>
      <c r="C24" s="69">
        <v>0.11904761904761904</v>
      </c>
      <c r="D24" s="69">
        <v>0.14285714285714285</v>
      </c>
      <c r="E24" s="69">
        <v>4.7619047619047616E-2</v>
      </c>
      <c r="F24" s="69">
        <v>0.14285714285714285</v>
      </c>
      <c r="G24" s="69">
        <v>0.11904761904761904</v>
      </c>
      <c r="H24" s="69">
        <v>0.16666666666666666</v>
      </c>
      <c r="XFC24" t="s">
        <v>262</v>
      </c>
      <c r="XFD24">
        <v>1</v>
      </c>
    </row>
    <row r="25" spans="2:8 16383:16384" x14ac:dyDescent="0.35">
      <c r="B25" t="s">
        <v>1071</v>
      </c>
      <c r="C25" s="69">
        <v>0.14285714285714285</v>
      </c>
      <c r="D25" s="69">
        <v>4.7619047619047616E-2</v>
      </c>
      <c r="E25" s="69">
        <v>4.7619047619047616E-2</v>
      </c>
      <c r="F25" s="69">
        <v>7.1428571428571425E-2</v>
      </c>
      <c r="G25" s="69">
        <v>0.11904761904761904</v>
      </c>
      <c r="H25" s="69">
        <v>0.11904761904761904</v>
      </c>
      <c r="XFC25" t="s">
        <v>263</v>
      </c>
      <c r="XFD25">
        <v>1</v>
      </c>
    </row>
    <row r="26" spans="2:8 16383:16384" x14ac:dyDescent="0.35">
      <c r="B26" t="s">
        <v>341</v>
      </c>
      <c r="C26" s="69">
        <v>0.14285714285714285</v>
      </c>
      <c r="D26" s="69">
        <v>7.1428571428571425E-2</v>
      </c>
      <c r="E26" s="69">
        <v>4.7619047619047616E-2</v>
      </c>
      <c r="F26" s="69">
        <v>0.16666666666666666</v>
      </c>
      <c r="G26" s="69">
        <v>7.1428571428571425E-2</v>
      </c>
      <c r="H26" s="69">
        <v>0.14285714285714285</v>
      </c>
      <c r="XFC26" t="s">
        <v>264</v>
      </c>
      <c r="XFD26">
        <v>1</v>
      </c>
    </row>
    <row r="27" spans="2:8 16383:16384" x14ac:dyDescent="0.35">
      <c r="B27" t="s">
        <v>386</v>
      </c>
      <c r="C27" s="69">
        <v>0.11904761904761904</v>
      </c>
      <c r="D27" s="69">
        <v>9.5238095238095233E-2</v>
      </c>
      <c r="E27" s="69">
        <v>0</v>
      </c>
      <c r="F27" s="69">
        <v>7.1428571428571425E-2</v>
      </c>
      <c r="G27" s="69">
        <v>7.1428571428571425E-2</v>
      </c>
      <c r="H27" s="69">
        <v>0.14285714285714285</v>
      </c>
      <c r="XFC27" t="s">
        <v>265</v>
      </c>
      <c r="XFD27">
        <v>1</v>
      </c>
    </row>
    <row r="28" spans="2:8 16383:16384" x14ac:dyDescent="0.35">
      <c r="B28" t="s">
        <v>355</v>
      </c>
      <c r="C28" s="69">
        <v>0.11904761904761904</v>
      </c>
      <c r="D28" s="69">
        <v>9.5238095238095233E-2</v>
      </c>
      <c r="E28" s="69">
        <v>4.7619047619047616E-2</v>
      </c>
      <c r="F28" s="69">
        <v>0.14285714285714285</v>
      </c>
      <c r="G28" s="69">
        <v>7.1428571428571425E-2</v>
      </c>
      <c r="H28" s="69">
        <v>0.16666666666666666</v>
      </c>
      <c r="XFC28" t="s">
        <v>266</v>
      </c>
      <c r="XFD28">
        <v>1</v>
      </c>
    </row>
    <row r="29" spans="2:8 16383:16384" x14ac:dyDescent="0.35">
      <c r="B29" t="s">
        <v>252</v>
      </c>
      <c r="C29" s="69">
        <v>9.5238095238095233E-2</v>
      </c>
      <c r="D29" s="69">
        <v>0.11904761904761904</v>
      </c>
      <c r="E29" s="69">
        <v>9.5238095238095233E-2</v>
      </c>
      <c r="F29" s="69">
        <v>9.5238095238095233E-2</v>
      </c>
      <c r="G29" s="69">
        <v>0.11904761904761904</v>
      </c>
      <c r="H29" s="69">
        <v>0.16666666666666666</v>
      </c>
      <c r="XFC29" t="s">
        <v>267</v>
      </c>
      <c r="XFD29">
        <v>1</v>
      </c>
    </row>
    <row r="30" spans="2:8 16383:16384" x14ac:dyDescent="0.35">
      <c r="B30" t="s">
        <v>980</v>
      </c>
      <c r="C30" s="69">
        <v>0.16666666666666666</v>
      </c>
      <c r="D30" s="69">
        <v>9.5238095238095233E-2</v>
      </c>
      <c r="E30" s="69">
        <v>7.1428571428571425E-2</v>
      </c>
      <c r="F30" s="69">
        <v>0.14285714285714285</v>
      </c>
      <c r="G30" s="69">
        <v>0.11904761904761904</v>
      </c>
      <c r="H30" s="69">
        <v>0.14285714285714285</v>
      </c>
      <c r="XFC30" t="s">
        <v>268</v>
      </c>
      <c r="XFD30">
        <v>1</v>
      </c>
    </row>
    <row r="31" spans="2:8 16383:16384" x14ac:dyDescent="0.35">
      <c r="B31" t="s">
        <v>315</v>
      </c>
      <c r="C31" s="69">
        <v>0.11904761904761904</v>
      </c>
      <c r="D31" s="69">
        <v>0.11904761904761904</v>
      </c>
      <c r="E31" s="69">
        <v>4.7619047619047616E-2</v>
      </c>
      <c r="F31" s="69">
        <v>0.11904761904761904</v>
      </c>
      <c r="G31" s="69">
        <v>9.5238095238095233E-2</v>
      </c>
      <c r="H31" s="69">
        <v>0.11904761904761904</v>
      </c>
      <c r="XFC31" t="s">
        <v>269</v>
      </c>
      <c r="XFD31">
        <v>1</v>
      </c>
    </row>
    <row r="32" spans="2:8 16383:16384" x14ac:dyDescent="0.35">
      <c r="B32" t="s">
        <v>275</v>
      </c>
      <c r="C32" s="69">
        <v>0.14285714285714285</v>
      </c>
      <c r="D32" s="69">
        <v>0.11904761904761904</v>
      </c>
      <c r="E32" s="69">
        <v>7.1428571428571425E-2</v>
      </c>
      <c r="F32" s="69">
        <v>9.5238095238095233E-2</v>
      </c>
      <c r="G32" s="69">
        <v>0.11904761904761904</v>
      </c>
      <c r="H32" s="69">
        <v>9.5238095238095233E-2</v>
      </c>
      <c r="XFC32" t="s">
        <v>270</v>
      </c>
      <c r="XFD32">
        <v>1</v>
      </c>
    </row>
    <row r="33" spans="2:8 16383:16384" x14ac:dyDescent="0.35">
      <c r="B33" t="s">
        <v>1413</v>
      </c>
      <c r="C33" s="69">
        <v>0.14285714285714285</v>
      </c>
      <c r="D33" s="69">
        <v>0.11904761904761904</v>
      </c>
      <c r="E33" s="69">
        <v>9.5238095238095233E-2</v>
      </c>
      <c r="F33" s="69">
        <v>9.5238095238095233E-2</v>
      </c>
      <c r="G33" s="69">
        <v>0.16666666666666666</v>
      </c>
      <c r="H33" s="69">
        <v>0.14285714285714285</v>
      </c>
      <c r="XFC33" t="s">
        <v>271</v>
      </c>
      <c r="XFD33">
        <v>1</v>
      </c>
    </row>
    <row r="34" spans="2:8 16383:16384" x14ac:dyDescent="0.35">
      <c r="B34" t="s">
        <v>323</v>
      </c>
      <c r="C34" s="69">
        <v>0.14285714285714285</v>
      </c>
      <c r="D34" s="69">
        <v>9.5238095238095233E-2</v>
      </c>
      <c r="E34" s="69">
        <v>9.5238095238095233E-2</v>
      </c>
      <c r="F34" s="69">
        <v>0.14285714285714285</v>
      </c>
      <c r="G34" s="69">
        <v>0.11904761904761904</v>
      </c>
      <c r="H34" s="69">
        <v>0.16666666666666666</v>
      </c>
      <c r="XFC34" t="s">
        <v>272</v>
      </c>
      <c r="XFD34">
        <v>1</v>
      </c>
    </row>
    <row r="35" spans="2:8 16383:16384" x14ac:dyDescent="0.35">
      <c r="B35" t="s">
        <v>359</v>
      </c>
      <c r="C35" s="69">
        <v>0.16666666666666666</v>
      </c>
      <c r="D35" s="69">
        <v>9.5238095238095233E-2</v>
      </c>
      <c r="E35" s="69">
        <v>2.3809523809523808E-2</v>
      </c>
      <c r="F35" s="69">
        <v>0.11904761904761904</v>
      </c>
      <c r="G35" s="69">
        <v>4.7619047619047616E-2</v>
      </c>
      <c r="H35" s="69">
        <v>0.14285714285714285</v>
      </c>
      <c r="XFC35" t="s">
        <v>273</v>
      </c>
      <c r="XFD35">
        <v>1</v>
      </c>
    </row>
    <row r="36" spans="2:8 16383:16384" x14ac:dyDescent="0.35">
      <c r="B36" t="s">
        <v>310</v>
      </c>
      <c r="C36" s="69">
        <v>0.16666666666666666</v>
      </c>
      <c r="D36" s="69">
        <v>0.16666666666666666</v>
      </c>
      <c r="E36" s="69">
        <v>7.1428571428571425E-2</v>
      </c>
      <c r="F36" s="69">
        <v>0.14285714285714285</v>
      </c>
      <c r="G36" s="69">
        <v>0.11904761904761904</v>
      </c>
      <c r="H36" s="69">
        <v>0.16666666666666666</v>
      </c>
      <c r="XFC36" t="s">
        <v>274</v>
      </c>
      <c r="XFD36">
        <v>1</v>
      </c>
    </row>
    <row r="37" spans="2:8 16383:16384" x14ac:dyDescent="0.35">
      <c r="B37" t="s">
        <v>378</v>
      </c>
      <c r="C37" s="69">
        <v>9.5238095238095233E-2</v>
      </c>
      <c r="D37" s="69">
        <v>7.1428571428571425E-2</v>
      </c>
      <c r="E37" s="69">
        <v>2.3809523809523808E-2</v>
      </c>
      <c r="F37" s="69">
        <v>0.16666666666666666</v>
      </c>
      <c r="G37" s="69">
        <v>4.7619047619047616E-2</v>
      </c>
      <c r="H37" s="69">
        <v>0.14285714285714285</v>
      </c>
      <c r="XFC37" t="s">
        <v>275</v>
      </c>
      <c r="XFD37">
        <v>1</v>
      </c>
    </row>
    <row r="38" spans="2:8 16383:16384" x14ac:dyDescent="0.35">
      <c r="B38" t="s">
        <v>1165</v>
      </c>
      <c r="C38" s="69">
        <v>0.14285714285714285</v>
      </c>
      <c r="D38" s="69">
        <v>0.14285714285714285</v>
      </c>
      <c r="E38" s="69">
        <v>9.5238095238095233E-2</v>
      </c>
      <c r="F38" s="69">
        <v>0.16666666666666666</v>
      </c>
      <c r="G38" s="69">
        <v>0.16666666666666666</v>
      </c>
      <c r="H38" s="69">
        <v>0.16666666666666666</v>
      </c>
      <c r="XFC38" t="s">
        <v>276</v>
      </c>
      <c r="XFD38">
        <v>1</v>
      </c>
    </row>
    <row r="39" spans="2:8 16383:16384" x14ac:dyDescent="0.35">
      <c r="B39" t="s">
        <v>1011</v>
      </c>
      <c r="C39" s="69">
        <v>9.5238095238095233E-2</v>
      </c>
      <c r="D39" s="69">
        <v>0.11904761904761904</v>
      </c>
      <c r="E39" s="69">
        <v>7.1428571428571425E-2</v>
      </c>
      <c r="F39" s="69">
        <v>0.14285714285714285</v>
      </c>
      <c r="G39" s="69">
        <v>4.7619047619047616E-2</v>
      </c>
      <c r="H39" s="69">
        <v>0.14285714285714285</v>
      </c>
      <c r="XFC39" t="s">
        <v>277</v>
      </c>
      <c r="XFD39">
        <v>1</v>
      </c>
    </row>
    <row r="40" spans="2:8 16383:16384" x14ac:dyDescent="0.35">
      <c r="B40" t="s">
        <v>270</v>
      </c>
      <c r="C40" s="69">
        <v>0.14285714285714285</v>
      </c>
      <c r="D40" s="69">
        <v>9.5238095238095233E-2</v>
      </c>
      <c r="E40" s="69">
        <v>7.1428571428571425E-2</v>
      </c>
      <c r="F40" s="69">
        <v>0.11904761904761904</v>
      </c>
      <c r="G40" s="69">
        <v>9.5238095238095233E-2</v>
      </c>
      <c r="H40" s="69">
        <v>0.14285714285714285</v>
      </c>
      <c r="XFC40" t="s">
        <v>278</v>
      </c>
      <c r="XFD40">
        <v>1</v>
      </c>
    </row>
    <row r="41" spans="2:8 16383:16384" x14ac:dyDescent="0.35">
      <c r="B41" t="s">
        <v>1227</v>
      </c>
      <c r="C41" s="69">
        <v>0.16666666666666666</v>
      </c>
      <c r="D41" s="69">
        <v>0.11904761904761904</v>
      </c>
      <c r="E41" s="69">
        <v>7.1428571428571425E-2</v>
      </c>
      <c r="F41" s="69">
        <v>0.11904761904761904</v>
      </c>
      <c r="G41" s="69">
        <v>0.14285714285714285</v>
      </c>
      <c r="H41" s="69">
        <v>0.16666666666666666</v>
      </c>
      <c r="XFC41" t="s">
        <v>279</v>
      </c>
      <c r="XFD41">
        <v>1</v>
      </c>
    </row>
    <row r="42" spans="2:8 16383:16384" x14ac:dyDescent="0.35">
      <c r="B42" t="s">
        <v>357</v>
      </c>
      <c r="C42" s="69">
        <v>7.1428571428571425E-2</v>
      </c>
      <c r="D42" s="69">
        <v>0.11904761904761904</v>
      </c>
      <c r="E42" s="69">
        <v>2.3809523809523808E-2</v>
      </c>
      <c r="F42" s="69">
        <v>0.11904761904761904</v>
      </c>
      <c r="G42" s="69">
        <v>7.1428571428571425E-2</v>
      </c>
      <c r="H42" s="69">
        <v>0.16666666666666666</v>
      </c>
      <c r="XFC42" t="s">
        <v>280</v>
      </c>
      <c r="XFD42">
        <v>1</v>
      </c>
    </row>
    <row r="43" spans="2:8 16383:16384" x14ac:dyDescent="0.35">
      <c r="B43" t="s">
        <v>1442</v>
      </c>
      <c r="C43" s="69">
        <v>9.5238095238095233E-2</v>
      </c>
      <c r="D43" s="69">
        <v>9.5238095238095233E-2</v>
      </c>
      <c r="E43" s="69">
        <v>0</v>
      </c>
      <c r="F43" s="69">
        <v>0.14285714285714285</v>
      </c>
      <c r="G43" s="69">
        <v>4.7619047619047616E-2</v>
      </c>
      <c r="H43" s="69">
        <v>0.14285714285714285</v>
      </c>
      <c r="XFC43" t="s">
        <v>281</v>
      </c>
      <c r="XFD43">
        <v>1</v>
      </c>
    </row>
    <row r="44" spans="2:8 16383:16384" x14ac:dyDescent="0.35">
      <c r="B44" t="s">
        <v>1421</v>
      </c>
      <c r="C44" s="69">
        <v>0.16666666666666666</v>
      </c>
      <c r="D44" s="69">
        <v>0.14285714285714285</v>
      </c>
      <c r="E44" s="69">
        <v>0.11904761904761904</v>
      </c>
      <c r="F44" s="69">
        <v>0.16666666666666666</v>
      </c>
      <c r="G44" s="69">
        <v>0.11904761904761904</v>
      </c>
      <c r="H44" s="69">
        <v>9.5238095238095233E-2</v>
      </c>
      <c r="XFC44" t="s">
        <v>282</v>
      </c>
      <c r="XFD44">
        <v>1</v>
      </c>
    </row>
    <row r="45" spans="2:8 16383:16384" x14ac:dyDescent="0.35">
      <c r="B45" t="s">
        <v>1247</v>
      </c>
      <c r="C45" s="69">
        <v>0.14285714285714285</v>
      </c>
      <c r="D45" s="69">
        <v>0.11904761904761904</v>
      </c>
      <c r="E45" s="69">
        <v>2.3809523809523808E-2</v>
      </c>
      <c r="F45" s="69">
        <v>0.14285714285714285</v>
      </c>
      <c r="G45" s="69">
        <v>0.11904761904761904</v>
      </c>
      <c r="H45" s="69">
        <v>0.16666666666666666</v>
      </c>
      <c r="XFC45" t="s">
        <v>283</v>
      </c>
      <c r="XFD45">
        <v>1</v>
      </c>
    </row>
    <row r="46" spans="2:8 16383:16384" x14ac:dyDescent="0.35">
      <c r="B46" t="s">
        <v>349</v>
      </c>
      <c r="C46" s="69">
        <v>0.11904761904761904</v>
      </c>
      <c r="D46" s="69">
        <v>0.11904761904761904</v>
      </c>
      <c r="E46" s="69">
        <v>4.7619047619047616E-2</v>
      </c>
      <c r="F46" s="69">
        <v>9.5238095238095233E-2</v>
      </c>
      <c r="G46" s="69">
        <v>0.14285714285714285</v>
      </c>
      <c r="H46" s="69">
        <v>0.14285714285714285</v>
      </c>
      <c r="XFC46" t="s">
        <v>284</v>
      </c>
      <c r="XFD46">
        <v>1</v>
      </c>
    </row>
    <row r="47" spans="2:8 16383:16384" x14ac:dyDescent="0.35">
      <c r="B47" t="s">
        <v>1440</v>
      </c>
      <c r="C47" s="69">
        <v>0.11904761904761904</v>
      </c>
      <c r="D47" s="69">
        <v>9.5238095238095233E-2</v>
      </c>
      <c r="E47" s="69">
        <v>7.1428571428571425E-2</v>
      </c>
      <c r="F47" s="69">
        <v>7.1428571428571425E-2</v>
      </c>
      <c r="G47" s="69">
        <v>7.1428571428571425E-2</v>
      </c>
      <c r="H47" s="69">
        <v>0.16666666666666666</v>
      </c>
      <c r="XFC47" t="s">
        <v>285</v>
      </c>
      <c r="XFD47">
        <v>1</v>
      </c>
    </row>
    <row r="48" spans="2:8 16383:16384" x14ac:dyDescent="0.35">
      <c r="B48" t="s">
        <v>958</v>
      </c>
      <c r="C48" s="69">
        <v>9.5238095238095233E-2</v>
      </c>
      <c r="D48" s="69">
        <v>0.16666666666666666</v>
      </c>
      <c r="E48" s="69">
        <v>4.7619047619047616E-2</v>
      </c>
      <c r="F48" s="69">
        <v>9.5238095238095233E-2</v>
      </c>
      <c r="G48" s="69">
        <v>0.14285714285714285</v>
      </c>
      <c r="H48" s="69">
        <v>0.16666666666666666</v>
      </c>
      <c r="XFC48" t="s">
        <v>286</v>
      </c>
      <c r="XFD48">
        <v>1</v>
      </c>
    </row>
    <row r="49" spans="2:8 16383:16384" x14ac:dyDescent="0.35">
      <c r="B49" t="s">
        <v>333</v>
      </c>
      <c r="C49" s="69">
        <v>7.1428571428571425E-2</v>
      </c>
      <c r="D49" s="69">
        <v>0.11904761904761904</v>
      </c>
      <c r="E49" s="69">
        <v>0</v>
      </c>
      <c r="F49" s="69">
        <v>9.5238095238095233E-2</v>
      </c>
      <c r="G49" s="69">
        <v>7.1428571428571425E-2</v>
      </c>
      <c r="H49" s="69">
        <v>0.16666666666666666</v>
      </c>
      <c r="XFC49" t="s">
        <v>287</v>
      </c>
      <c r="XFD49">
        <v>1</v>
      </c>
    </row>
    <row r="50" spans="2:8 16383:16384" x14ac:dyDescent="0.35">
      <c r="B50" t="s">
        <v>311</v>
      </c>
      <c r="C50" s="69">
        <v>0.14285714285714285</v>
      </c>
      <c r="D50" s="69">
        <v>0.11904761904761904</v>
      </c>
      <c r="E50" s="69">
        <v>7.1428571428571425E-2</v>
      </c>
      <c r="F50" s="69">
        <v>0.16666666666666666</v>
      </c>
      <c r="G50" s="69">
        <v>0.16666666666666666</v>
      </c>
      <c r="H50" s="69">
        <v>0.16666666666666666</v>
      </c>
      <c r="XFC50" t="s">
        <v>288</v>
      </c>
      <c r="XFD50">
        <v>1</v>
      </c>
    </row>
    <row r="51" spans="2:8 16383:16384" x14ac:dyDescent="0.35">
      <c r="B51" t="s">
        <v>1024</v>
      </c>
      <c r="C51" s="69">
        <v>9.5238095238095233E-2</v>
      </c>
      <c r="D51" s="69">
        <v>0.11904761904761904</v>
      </c>
      <c r="E51" s="69">
        <v>0</v>
      </c>
      <c r="F51" s="69">
        <v>0.14285714285714285</v>
      </c>
      <c r="G51" s="69">
        <v>7.1428571428571425E-2</v>
      </c>
      <c r="H51" s="69">
        <v>0.16666666666666666</v>
      </c>
      <c r="XFC51" t="s">
        <v>289</v>
      </c>
      <c r="XFD51">
        <v>1</v>
      </c>
    </row>
    <row r="52" spans="2:8 16383:16384" x14ac:dyDescent="0.35">
      <c r="B52" t="s">
        <v>314</v>
      </c>
      <c r="C52" s="69">
        <v>0.11904761904761904</v>
      </c>
      <c r="D52" s="69">
        <v>0.11904761904761904</v>
      </c>
      <c r="E52" s="69">
        <v>7.1428571428571425E-2</v>
      </c>
      <c r="F52" s="69">
        <v>0.11904761904761904</v>
      </c>
      <c r="G52" s="69">
        <v>7.1428571428571425E-2</v>
      </c>
      <c r="H52" s="69">
        <v>0.14285714285714285</v>
      </c>
      <c r="XFC52" t="s">
        <v>290</v>
      </c>
      <c r="XFD52">
        <v>1</v>
      </c>
    </row>
    <row r="53" spans="2:8 16383:16384" x14ac:dyDescent="0.35">
      <c r="B53" t="s">
        <v>1457</v>
      </c>
      <c r="C53" s="69">
        <v>0.14285714285714285</v>
      </c>
      <c r="D53" s="69">
        <v>0.14285714285714285</v>
      </c>
      <c r="E53" s="69">
        <v>4.7619047619047616E-2</v>
      </c>
      <c r="F53" s="69">
        <v>0.11904761904761904</v>
      </c>
      <c r="G53" s="69">
        <v>7.1428571428571425E-2</v>
      </c>
      <c r="H53" s="69">
        <v>0.14285714285714285</v>
      </c>
      <c r="XFC53" t="s">
        <v>291</v>
      </c>
      <c r="XFD53">
        <v>1</v>
      </c>
    </row>
    <row r="54" spans="2:8 16383:16384" x14ac:dyDescent="0.35">
      <c r="B54" t="s">
        <v>1467</v>
      </c>
      <c r="C54" s="69">
        <v>0.16666666666666666</v>
      </c>
      <c r="D54" s="69">
        <v>0.16666666666666666</v>
      </c>
      <c r="E54" s="69">
        <v>4.7619047619047616E-2</v>
      </c>
      <c r="F54" s="69">
        <v>0.16666666666666666</v>
      </c>
      <c r="G54" s="69">
        <v>9.5238095238095233E-2</v>
      </c>
      <c r="H54" s="69">
        <v>0.16666666666666666</v>
      </c>
      <c r="XFC54" t="s">
        <v>292</v>
      </c>
      <c r="XFD54">
        <v>1</v>
      </c>
    </row>
    <row r="55" spans="2:8 16383:16384" x14ac:dyDescent="0.35">
      <c r="B55" t="s">
        <v>248</v>
      </c>
      <c r="C55" s="69">
        <v>0.11904761904761904</v>
      </c>
      <c r="D55" s="69">
        <v>0.11904761904761904</v>
      </c>
      <c r="E55" s="69">
        <v>0.14285714285714285</v>
      </c>
      <c r="F55" s="69">
        <v>9.5238095238095233E-2</v>
      </c>
      <c r="G55" s="69">
        <v>0.11904761904761904</v>
      </c>
      <c r="H55" s="69">
        <v>0.14285714285714285</v>
      </c>
      <c r="XFC55" t="s">
        <v>293</v>
      </c>
      <c r="XFD55">
        <v>1</v>
      </c>
    </row>
    <row r="56" spans="2:8 16383:16384" x14ac:dyDescent="0.35">
      <c r="B56" t="s">
        <v>1429</v>
      </c>
      <c r="C56" s="69">
        <v>0.14285714285714285</v>
      </c>
      <c r="D56" s="69">
        <v>0.14285714285714285</v>
      </c>
      <c r="E56" s="69">
        <v>7.1428571428571425E-2</v>
      </c>
      <c r="F56" s="69">
        <v>0.16666666666666666</v>
      </c>
      <c r="G56" s="69">
        <v>0.16666666666666666</v>
      </c>
      <c r="H56" s="69">
        <v>0.16666666666666666</v>
      </c>
      <c r="XFC56" t="s">
        <v>294</v>
      </c>
      <c r="XFD56">
        <v>1</v>
      </c>
    </row>
    <row r="57" spans="2:8 16383:16384" x14ac:dyDescent="0.35">
      <c r="B57" t="s">
        <v>289</v>
      </c>
      <c r="C57" s="69">
        <v>7.1428571428571425E-2</v>
      </c>
      <c r="D57" s="69">
        <v>9.5238095238095233E-2</v>
      </c>
      <c r="E57" s="69">
        <v>7.1428571428571425E-2</v>
      </c>
      <c r="F57" s="69">
        <v>0.14285714285714285</v>
      </c>
      <c r="G57" s="69">
        <v>7.1428571428571425E-2</v>
      </c>
      <c r="H57" s="69">
        <v>0.16666666666666666</v>
      </c>
      <c r="XFC57" t="s">
        <v>295</v>
      </c>
      <c r="XFD57">
        <v>1</v>
      </c>
    </row>
    <row r="58" spans="2:8 16383:16384" x14ac:dyDescent="0.35">
      <c r="B58" t="s">
        <v>1450</v>
      </c>
      <c r="C58" s="69">
        <v>0.16666666666666666</v>
      </c>
      <c r="D58" s="69">
        <v>0.14285714285714285</v>
      </c>
      <c r="E58" s="69">
        <v>9.5238095238095233E-2</v>
      </c>
      <c r="F58" s="69">
        <v>0.16666666666666666</v>
      </c>
      <c r="G58" s="69">
        <v>0.11904761904761904</v>
      </c>
      <c r="H58" s="69">
        <v>0.14285714285714285</v>
      </c>
      <c r="XFC58" t="s">
        <v>296</v>
      </c>
      <c r="XFD58">
        <v>1</v>
      </c>
    </row>
    <row r="59" spans="2:8 16383:16384" x14ac:dyDescent="0.35">
      <c r="B59" t="s">
        <v>1232</v>
      </c>
      <c r="C59" s="69">
        <v>0.14285714285714285</v>
      </c>
      <c r="D59" s="69">
        <v>9.5238095238095233E-2</v>
      </c>
      <c r="E59" s="69">
        <v>2.3809523809523808E-2</v>
      </c>
      <c r="F59" s="69">
        <v>0.14285714285714285</v>
      </c>
      <c r="G59" s="69">
        <v>9.5238095238095233E-2</v>
      </c>
      <c r="H59" s="69">
        <v>0.16666666666666666</v>
      </c>
      <c r="XFC59" t="s">
        <v>297</v>
      </c>
      <c r="XFD59">
        <v>1</v>
      </c>
    </row>
    <row r="60" spans="2:8 16383:16384" x14ac:dyDescent="0.35">
      <c r="B60" t="s">
        <v>264</v>
      </c>
      <c r="C60" s="69">
        <v>0.14285714285714285</v>
      </c>
      <c r="D60" s="69">
        <v>0.16666666666666666</v>
      </c>
      <c r="E60" s="69">
        <v>0.11904761904761904</v>
      </c>
      <c r="F60" s="69">
        <v>0.16666666666666666</v>
      </c>
      <c r="G60" s="69">
        <v>0.16666666666666666</v>
      </c>
      <c r="H60" s="69">
        <v>0.16666666666666666</v>
      </c>
      <c r="XFC60" t="s">
        <v>298</v>
      </c>
      <c r="XFD60">
        <v>1</v>
      </c>
    </row>
    <row r="61" spans="2:8 16383:16384" x14ac:dyDescent="0.35">
      <c r="B61" t="s">
        <v>312</v>
      </c>
      <c r="C61" s="69">
        <v>0.16666666666666666</v>
      </c>
      <c r="D61" s="69">
        <v>0.14285714285714285</v>
      </c>
      <c r="E61" s="69">
        <v>9.5238095238095233E-2</v>
      </c>
      <c r="F61" s="69">
        <v>0.11904761904761904</v>
      </c>
      <c r="G61" s="69">
        <v>0.14285714285714285</v>
      </c>
      <c r="H61" s="69">
        <v>0.16666666666666666</v>
      </c>
      <c r="XFC61" t="s">
        <v>299</v>
      </c>
      <c r="XFD61">
        <v>1</v>
      </c>
    </row>
    <row r="62" spans="2:8 16383:16384" x14ac:dyDescent="0.35">
      <c r="B62" t="s">
        <v>1204</v>
      </c>
      <c r="C62" s="69">
        <v>0.16666666666666666</v>
      </c>
      <c r="D62" s="69">
        <v>0.11904761904761904</v>
      </c>
      <c r="E62" s="69">
        <v>0.11904761904761904</v>
      </c>
      <c r="F62" s="69">
        <v>0.16666666666666666</v>
      </c>
      <c r="G62" s="69">
        <v>9.5238095238095233E-2</v>
      </c>
      <c r="H62" s="69">
        <v>0.11904761904761904</v>
      </c>
      <c r="XFC62" t="s">
        <v>300</v>
      </c>
      <c r="XFD62">
        <v>1</v>
      </c>
    </row>
    <row r="63" spans="2:8 16383:16384" x14ac:dyDescent="0.35">
      <c r="B63" t="s">
        <v>1048</v>
      </c>
      <c r="C63" s="69">
        <v>7.1428571428571425E-2</v>
      </c>
      <c r="D63" s="69">
        <v>9.5238095238095233E-2</v>
      </c>
      <c r="E63" s="69">
        <v>4.7619047619047616E-2</v>
      </c>
      <c r="F63" s="69">
        <v>0.11904761904761904</v>
      </c>
      <c r="G63" s="69">
        <v>4.7619047619047616E-2</v>
      </c>
      <c r="H63" s="69">
        <v>0.16666666666666666</v>
      </c>
      <c r="XFC63" t="s">
        <v>301</v>
      </c>
      <c r="XFD63">
        <v>1</v>
      </c>
    </row>
    <row r="64" spans="2:8 16383:16384" x14ac:dyDescent="0.35">
      <c r="B64" t="s">
        <v>250</v>
      </c>
      <c r="C64" s="69">
        <v>9.5238095238095233E-2</v>
      </c>
      <c r="D64" s="69">
        <v>0.11904761904761904</v>
      </c>
      <c r="E64" s="69">
        <v>7.1428571428571425E-2</v>
      </c>
      <c r="F64" s="69">
        <v>0.11904761904761904</v>
      </c>
      <c r="G64" s="69">
        <v>7.1428571428571425E-2</v>
      </c>
      <c r="H64" s="69">
        <v>0.16666666666666666</v>
      </c>
      <c r="XFC64" t="s">
        <v>302</v>
      </c>
      <c r="XFD64">
        <v>1</v>
      </c>
    </row>
    <row r="65" spans="2:8 16383:16384" x14ac:dyDescent="0.35">
      <c r="B65" t="s">
        <v>1430</v>
      </c>
      <c r="C65" s="69">
        <v>7.1428571428571425E-2</v>
      </c>
      <c r="D65" s="69">
        <v>0.11904761904761904</v>
      </c>
      <c r="E65" s="69">
        <v>0.11904761904761904</v>
      </c>
      <c r="F65" s="69">
        <v>0.16666666666666666</v>
      </c>
      <c r="G65" s="69">
        <v>7.1428571428571425E-2</v>
      </c>
      <c r="H65" s="69">
        <v>0.14285714285714285</v>
      </c>
      <c r="XFC65" t="s">
        <v>303</v>
      </c>
      <c r="XFD65">
        <v>1</v>
      </c>
    </row>
    <row r="66" spans="2:8 16383:16384" x14ac:dyDescent="0.35">
      <c r="B66" t="s">
        <v>1050</v>
      </c>
      <c r="C66" s="69">
        <v>0.14285714285714285</v>
      </c>
      <c r="D66" s="69">
        <v>0.11904761904761904</v>
      </c>
      <c r="E66" s="69">
        <v>9.5238095238095233E-2</v>
      </c>
      <c r="F66" s="69">
        <v>0.11904761904761904</v>
      </c>
      <c r="G66" s="69">
        <v>4.7619047619047616E-2</v>
      </c>
      <c r="H66" s="69">
        <v>0.14285714285714285</v>
      </c>
      <c r="XFC66" t="s">
        <v>304</v>
      </c>
      <c r="XFD66">
        <v>1</v>
      </c>
    </row>
    <row r="67" spans="2:8 16383:16384" x14ac:dyDescent="0.35">
      <c r="B67" t="s">
        <v>1463</v>
      </c>
      <c r="C67" s="69">
        <v>0.16666666666666666</v>
      </c>
      <c r="D67" s="69">
        <v>0.14285714285714285</v>
      </c>
      <c r="E67" s="69">
        <v>4.7619047619047616E-2</v>
      </c>
      <c r="F67" s="69">
        <v>0.11904761904761904</v>
      </c>
      <c r="G67" s="69">
        <v>0.14285714285714285</v>
      </c>
      <c r="H67" s="69">
        <v>0.14285714285714285</v>
      </c>
      <c r="XFC67" t="s">
        <v>305</v>
      </c>
      <c r="XFD67">
        <v>1</v>
      </c>
    </row>
    <row r="68" spans="2:8 16383:16384" x14ac:dyDescent="0.35">
      <c r="B68" t="s">
        <v>1219</v>
      </c>
      <c r="C68" s="69">
        <v>0.14285714285714285</v>
      </c>
      <c r="D68" s="69">
        <v>0.11904761904761904</v>
      </c>
      <c r="E68" s="69">
        <v>2.3809523809523808E-2</v>
      </c>
      <c r="F68" s="69">
        <v>0.14285714285714285</v>
      </c>
      <c r="G68" s="69">
        <v>0.14285714285714285</v>
      </c>
      <c r="H68" s="69">
        <v>0.16666666666666666</v>
      </c>
      <c r="XFC68" t="s">
        <v>306</v>
      </c>
      <c r="XFD68">
        <v>1</v>
      </c>
    </row>
    <row r="69" spans="2:8 16383:16384" x14ac:dyDescent="0.35">
      <c r="B69" t="s">
        <v>1426</v>
      </c>
      <c r="C69" s="69">
        <v>0.14285714285714285</v>
      </c>
      <c r="D69" s="69">
        <v>0.11904761904761904</v>
      </c>
      <c r="E69" s="69">
        <v>4.7619047619047616E-2</v>
      </c>
      <c r="F69" s="69">
        <v>0.16666666666666666</v>
      </c>
      <c r="G69" s="69">
        <v>0.16666666666666666</v>
      </c>
      <c r="H69" s="69">
        <v>0.16666666666666666</v>
      </c>
      <c r="XFC69" t="s">
        <v>307</v>
      </c>
      <c r="XFD69">
        <v>1</v>
      </c>
    </row>
    <row r="70" spans="2:8 16383:16384" x14ac:dyDescent="0.35">
      <c r="B70" t="s">
        <v>1221</v>
      </c>
      <c r="C70" s="69">
        <v>0.16666666666666666</v>
      </c>
      <c r="D70" s="69">
        <v>9.5238095238095233E-2</v>
      </c>
      <c r="E70" s="69">
        <v>4.7619047619047616E-2</v>
      </c>
      <c r="F70" s="69">
        <v>0.14285714285714285</v>
      </c>
      <c r="G70" s="69">
        <v>0.14285714285714285</v>
      </c>
      <c r="H70" s="69">
        <v>0.16666666666666666</v>
      </c>
      <c r="XFC70" t="s">
        <v>308</v>
      </c>
      <c r="XFD70">
        <v>1</v>
      </c>
    </row>
    <row r="71" spans="2:8 16383:16384" x14ac:dyDescent="0.35">
      <c r="B71" t="s">
        <v>1453</v>
      </c>
      <c r="C71" s="69">
        <v>9.5238095238095233E-2</v>
      </c>
      <c r="D71" s="69">
        <v>0.11904761904761904</v>
      </c>
      <c r="E71" s="69">
        <v>2.3809523809523808E-2</v>
      </c>
      <c r="F71" s="69">
        <v>0.11904761904761904</v>
      </c>
      <c r="G71" s="69">
        <v>0.14285714285714285</v>
      </c>
      <c r="H71" s="69">
        <v>0.16666666666666666</v>
      </c>
      <c r="XFC71" t="s">
        <v>309</v>
      </c>
      <c r="XFD71">
        <v>1</v>
      </c>
    </row>
    <row r="72" spans="2:8 16383:16384" x14ac:dyDescent="0.35">
      <c r="B72" t="s">
        <v>382</v>
      </c>
      <c r="C72" s="69">
        <v>9.5238095238095233E-2</v>
      </c>
      <c r="D72" s="69">
        <v>0.14285714285714285</v>
      </c>
      <c r="E72" s="69">
        <v>2.3809523809523808E-2</v>
      </c>
      <c r="F72" s="69">
        <v>9.5238095238095233E-2</v>
      </c>
      <c r="G72" s="69">
        <v>7.1428571428571425E-2</v>
      </c>
      <c r="H72" s="69">
        <v>0.14285714285714285</v>
      </c>
      <c r="XFC72" t="s">
        <v>310</v>
      </c>
      <c r="XFD72">
        <v>1</v>
      </c>
    </row>
    <row r="73" spans="2:8 16383:16384" x14ac:dyDescent="0.35">
      <c r="B73" t="s">
        <v>295</v>
      </c>
      <c r="C73" s="69">
        <v>7.1428571428571425E-2</v>
      </c>
      <c r="D73" s="69">
        <v>0.11904761904761904</v>
      </c>
      <c r="E73" s="69">
        <v>7.1428571428571425E-2</v>
      </c>
      <c r="F73" s="69">
        <v>0.14285714285714285</v>
      </c>
      <c r="G73" s="69">
        <v>9.5238095238095233E-2</v>
      </c>
      <c r="H73" s="69">
        <v>9.5238095238095233E-2</v>
      </c>
      <c r="XFC73" t="s">
        <v>311</v>
      </c>
      <c r="XFD73">
        <v>1</v>
      </c>
    </row>
    <row r="74" spans="2:8 16383:16384" x14ac:dyDescent="0.35">
      <c r="B74" t="s">
        <v>1111</v>
      </c>
      <c r="C74" s="69">
        <v>7.1428571428571425E-2</v>
      </c>
      <c r="D74" s="69">
        <v>0.11904761904761904</v>
      </c>
      <c r="E74" s="69">
        <v>4.7619047619047616E-2</v>
      </c>
      <c r="F74" s="69">
        <v>0.14285714285714285</v>
      </c>
      <c r="G74" s="69">
        <v>0.11904761904761904</v>
      </c>
      <c r="H74" s="69">
        <v>0.16666666666666666</v>
      </c>
      <c r="XFC74" t="s">
        <v>312</v>
      </c>
      <c r="XFD74">
        <v>1</v>
      </c>
    </row>
    <row r="75" spans="2:8 16383:16384" x14ac:dyDescent="0.35">
      <c r="B75" t="s">
        <v>352</v>
      </c>
      <c r="C75" s="69">
        <v>0.16666666666666666</v>
      </c>
      <c r="D75" s="69">
        <v>0.14285714285714285</v>
      </c>
      <c r="E75" s="69">
        <v>7.1428571428571425E-2</v>
      </c>
      <c r="F75" s="69">
        <v>0.16666666666666666</v>
      </c>
      <c r="G75" s="69">
        <v>9.5238095238095233E-2</v>
      </c>
      <c r="H75" s="69">
        <v>0.14285714285714285</v>
      </c>
      <c r="XFC75" t="s">
        <v>313</v>
      </c>
      <c r="XFD75">
        <v>1</v>
      </c>
    </row>
    <row r="76" spans="2:8 16383:16384" x14ac:dyDescent="0.35">
      <c r="B76" t="s">
        <v>1029</v>
      </c>
      <c r="C76" s="69">
        <v>0.11904761904761904</v>
      </c>
      <c r="D76" s="69">
        <v>0.11904761904761904</v>
      </c>
      <c r="E76" s="69">
        <v>2.3809523809523808E-2</v>
      </c>
      <c r="F76" s="69">
        <v>9.5238095238095233E-2</v>
      </c>
      <c r="G76" s="69">
        <v>0.14285714285714285</v>
      </c>
      <c r="H76" s="69">
        <v>0.16666666666666666</v>
      </c>
      <c r="XFC76" t="s">
        <v>314</v>
      </c>
      <c r="XFD76">
        <v>1</v>
      </c>
    </row>
    <row r="77" spans="2:8 16383:16384" x14ac:dyDescent="0.35">
      <c r="B77" t="s">
        <v>360</v>
      </c>
      <c r="C77" s="69">
        <v>0.16666666666666666</v>
      </c>
      <c r="D77" s="69">
        <v>0.14285714285714285</v>
      </c>
      <c r="E77" s="69">
        <v>4.7619047619047616E-2</v>
      </c>
      <c r="F77" s="69">
        <v>0.11904761904761904</v>
      </c>
      <c r="G77" s="69">
        <v>9.5238095238095233E-2</v>
      </c>
      <c r="H77" s="69">
        <v>0.14285714285714285</v>
      </c>
      <c r="XFC77" t="s">
        <v>315</v>
      </c>
      <c r="XFD77">
        <v>1</v>
      </c>
    </row>
    <row r="78" spans="2:8 16383:16384" x14ac:dyDescent="0.35">
      <c r="B78" t="s">
        <v>1114</v>
      </c>
      <c r="C78" s="69">
        <v>7.1428571428571425E-2</v>
      </c>
      <c r="D78" s="69">
        <v>9.5238095238095233E-2</v>
      </c>
      <c r="E78" s="69">
        <v>4.7619047619047616E-2</v>
      </c>
      <c r="F78" s="69">
        <v>9.5238095238095233E-2</v>
      </c>
      <c r="G78" s="69">
        <v>7.1428571428571425E-2</v>
      </c>
      <c r="H78" s="69">
        <v>0.14285714285714285</v>
      </c>
      <c r="XFC78" t="s">
        <v>316</v>
      </c>
      <c r="XFD78">
        <v>1</v>
      </c>
    </row>
    <row r="79" spans="2:8 16383:16384" x14ac:dyDescent="0.35">
      <c r="B79" t="s">
        <v>347</v>
      </c>
      <c r="C79" s="69">
        <v>0.14285714285714285</v>
      </c>
      <c r="D79" s="69">
        <v>0.11904761904761904</v>
      </c>
      <c r="E79" s="69">
        <v>7.1428571428571425E-2</v>
      </c>
      <c r="F79" s="69">
        <v>0.16666666666666666</v>
      </c>
      <c r="G79" s="69">
        <v>9.5238095238095233E-2</v>
      </c>
      <c r="H79" s="69">
        <v>0.14285714285714285</v>
      </c>
      <c r="XFC79" t="s">
        <v>317</v>
      </c>
      <c r="XFD79">
        <v>1</v>
      </c>
    </row>
    <row r="80" spans="2:8 16383:16384" x14ac:dyDescent="0.35">
      <c r="B80" t="s">
        <v>291</v>
      </c>
      <c r="C80" s="69">
        <v>0.11904761904761904</v>
      </c>
      <c r="D80" s="69">
        <v>0.11904761904761904</v>
      </c>
      <c r="E80" s="69">
        <v>0</v>
      </c>
      <c r="F80" s="69">
        <v>0.11904761904761904</v>
      </c>
      <c r="G80" s="69">
        <v>9.5238095238095233E-2</v>
      </c>
      <c r="H80" s="69">
        <v>0.16666666666666666</v>
      </c>
      <c r="XFC80" t="s">
        <v>318</v>
      </c>
      <c r="XFD80">
        <v>1</v>
      </c>
    </row>
    <row r="81" spans="2:8 16383:16384" x14ac:dyDescent="0.35">
      <c r="B81" t="s">
        <v>371</v>
      </c>
      <c r="C81" s="69">
        <v>7.1428571428571425E-2</v>
      </c>
      <c r="D81" s="69">
        <v>0.16666666666666666</v>
      </c>
      <c r="E81" s="69">
        <v>0.11904761904761904</v>
      </c>
      <c r="F81" s="69">
        <v>0.16666666666666666</v>
      </c>
      <c r="G81" s="69">
        <v>9.5238095238095233E-2</v>
      </c>
      <c r="H81" s="69">
        <v>0.16666666666666666</v>
      </c>
      <c r="XFC81" t="s">
        <v>319</v>
      </c>
      <c r="XFD81">
        <v>1</v>
      </c>
    </row>
    <row r="82" spans="2:8 16383:16384" x14ac:dyDescent="0.35">
      <c r="B82" t="s">
        <v>280</v>
      </c>
      <c r="C82" s="69">
        <v>7.1428571428571425E-2</v>
      </c>
      <c r="D82" s="69">
        <v>4.7619047619047616E-2</v>
      </c>
      <c r="E82" s="69">
        <v>9.5238095238095233E-2</v>
      </c>
      <c r="F82" s="69">
        <v>0.14285714285714285</v>
      </c>
      <c r="G82" s="69">
        <v>9.5238095238095233E-2</v>
      </c>
      <c r="H82" s="69">
        <v>0.14285714285714285</v>
      </c>
      <c r="XFC82" t="s">
        <v>320</v>
      </c>
      <c r="XFD82">
        <v>1</v>
      </c>
    </row>
    <row r="83" spans="2:8 16383:16384" x14ac:dyDescent="0.35">
      <c r="B83" t="s">
        <v>326</v>
      </c>
      <c r="C83" s="69">
        <v>0.14285714285714285</v>
      </c>
      <c r="D83" s="69">
        <v>4.7619047619047616E-2</v>
      </c>
      <c r="E83" s="69">
        <v>7.1428571428571425E-2</v>
      </c>
      <c r="F83" s="69">
        <v>0.14285714285714285</v>
      </c>
      <c r="G83" s="69">
        <v>0.14285714285714285</v>
      </c>
      <c r="H83" s="69">
        <v>0.14285714285714285</v>
      </c>
      <c r="XFC83" t="s">
        <v>321</v>
      </c>
      <c r="XFD83">
        <v>1</v>
      </c>
    </row>
    <row r="84" spans="2:8 16383:16384" x14ac:dyDescent="0.35">
      <c r="B84" t="s">
        <v>1116</v>
      </c>
      <c r="C84" s="69">
        <v>0.16666666666666666</v>
      </c>
      <c r="D84" s="69">
        <v>0.11904761904761904</v>
      </c>
      <c r="E84" s="69">
        <v>7.1428571428571425E-2</v>
      </c>
      <c r="F84" s="69">
        <v>9.5238095238095233E-2</v>
      </c>
      <c r="G84" s="69">
        <v>0.14285714285714285</v>
      </c>
      <c r="H84" s="69">
        <v>9.5238095238095233E-2</v>
      </c>
      <c r="XFC84" t="s">
        <v>322</v>
      </c>
      <c r="XFD84">
        <v>1</v>
      </c>
    </row>
    <row r="85" spans="2:8 16383:16384" x14ac:dyDescent="0.35">
      <c r="B85" t="s">
        <v>348</v>
      </c>
      <c r="C85" s="69">
        <v>0.16666666666666666</v>
      </c>
      <c r="D85" s="69">
        <v>0.16666666666666666</v>
      </c>
      <c r="E85" s="69">
        <v>9.5238095238095233E-2</v>
      </c>
      <c r="F85" s="69">
        <v>0.16666666666666666</v>
      </c>
      <c r="G85" s="69">
        <v>0.16666666666666666</v>
      </c>
      <c r="H85" s="69">
        <v>0.16666666666666666</v>
      </c>
      <c r="XFC85" t="s">
        <v>323</v>
      </c>
      <c r="XFD85">
        <v>1</v>
      </c>
    </row>
    <row r="86" spans="2:8 16383:16384" x14ac:dyDescent="0.35">
      <c r="B86" t="s">
        <v>327</v>
      </c>
      <c r="C86" s="69">
        <v>9.5238095238095233E-2</v>
      </c>
      <c r="D86" s="69">
        <v>9.5238095238095233E-2</v>
      </c>
      <c r="E86" s="69">
        <v>7.1428571428571425E-2</v>
      </c>
      <c r="F86" s="69">
        <v>0.16666666666666666</v>
      </c>
      <c r="G86" s="69">
        <v>7.1428571428571425E-2</v>
      </c>
      <c r="H86" s="69">
        <v>0.14285714285714285</v>
      </c>
      <c r="XFC86" t="s">
        <v>324</v>
      </c>
      <c r="XFD86">
        <v>1</v>
      </c>
    </row>
    <row r="87" spans="2:8 16383:16384" x14ac:dyDescent="0.35">
      <c r="B87" t="s">
        <v>302</v>
      </c>
      <c r="C87" s="69">
        <v>9.5238095238095233E-2</v>
      </c>
      <c r="D87" s="69">
        <v>9.5238095238095233E-2</v>
      </c>
      <c r="E87" s="69">
        <v>4.7619047619047616E-2</v>
      </c>
      <c r="F87" s="69">
        <v>0.16666666666666666</v>
      </c>
      <c r="G87" s="69">
        <v>0.14285714285714285</v>
      </c>
      <c r="H87" s="69">
        <v>0.14285714285714285</v>
      </c>
      <c r="XFC87" t="s">
        <v>325</v>
      </c>
      <c r="XFD87">
        <v>1</v>
      </c>
    </row>
    <row r="88" spans="2:8 16383:16384" x14ac:dyDescent="0.35">
      <c r="B88" t="s">
        <v>582</v>
      </c>
      <c r="C88" s="69">
        <v>0.16666666666666666</v>
      </c>
      <c r="D88" s="69">
        <v>0.11904761904761904</v>
      </c>
      <c r="E88" s="69">
        <v>4.7619047619047616E-2</v>
      </c>
      <c r="F88" s="69">
        <v>0.11904761904761904</v>
      </c>
      <c r="G88" s="69">
        <v>0.14285714285714285</v>
      </c>
      <c r="H88" s="69">
        <v>0.14285714285714285</v>
      </c>
      <c r="XFC88" t="s">
        <v>326</v>
      </c>
      <c r="XFD88">
        <v>1</v>
      </c>
    </row>
    <row r="89" spans="2:8 16383:16384" x14ac:dyDescent="0.35">
      <c r="B89" t="s">
        <v>926</v>
      </c>
      <c r="C89" s="69">
        <v>0.14285714285714285</v>
      </c>
      <c r="D89" s="69">
        <v>0.14285714285714285</v>
      </c>
      <c r="E89" s="69">
        <v>7.1428571428571425E-2</v>
      </c>
      <c r="F89" s="69">
        <v>9.5238095238095233E-2</v>
      </c>
      <c r="G89" s="69">
        <v>0.16666666666666666</v>
      </c>
      <c r="H89" s="69">
        <v>0.16666666666666666</v>
      </c>
      <c r="XFC89" t="s">
        <v>327</v>
      </c>
      <c r="XFD89">
        <v>1</v>
      </c>
    </row>
    <row r="90" spans="2:8 16383:16384" x14ac:dyDescent="0.35">
      <c r="B90" t="s">
        <v>374</v>
      </c>
      <c r="C90" s="69">
        <v>7.1428571428571425E-2</v>
      </c>
      <c r="D90" s="69">
        <v>9.5238095238095233E-2</v>
      </c>
      <c r="E90" s="69">
        <v>4.7619047619047616E-2</v>
      </c>
      <c r="F90" s="69">
        <v>7.1428571428571425E-2</v>
      </c>
      <c r="G90" s="69">
        <v>4.7619047619047616E-2</v>
      </c>
      <c r="H90" s="69">
        <v>0.16666666666666666</v>
      </c>
      <c r="XFC90" t="s">
        <v>328</v>
      </c>
      <c r="XFD90">
        <v>1</v>
      </c>
    </row>
    <row r="91" spans="2:8 16383:16384" x14ac:dyDescent="0.35">
      <c r="B91" t="s">
        <v>306</v>
      </c>
      <c r="C91" s="69">
        <v>4.7619047619047616E-2</v>
      </c>
      <c r="D91" s="69">
        <v>0.11904761904761904</v>
      </c>
      <c r="E91" s="69">
        <v>9.5238095238095233E-2</v>
      </c>
      <c r="F91" s="69">
        <v>0.11904761904761904</v>
      </c>
      <c r="G91" s="69">
        <v>7.1428571428571425E-2</v>
      </c>
      <c r="H91" s="69">
        <v>0.16666666666666666</v>
      </c>
      <c r="XFC91" t="s">
        <v>329</v>
      </c>
      <c r="XFD91">
        <v>1</v>
      </c>
    </row>
    <row r="92" spans="2:8 16383:16384" x14ac:dyDescent="0.35">
      <c r="B92" t="s">
        <v>1000</v>
      </c>
      <c r="C92" s="69">
        <v>0.14285714285714285</v>
      </c>
      <c r="D92" s="69">
        <v>9.5238095238095233E-2</v>
      </c>
      <c r="E92" s="69">
        <v>0.14285714285714285</v>
      </c>
      <c r="F92" s="69">
        <v>0.16666666666666666</v>
      </c>
      <c r="G92" s="69">
        <v>0.16666666666666666</v>
      </c>
      <c r="H92" s="69">
        <v>0.16666666666666666</v>
      </c>
      <c r="XFC92" t="s">
        <v>330</v>
      </c>
      <c r="XFD92">
        <v>1</v>
      </c>
    </row>
    <row r="93" spans="2:8 16383:16384" x14ac:dyDescent="0.35">
      <c r="B93" t="s">
        <v>379</v>
      </c>
      <c r="C93" s="69">
        <v>9.5238095238095233E-2</v>
      </c>
      <c r="D93" s="69">
        <v>9.5238095238095233E-2</v>
      </c>
      <c r="E93" s="69">
        <v>9.5238095238095233E-2</v>
      </c>
      <c r="F93" s="69">
        <v>9.5238095238095233E-2</v>
      </c>
      <c r="G93" s="69">
        <v>9.5238095238095233E-2</v>
      </c>
      <c r="H93" s="69">
        <v>0.14285714285714285</v>
      </c>
      <c r="XFC93" t="s">
        <v>331</v>
      </c>
      <c r="XFD93">
        <v>1</v>
      </c>
    </row>
    <row r="94" spans="2:8 16383:16384" x14ac:dyDescent="0.35">
      <c r="B94" t="s">
        <v>335</v>
      </c>
      <c r="C94" s="69">
        <v>0.14285714285714285</v>
      </c>
      <c r="D94" s="69">
        <v>0.11904761904761904</v>
      </c>
      <c r="E94" s="69">
        <v>9.5238095238095233E-2</v>
      </c>
      <c r="F94" s="69">
        <v>0.11904761904761904</v>
      </c>
      <c r="G94" s="69">
        <v>9.5238095238095233E-2</v>
      </c>
      <c r="H94" s="69">
        <v>0.16666666666666666</v>
      </c>
      <c r="XFC94" t="s">
        <v>332</v>
      </c>
      <c r="XFD94">
        <v>1</v>
      </c>
    </row>
    <row r="95" spans="2:8 16383:16384" x14ac:dyDescent="0.35">
      <c r="B95" t="s">
        <v>1452</v>
      </c>
      <c r="C95" s="69">
        <v>4.7619047619047616E-2</v>
      </c>
      <c r="D95" s="69">
        <v>0.11904761904761904</v>
      </c>
      <c r="E95" s="69">
        <v>4.7619047619047616E-2</v>
      </c>
      <c r="F95" s="69">
        <v>0.16666666666666666</v>
      </c>
      <c r="G95" s="69">
        <v>0.14285714285714285</v>
      </c>
      <c r="H95" s="69">
        <v>0.16666666666666666</v>
      </c>
      <c r="XFC95" t="s">
        <v>333</v>
      </c>
      <c r="XFD95">
        <v>1</v>
      </c>
    </row>
    <row r="96" spans="2:8 16383:16384" x14ac:dyDescent="0.35">
      <c r="B96" t="s">
        <v>346</v>
      </c>
      <c r="C96" s="69">
        <v>0.16666666666666666</v>
      </c>
      <c r="D96" s="69">
        <v>7.1428571428571425E-2</v>
      </c>
      <c r="E96" s="69">
        <v>2.3809523809523808E-2</v>
      </c>
      <c r="F96" s="69">
        <v>0.11904761904761904</v>
      </c>
      <c r="G96" s="69">
        <v>7.1428571428571425E-2</v>
      </c>
      <c r="H96" s="69">
        <v>0.14285714285714285</v>
      </c>
      <c r="XFC96" t="s">
        <v>334</v>
      </c>
      <c r="XFD96">
        <v>1</v>
      </c>
    </row>
    <row r="97" spans="2:8 16383:16384" x14ac:dyDescent="0.35">
      <c r="B97" t="s">
        <v>1085</v>
      </c>
      <c r="C97" s="69">
        <v>0.16666666666666666</v>
      </c>
      <c r="D97" s="69">
        <v>4.7619047619047616E-2</v>
      </c>
      <c r="E97" s="69">
        <v>2.3809523809523808E-2</v>
      </c>
      <c r="F97" s="69">
        <v>9.5238095238095233E-2</v>
      </c>
      <c r="G97" s="69">
        <v>7.1428571428571425E-2</v>
      </c>
      <c r="H97" s="69">
        <v>0.14285714285714285</v>
      </c>
      <c r="XFC97" t="s">
        <v>335</v>
      </c>
      <c r="XFD97">
        <v>1</v>
      </c>
    </row>
    <row r="98" spans="2:8 16383:16384" x14ac:dyDescent="0.35">
      <c r="B98" t="s">
        <v>1448</v>
      </c>
      <c r="C98" s="69">
        <v>9.5238095238095233E-2</v>
      </c>
      <c r="D98" s="69">
        <v>7.1428571428571425E-2</v>
      </c>
      <c r="E98" s="69">
        <v>0</v>
      </c>
      <c r="F98" s="69">
        <v>9.5238095238095233E-2</v>
      </c>
      <c r="G98" s="69">
        <v>0.11904761904761904</v>
      </c>
      <c r="H98" s="69">
        <v>0.16666666666666666</v>
      </c>
      <c r="XFC98" t="s">
        <v>336</v>
      </c>
      <c r="XFD98">
        <v>1</v>
      </c>
    </row>
    <row r="99" spans="2:8 16383:16384" x14ac:dyDescent="0.35">
      <c r="B99" t="s">
        <v>258</v>
      </c>
      <c r="C99" s="69">
        <v>0.14285714285714285</v>
      </c>
      <c r="D99" s="69">
        <v>7.1428571428571425E-2</v>
      </c>
      <c r="E99" s="69">
        <v>4.7619047619047616E-2</v>
      </c>
      <c r="F99" s="69">
        <v>9.5238095238095233E-2</v>
      </c>
      <c r="G99" s="69">
        <v>9.5238095238095233E-2</v>
      </c>
      <c r="H99" s="69">
        <v>0.11904761904761904</v>
      </c>
      <c r="XFC99" t="s">
        <v>337</v>
      </c>
      <c r="XFD99">
        <v>1</v>
      </c>
    </row>
    <row r="100" spans="2:8 16383:16384" x14ac:dyDescent="0.35">
      <c r="B100" t="s">
        <v>1066</v>
      </c>
      <c r="C100" s="69">
        <v>0.11904761904761904</v>
      </c>
      <c r="D100" s="69">
        <v>9.5238095238095233E-2</v>
      </c>
      <c r="E100" s="69">
        <v>7.1428571428571425E-2</v>
      </c>
      <c r="F100" s="69">
        <v>7.1428571428571425E-2</v>
      </c>
      <c r="G100" s="69">
        <v>9.5238095238095233E-2</v>
      </c>
      <c r="H100" s="69">
        <v>0.11904761904761904</v>
      </c>
      <c r="XFC100" t="s">
        <v>338</v>
      </c>
      <c r="XFD100">
        <v>1</v>
      </c>
    </row>
    <row r="101" spans="2:8 16383:16384" x14ac:dyDescent="0.35">
      <c r="B101" t="s">
        <v>1251</v>
      </c>
      <c r="C101" s="69">
        <v>0.16666666666666666</v>
      </c>
      <c r="D101" s="69">
        <v>0.14285714285714285</v>
      </c>
      <c r="E101" s="69">
        <v>0.14285714285714285</v>
      </c>
      <c r="F101" s="69">
        <v>0.16666666666666666</v>
      </c>
      <c r="G101" s="69">
        <v>0.16666666666666666</v>
      </c>
      <c r="H101" s="69">
        <v>0.16666666666666666</v>
      </c>
      <c r="XFC101" t="s">
        <v>339</v>
      </c>
      <c r="XFD101">
        <v>1</v>
      </c>
    </row>
    <row r="102" spans="2:8 16383:16384" x14ac:dyDescent="0.35">
      <c r="B102" t="s">
        <v>1119</v>
      </c>
      <c r="C102" s="69">
        <v>0.11904761904761904</v>
      </c>
      <c r="D102" s="69">
        <v>0.14285714285714285</v>
      </c>
      <c r="E102" s="69">
        <v>0.14285714285714285</v>
      </c>
      <c r="F102" s="69">
        <v>0.16666666666666666</v>
      </c>
      <c r="G102" s="69">
        <v>0.14285714285714285</v>
      </c>
      <c r="H102" s="69">
        <v>0.16666666666666666</v>
      </c>
      <c r="XFC102" t="s">
        <v>340</v>
      </c>
      <c r="XFD102">
        <v>1</v>
      </c>
    </row>
    <row r="103" spans="2:8 16383:16384" x14ac:dyDescent="0.35">
      <c r="B103" t="s">
        <v>1146</v>
      </c>
      <c r="C103" s="69">
        <v>0.14285714285714285</v>
      </c>
      <c r="D103" s="69">
        <v>9.5238095238095233E-2</v>
      </c>
      <c r="E103" s="69">
        <v>9.5238095238095233E-2</v>
      </c>
      <c r="F103" s="69">
        <v>0.11904761904761904</v>
      </c>
      <c r="G103" s="69">
        <v>0.14285714285714285</v>
      </c>
      <c r="H103" s="69">
        <v>0.11904761904761904</v>
      </c>
      <c r="XFC103" t="s">
        <v>341</v>
      </c>
      <c r="XFD103">
        <v>1</v>
      </c>
    </row>
    <row r="104" spans="2:8 16383:16384" x14ac:dyDescent="0.35">
      <c r="B104" t="s">
        <v>351</v>
      </c>
      <c r="C104" s="69">
        <v>0.14285714285714285</v>
      </c>
      <c r="D104" s="69">
        <v>9.5238095238095233E-2</v>
      </c>
      <c r="E104" s="69">
        <v>0.11904761904761904</v>
      </c>
      <c r="F104" s="69">
        <v>0.14285714285714285</v>
      </c>
      <c r="G104" s="69">
        <v>0.16666666666666666</v>
      </c>
      <c r="H104" s="69">
        <v>0.16666666666666666</v>
      </c>
      <c r="XFC104" t="s">
        <v>787</v>
      </c>
      <c r="XFD104">
        <v>1</v>
      </c>
    </row>
    <row r="105" spans="2:8 16383:16384" x14ac:dyDescent="0.35">
      <c r="B105" t="s">
        <v>324</v>
      </c>
      <c r="C105" s="69">
        <v>0.16666666666666666</v>
      </c>
      <c r="D105" s="69">
        <v>0.16666666666666666</v>
      </c>
      <c r="E105" s="69">
        <v>9.5238095238095233E-2</v>
      </c>
      <c r="F105" s="69">
        <v>0.16666666666666666</v>
      </c>
      <c r="G105" s="69">
        <v>0.16666666666666666</v>
      </c>
      <c r="H105" s="69">
        <v>0.16666666666666666</v>
      </c>
      <c r="XFC105" t="s">
        <v>342</v>
      </c>
      <c r="XFD105">
        <v>1</v>
      </c>
    </row>
    <row r="106" spans="2:8 16383:16384" x14ac:dyDescent="0.35">
      <c r="B106" t="s">
        <v>267</v>
      </c>
      <c r="C106" s="69">
        <v>7.1428571428571425E-2</v>
      </c>
      <c r="D106" s="69">
        <v>0.11904761904761904</v>
      </c>
      <c r="E106" s="69">
        <v>9.5238095238095233E-2</v>
      </c>
      <c r="F106" s="69">
        <v>0.11904761904761904</v>
      </c>
      <c r="G106" s="69">
        <v>0.14285714285714285</v>
      </c>
      <c r="H106" s="69">
        <v>0.16666666666666666</v>
      </c>
      <c r="XFC106" t="s">
        <v>343</v>
      </c>
      <c r="XFD106">
        <v>1</v>
      </c>
    </row>
    <row r="107" spans="2:8 16383:16384" x14ac:dyDescent="0.35">
      <c r="B107" t="s">
        <v>1432</v>
      </c>
      <c r="C107" s="69">
        <v>0.14285714285714285</v>
      </c>
      <c r="D107" s="69">
        <v>0.14285714285714285</v>
      </c>
      <c r="E107" s="69">
        <v>7.1428571428571425E-2</v>
      </c>
      <c r="F107" s="69">
        <v>0.16666666666666666</v>
      </c>
      <c r="G107" s="69">
        <v>0.14285714285714285</v>
      </c>
      <c r="H107" s="69">
        <v>0.16666666666666666</v>
      </c>
      <c r="XFC107" t="s">
        <v>344</v>
      </c>
      <c r="XFD107">
        <v>1</v>
      </c>
    </row>
    <row r="108" spans="2:8 16383:16384" x14ac:dyDescent="0.35">
      <c r="B108" t="s">
        <v>305</v>
      </c>
      <c r="C108" s="69">
        <v>9.5238095238095233E-2</v>
      </c>
      <c r="D108" s="69">
        <v>0.14285714285714285</v>
      </c>
      <c r="E108" s="69">
        <v>2.3809523809523808E-2</v>
      </c>
      <c r="F108" s="69">
        <v>7.1428571428571425E-2</v>
      </c>
      <c r="G108" s="69">
        <v>7.1428571428571425E-2</v>
      </c>
      <c r="H108" s="69">
        <v>0.16666666666666666</v>
      </c>
      <c r="XFC108" t="s">
        <v>345</v>
      </c>
      <c r="XFD108">
        <v>1</v>
      </c>
    </row>
    <row r="109" spans="2:8 16383:16384" x14ac:dyDescent="0.35">
      <c r="B109" t="s">
        <v>1245</v>
      </c>
      <c r="C109" s="69">
        <v>0.14285714285714285</v>
      </c>
      <c r="D109" s="69">
        <v>0.11904761904761904</v>
      </c>
      <c r="E109" s="69">
        <v>4.7619047619047616E-2</v>
      </c>
      <c r="F109" s="69">
        <v>9.5238095238095233E-2</v>
      </c>
      <c r="G109" s="69">
        <v>0.11904761904761904</v>
      </c>
      <c r="H109" s="69">
        <v>0.16666666666666666</v>
      </c>
      <c r="XFC109" t="s">
        <v>346</v>
      </c>
      <c r="XFD109">
        <v>1</v>
      </c>
    </row>
    <row r="110" spans="2:8 16383:16384" x14ac:dyDescent="0.35">
      <c r="B110" t="s">
        <v>245</v>
      </c>
      <c r="C110" s="69">
        <v>0.16666666666666666</v>
      </c>
      <c r="D110" s="69">
        <v>0.16666666666666666</v>
      </c>
      <c r="E110" s="69">
        <v>7.1428571428571425E-2</v>
      </c>
      <c r="F110" s="69">
        <v>0.11904761904761904</v>
      </c>
      <c r="G110" s="69">
        <v>0.14285714285714285</v>
      </c>
      <c r="H110" s="69">
        <v>0.16666666666666666</v>
      </c>
      <c r="XFC110" t="s">
        <v>347</v>
      </c>
      <c r="XFD110">
        <v>1</v>
      </c>
    </row>
    <row r="111" spans="2:8 16383:16384" x14ac:dyDescent="0.35">
      <c r="B111" t="s">
        <v>1444</v>
      </c>
      <c r="C111" s="69">
        <v>0.16666666666666666</v>
      </c>
      <c r="D111" s="69">
        <v>0.11904761904761904</v>
      </c>
      <c r="E111" s="69">
        <v>0.11904761904761904</v>
      </c>
      <c r="F111" s="69">
        <v>0.11904761904761904</v>
      </c>
      <c r="G111" s="69">
        <v>0.16666666666666666</v>
      </c>
      <c r="H111" s="69">
        <v>0.16666666666666666</v>
      </c>
      <c r="XFC111" t="s">
        <v>348</v>
      </c>
      <c r="XFD111">
        <v>1</v>
      </c>
    </row>
    <row r="112" spans="2:8 16383:16384" x14ac:dyDescent="0.35">
      <c r="B112" t="s">
        <v>936</v>
      </c>
      <c r="C112" s="69">
        <v>0.14285714285714285</v>
      </c>
      <c r="D112" s="69">
        <v>0.16666666666666666</v>
      </c>
      <c r="E112" s="69">
        <v>9.5238095238095233E-2</v>
      </c>
      <c r="F112" s="69">
        <v>0.14285714285714285</v>
      </c>
      <c r="G112" s="69">
        <v>0.14285714285714285</v>
      </c>
      <c r="H112" s="69">
        <v>0.16666666666666666</v>
      </c>
      <c r="XFC112" t="s">
        <v>349</v>
      </c>
      <c r="XFD112">
        <v>1</v>
      </c>
    </row>
    <row r="113" spans="2:8 16383:16384" x14ac:dyDescent="0.35">
      <c r="B113" t="s">
        <v>296</v>
      </c>
      <c r="C113" s="69">
        <v>9.5238095238095233E-2</v>
      </c>
      <c r="D113" s="69">
        <v>0.14285714285714285</v>
      </c>
      <c r="E113" s="69">
        <v>7.1428571428571425E-2</v>
      </c>
      <c r="F113" s="69">
        <v>0.14285714285714285</v>
      </c>
      <c r="G113" s="69">
        <v>0.14285714285714285</v>
      </c>
      <c r="H113" s="69">
        <v>0.16666666666666666</v>
      </c>
      <c r="XFC113" t="s">
        <v>350</v>
      </c>
      <c r="XFD113">
        <v>1</v>
      </c>
    </row>
    <row r="114" spans="2:8 16383:16384" x14ac:dyDescent="0.35">
      <c r="B114" t="s">
        <v>286</v>
      </c>
      <c r="C114" s="69">
        <v>0.14285714285714285</v>
      </c>
      <c r="D114" s="69">
        <v>0.14285714285714285</v>
      </c>
      <c r="E114" s="69">
        <v>7.1428571428571425E-2</v>
      </c>
      <c r="F114" s="69">
        <v>0.16666666666666666</v>
      </c>
      <c r="G114" s="69">
        <v>0.11904761904761904</v>
      </c>
      <c r="H114" s="69">
        <v>0.11904761904761904</v>
      </c>
      <c r="XFC114" t="s">
        <v>351</v>
      </c>
      <c r="XFD114">
        <v>1</v>
      </c>
    </row>
    <row r="115" spans="2:8 16383:16384" x14ac:dyDescent="0.35">
      <c r="B115" t="s">
        <v>1186</v>
      </c>
      <c r="C115" s="69">
        <v>0.11904761904761904</v>
      </c>
      <c r="D115" s="69">
        <v>0.14285714285714285</v>
      </c>
      <c r="E115" s="69">
        <v>9.5238095238095233E-2</v>
      </c>
      <c r="F115" s="69">
        <v>0.11904761904761904</v>
      </c>
      <c r="G115" s="69">
        <v>7.1428571428571425E-2</v>
      </c>
      <c r="H115" s="69">
        <v>0.16666666666666666</v>
      </c>
      <c r="XFC115" t="s">
        <v>352</v>
      </c>
      <c r="XFD115">
        <v>1</v>
      </c>
    </row>
    <row r="116" spans="2:8 16383:16384" x14ac:dyDescent="0.35">
      <c r="B116" t="s">
        <v>1190</v>
      </c>
      <c r="C116" s="69">
        <v>0.11904761904761904</v>
      </c>
      <c r="D116" s="69">
        <v>7.1428571428571425E-2</v>
      </c>
      <c r="E116" s="69">
        <v>4.7619047619047616E-2</v>
      </c>
      <c r="F116" s="69">
        <v>0.14285714285714285</v>
      </c>
      <c r="G116" s="69">
        <v>0.11904761904761904</v>
      </c>
      <c r="H116" s="69">
        <v>0.11904761904761904</v>
      </c>
      <c r="XFC116" t="s">
        <v>353</v>
      </c>
      <c r="XFD116">
        <v>1</v>
      </c>
    </row>
    <row r="117" spans="2:8 16383:16384" x14ac:dyDescent="0.35">
      <c r="B117" t="s">
        <v>372</v>
      </c>
      <c r="C117" s="69">
        <v>0.11904761904761904</v>
      </c>
      <c r="D117" s="69">
        <v>0.14285714285714285</v>
      </c>
      <c r="E117" s="69">
        <v>0.14285714285714285</v>
      </c>
      <c r="F117" s="69">
        <v>0.14285714285714285</v>
      </c>
      <c r="G117" s="69">
        <v>0.11904761904761904</v>
      </c>
      <c r="H117" s="69">
        <v>0.16666666666666666</v>
      </c>
      <c r="XFC117" t="s">
        <v>354</v>
      </c>
      <c r="XFD117">
        <v>1</v>
      </c>
    </row>
    <row r="118" spans="2:8 16383:16384" x14ac:dyDescent="0.35">
      <c r="B118" t="s">
        <v>240</v>
      </c>
      <c r="C118" s="69">
        <v>0.11904761904761904</v>
      </c>
      <c r="D118" s="69">
        <v>4.7619047619047616E-2</v>
      </c>
      <c r="E118" s="69">
        <v>9.5238095238095233E-2</v>
      </c>
      <c r="F118" s="69">
        <v>9.5238095238095233E-2</v>
      </c>
      <c r="G118" s="69">
        <v>9.5238095238095233E-2</v>
      </c>
      <c r="H118" s="69">
        <v>0.14285714285714285</v>
      </c>
      <c r="XFC118" t="s">
        <v>355</v>
      </c>
      <c r="XFD118">
        <v>1</v>
      </c>
    </row>
    <row r="119" spans="2:8 16383:16384" x14ac:dyDescent="0.35">
      <c r="B119" t="s">
        <v>249</v>
      </c>
      <c r="C119" s="69">
        <v>0.11904761904761904</v>
      </c>
      <c r="D119" s="69">
        <v>0.11904761904761904</v>
      </c>
      <c r="E119" s="69">
        <v>9.5238095238095233E-2</v>
      </c>
      <c r="F119" s="69">
        <v>0.11904761904761904</v>
      </c>
      <c r="G119" s="69">
        <v>0.11904761904761904</v>
      </c>
      <c r="H119" s="69">
        <v>0.14285714285714285</v>
      </c>
      <c r="XFC119" t="s">
        <v>356</v>
      </c>
      <c r="XFD119">
        <v>1</v>
      </c>
    </row>
    <row r="120" spans="2:8 16383:16384" x14ac:dyDescent="0.35">
      <c r="B120" t="s">
        <v>320</v>
      </c>
      <c r="C120" s="69">
        <v>0.16666666666666666</v>
      </c>
      <c r="D120" s="69">
        <v>0.16666666666666666</v>
      </c>
      <c r="E120" s="69">
        <v>9.5238095238095233E-2</v>
      </c>
      <c r="F120" s="69">
        <v>0.16666666666666666</v>
      </c>
      <c r="G120" s="69">
        <v>0.16666666666666666</v>
      </c>
      <c r="H120" s="69">
        <v>0.16666666666666666</v>
      </c>
      <c r="XFC120" t="s">
        <v>357</v>
      </c>
      <c r="XFD120">
        <v>1</v>
      </c>
    </row>
    <row r="121" spans="2:8 16383:16384" x14ac:dyDescent="0.35">
      <c r="B121" t="s">
        <v>1417</v>
      </c>
      <c r="C121" s="69">
        <v>0.14285714285714285</v>
      </c>
      <c r="D121" s="69">
        <v>0.16666666666666666</v>
      </c>
      <c r="E121" s="69">
        <v>7.1428571428571425E-2</v>
      </c>
      <c r="F121" s="69">
        <v>0.14285714285714285</v>
      </c>
      <c r="G121" s="69">
        <v>7.1428571428571425E-2</v>
      </c>
      <c r="H121" s="69">
        <v>0.16666666666666666</v>
      </c>
      <c r="XFC121" t="s">
        <v>358</v>
      </c>
      <c r="XFD121">
        <v>1</v>
      </c>
    </row>
    <row r="122" spans="2:8 16383:16384" x14ac:dyDescent="0.35">
      <c r="B122" t="s">
        <v>334</v>
      </c>
      <c r="C122" s="69">
        <v>0.11904761904761904</v>
      </c>
      <c r="D122" s="69">
        <v>0.16666666666666666</v>
      </c>
      <c r="E122" s="69">
        <v>4.7619047619047616E-2</v>
      </c>
      <c r="F122" s="69">
        <v>0.14285714285714285</v>
      </c>
      <c r="G122" s="69">
        <v>0.16666666666666666</v>
      </c>
      <c r="H122" s="69">
        <v>0.14285714285714285</v>
      </c>
      <c r="XFC122" t="s">
        <v>359</v>
      </c>
      <c r="XFD122">
        <v>1</v>
      </c>
    </row>
    <row r="123" spans="2:8 16383:16384" x14ac:dyDescent="0.35">
      <c r="B123" t="s">
        <v>1223</v>
      </c>
      <c r="C123" s="69">
        <v>0.14285714285714285</v>
      </c>
      <c r="D123" s="69">
        <v>9.5238095238095233E-2</v>
      </c>
      <c r="E123" s="69">
        <v>2.3809523809523808E-2</v>
      </c>
      <c r="F123" s="69">
        <v>0.11904761904761904</v>
      </c>
      <c r="G123" s="69">
        <v>0.11904761904761904</v>
      </c>
      <c r="H123" s="69">
        <v>0.16666666666666666</v>
      </c>
      <c r="XFC123" t="s">
        <v>360</v>
      </c>
      <c r="XFD123">
        <v>1</v>
      </c>
    </row>
    <row r="124" spans="2:8 16383:16384" x14ac:dyDescent="0.35">
      <c r="B124" t="s">
        <v>375</v>
      </c>
      <c r="C124" s="69">
        <v>0.14285714285714285</v>
      </c>
      <c r="D124" s="69">
        <v>0.11904761904761904</v>
      </c>
      <c r="E124" s="69">
        <v>2.3809523809523808E-2</v>
      </c>
      <c r="F124" s="69">
        <v>0.11904761904761904</v>
      </c>
      <c r="G124" s="69">
        <v>0.11904761904761904</v>
      </c>
      <c r="H124" s="69">
        <v>0.16666666666666666</v>
      </c>
      <c r="XFC124" t="s">
        <v>361</v>
      </c>
      <c r="XFD124">
        <v>1</v>
      </c>
    </row>
    <row r="125" spans="2:8 16383:16384" x14ac:dyDescent="0.35">
      <c r="B125" t="s">
        <v>283</v>
      </c>
      <c r="C125" s="69">
        <v>0.14285714285714285</v>
      </c>
      <c r="D125" s="69">
        <v>0.14285714285714285</v>
      </c>
      <c r="E125" s="69">
        <v>0.11904761904761904</v>
      </c>
      <c r="F125" s="69">
        <v>0.11904761904761904</v>
      </c>
      <c r="G125" s="69">
        <v>4.7619047619047616E-2</v>
      </c>
      <c r="H125" s="69">
        <v>0.16666666666666666</v>
      </c>
      <c r="XFC125" t="s">
        <v>362</v>
      </c>
      <c r="XFD125">
        <v>1</v>
      </c>
    </row>
    <row r="126" spans="2:8 16383:16384" x14ac:dyDescent="0.35">
      <c r="B126" t="s">
        <v>277</v>
      </c>
      <c r="C126" s="69">
        <v>7.1428571428571425E-2</v>
      </c>
      <c r="D126" s="69">
        <v>0.14285714285714285</v>
      </c>
      <c r="E126" s="69">
        <v>7.1428571428571425E-2</v>
      </c>
      <c r="F126" s="69">
        <v>0.14285714285714285</v>
      </c>
      <c r="G126" s="69">
        <v>7.1428571428571425E-2</v>
      </c>
      <c r="H126" s="69">
        <v>0.14285714285714285</v>
      </c>
      <c r="XFC126" t="s">
        <v>363</v>
      </c>
      <c r="XFD126">
        <v>1</v>
      </c>
    </row>
    <row r="127" spans="2:8 16383:16384" x14ac:dyDescent="0.35">
      <c r="B127" t="s">
        <v>358</v>
      </c>
      <c r="C127" s="69">
        <v>0.11904761904761904</v>
      </c>
      <c r="D127" s="69">
        <v>9.5238095238095233E-2</v>
      </c>
      <c r="E127" s="69">
        <v>0.11904761904761904</v>
      </c>
      <c r="F127" s="69">
        <v>0.11904761904761904</v>
      </c>
      <c r="G127" s="69">
        <v>0.11904761904761904</v>
      </c>
      <c r="H127" s="69">
        <v>0.14285714285714285</v>
      </c>
      <c r="XFC127" t="s">
        <v>364</v>
      </c>
      <c r="XFD127">
        <v>1</v>
      </c>
    </row>
    <row r="128" spans="2:8 16383:16384" x14ac:dyDescent="0.35">
      <c r="B128" t="s">
        <v>1002</v>
      </c>
      <c r="C128" s="69">
        <v>9.5238095238095233E-2</v>
      </c>
      <c r="D128" s="69">
        <v>0.14285714285714285</v>
      </c>
      <c r="E128" s="69">
        <v>4.7619047619047616E-2</v>
      </c>
      <c r="F128" s="69">
        <v>0.14285714285714285</v>
      </c>
      <c r="G128" s="69">
        <v>0.11904761904761904</v>
      </c>
      <c r="H128" s="69">
        <v>0.16666666666666666</v>
      </c>
      <c r="XFC128" t="s">
        <v>365</v>
      </c>
      <c r="XFD128">
        <v>1</v>
      </c>
    </row>
    <row r="129" spans="2:8 16383:16384" x14ac:dyDescent="0.35">
      <c r="B129" t="s">
        <v>1121</v>
      </c>
      <c r="C129" s="69">
        <v>0.11904761904761904</v>
      </c>
      <c r="D129" s="69">
        <v>0.14285714285714285</v>
      </c>
      <c r="E129" s="69">
        <v>7.1428571428571425E-2</v>
      </c>
      <c r="F129" s="69">
        <v>0.11904761904761904</v>
      </c>
      <c r="G129" s="69">
        <v>7.1428571428571425E-2</v>
      </c>
      <c r="H129" s="69">
        <v>0.16666666666666666</v>
      </c>
      <c r="XFC129" t="s">
        <v>366</v>
      </c>
      <c r="XFD129">
        <v>1</v>
      </c>
    </row>
    <row r="130" spans="2:8 16383:16384" x14ac:dyDescent="0.35">
      <c r="B130" t="s">
        <v>304</v>
      </c>
      <c r="C130" s="69">
        <v>0.14285714285714285</v>
      </c>
      <c r="D130" s="69">
        <v>7.1428571428571425E-2</v>
      </c>
      <c r="E130" s="69">
        <v>2.3809523809523808E-2</v>
      </c>
      <c r="F130" s="69">
        <v>0.11904761904761904</v>
      </c>
      <c r="G130" s="69">
        <v>0.11904761904761904</v>
      </c>
      <c r="H130" s="69">
        <v>0.16666666666666666</v>
      </c>
      <c r="XFC130" t="s">
        <v>367</v>
      </c>
      <c r="XFD130">
        <v>1</v>
      </c>
    </row>
    <row r="131" spans="2:8 16383:16384" x14ac:dyDescent="0.35">
      <c r="B131" t="s">
        <v>366</v>
      </c>
      <c r="C131" s="69">
        <v>0.16666666666666666</v>
      </c>
      <c r="D131" s="69">
        <v>0.11904761904761904</v>
      </c>
      <c r="E131" s="69">
        <v>4.7619047619047616E-2</v>
      </c>
      <c r="F131" s="69">
        <v>0.16666666666666666</v>
      </c>
      <c r="G131" s="69">
        <v>7.1428571428571425E-2</v>
      </c>
      <c r="H131" s="69">
        <v>0.16666666666666666</v>
      </c>
      <c r="XFC131" t="s">
        <v>368</v>
      </c>
      <c r="XFD131">
        <v>1</v>
      </c>
    </row>
    <row r="132" spans="2:8 16383:16384" x14ac:dyDescent="0.35">
      <c r="B132" t="s">
        <v>269</v>
      </c>
      <c r="C132" s="69">
        <v>9.5238095238095233E-2</v>
      </c>
      <c r="D132" s="69">
        <v>0.11904761904761904</v>
      </c>
      <c r="E132" s="69">
        <v>9.5238095238095233E-2</v>
      </c>
      <c r="F132" s="69">
        <v>9.5238095238095233E-2</v>
      </c>
      <c r="G132" s="69">
        <v>4.7619047619047616E-2</v>
      </c>
      <c r="H132" s="69">
        <v>0.16666666666666666</v>
      </c>
      <c r="XFC132" t="s">
        <v>369</v>
      </c>
      <c r="XFD132">
        <v>1</v>
      </c>
    </row>
    <row r="133" spans="2:8 16383:16384" x14ac:dyDescent="0.35">
      <c r="B133" t="s">
        <v>301</v>
      </c>
      <c r="C133" s="69">
        <v>0.16666666666666666</v>
      </c>
      <c r="D133" s="69">
        <v>0.14285714285714285</v>
      </c>
      <c r="E133" s="69">
        <v>0.14285714285714285</v>
      </c>
      <c r="F133" s="69">
        <v>0.16666666666666666</v>
      </c>
      <c r="G133" s="69">
        <v>0.14285714285714285</v>
      </c>
      <c r="H133" s="69">
        <v>0.16666666666666666</v>
      </c>
      <c r="XFC133" t="s">
        <v>370</v>
      </c>
      <c r="XFD133">
        <v>1</v>
      </c>
    </row>
    <row r="134" spans="2:8 16383:16384" x14ac:dyDescent="0.35">
      <c r="B134" t="s">
        <v>1423</v>
      </c>
      <c r="C134" s="69">
        <v>0.11904761904761904</v>
      </c>
      <c r="D134" s="69">
        <v>9.5238095238095233E-2</v>
      </c>
      <c r="E134" s="69">
        <v>4.7619047619047616E-2</v>
      </c>
      <c r="F134" s="69">
        <v>7.1428571428571425E-2</v>
      </c>
      <c r="G134" s="69">
        <v>7.1428571428571425E-2</v>
      </c>
      <c r="H134" s="69">
        <v>0.16666666666666666</v>
      </c>
      <c r="XFC134" t="s">
        <v>371</v>
      </c>
      <c r="XFD134">
        <v>1</v>
      </c>
    </row>
    <row r="135" spans="2:8 16383:16384" x14ac:dyDescent="0.35">
      <c r="B135" t="s">
        <v>332</v>
      </c>
      <c r="C135" s="69">
        <v>0.16666666666666666</v>
      </c>
      <c r="D135" s="69">
        <v>0.14285714285714285</v>
      </c>
      <c r="E135" s="69">
        <v>4.7619047619047616E-2</v>
      </c>
      <c r="F135" s="69">
        <v>0.14285714285714285</v>
      </c>
      <c r="G135" s="69">
        <v>0.11904761904761904</v>
      </c>
      <c r="H135" s="69">
        <v>0.16666666666666666</v>
      </c>
      <c r="XFC135" t="s">
        <v>372</v>
      </c>
      <c r="XFD135">
        <v>1</v>
      </c>
    </row>
    <row r="136" spans="2:8 16383:16384" x14ac:dyDescent="0.35">
      <c r="B136" t="s">
        <v>313</v>
      </c>
      <c r="C136" s="69">
        <v>0.11904761904761904</v>
      </c>
      <c r="D136" s="69">
        <v>0.16666666666666666</v>
      </c>
      <c r="E136" s="69">
        <v>0.14285714285714285</v>
      </c>
      <c r="F136" s="69">
        <v>0.14285714285714285</v>
      </c>
      <c r="G136" s="69">
        <v>7.1428571428571425E-2</v>
      </c>
      <c r="H136" s="69">
        <v>0.16666666666666666</v>
      </c>
      <c r="XFC136" t="s">
        <v>373</v>
      </c>
      <c r="XFD136">
        <v>1</v>
      </c>
    </row>
    <row r="137" spans="2:8 16383:16384" x14ac:dyDescent="0.35">
      <c r="B137" t="s">
        <v>1211</v>
      </c>
      <c r="C137" s="69">
        <v>0.16666666666666666</v>
      </c>
      <c r="D137" s="69">
        <v>0.11904761904761904</v>
      </c>
      <c r="E137" s="69">
        <v>0.11904761904761904</v>
      </c>
      <c r="F137" s="69">
        <v>0.11904761904761904</v>
      </c>
      <c r="G137" s="69">
        <v>0.11904761904761904</v>
      </c>
      <c r="H137" s="69">
        <v>0.16666666666666666</v>
      </c>
      <c r="XFC137" t="s">
        <v>374</v>
      </c>
      <c r="XFD137">
        <v>1</v>
      </c>
    </row>
    <row r="138" spans="2:8 16383:16384" x14ac:dyDescent="0.35">
      <c r="B138" t="s">
        <v>1020</v>
      </c>
      <c r="C138" s="69">
        <v>0.14285714285714285</v>
      </c>
      <c r="D138" s="69">
        <v>0.16666666666666666</v>
      </c>
      <c r="E138" s="69">
        <v>9.5238095238095233E-2</v>
      </c>
      <c r="F138" s="69">
        <v>0.14285714285714285</v>
      </c>
      <c r="G138" s="69">
        <v>9.5238095238095233E-2</v>
      </c>
      <c r="H138" s="69">
        <v>0.11904761904761904</v>
      </c>
      <c r="XFC138" t="s">
        <v>375</v>
      </c>
      <c r="XFD138">
        <v>1</v>
      </c>
    </row>
    <row r="139" spans="2:8 16383:16384" x14ac:dyDescent="0.35">
      <c r="B139" t="s">
        <v>251</v>
      </c>
      <c r="C139" s="69">
        <v>0.11904761904761904</v>
      </c>
      <c r="D139" s="69">
        <v>7.1428571428571425E-2</v>
      </c>
      <c r="E139" s="69">
        <v>7.1428571428571425E-2</v>
      </c>
      <c r="F139" s="69">
        <v>0.11904761904761904</v>
      </c>
      <c r="G139" s="69">
        <v>0.11904761904761904</v>
      </c>
      <c r="H139" s="69">
        <v>0.16666666666666666</v>
      </c>
      <c r="XFC139" t="s">
        <v>376</v>
      </c>
      <c r="XFD139">
        <v>1</v>
      </c>
    </row>
    <row r="140" spans="2:8 16383:16384" x14ac:dyDescent="0.35">
      <c r="B140" t="s">
        <v>1031</v>
      </c>
      <c r="C140" s="69">
        <v>9.5238095238095233E-2</v>
      </c>
      <c r="D140" s="69">
        <v>0.14285714285714285</v>
      </c>
      <c r="E140" s="69">
        <v>0.11904761904761904</v>
      </c>
      <c r="F140" s="69">
        <v>0.14285714285714285</v>
      </c>
      <c r="G140" s="69">
        <v>0.14285714285714285</v>
      </c>
      <c r="H140" s="69">
        <v>0.16666666666666666</v>
      </c>
      <c r="XFC140" t="s">
        <v>377</v>
      </c>
      <c r="XFD140">
        <v>1</v>
      </c>
    </row>
    <row r="141" spans="2:8 16383:16384" x14ac:dyDescent="0.35">
      <c r="B141" t="s">
        <v>363</v>
      </c>
      <c r="C141" s="69">
        <v>0.16666666666666666</v>
      </c>
      <c r="D141" s="69">
        <v>0.14285714285714285</v>
      </c>
      <c r="E141" s="69">
        <v>7.1428571428571425E-2</v>
      </c>
      <c r="F141" s="69">
        <v>0.11904761904761904</v>
      </c>
      <c r="G141" s="69">
        <v>0.16666666666666666</v>
      </c>
      <c r="H141" s="69">
        <v>0.16666666666666666</v>
      </c>
      <c r="XFC141" t="s">
        <v>378</v>
      </c>
      <c r="XFD141">
        <v>1</v>
      </c>
    </row>
    <row r="142" spans="2:8 16383:16384" x14ac:dyDescent="0.35">
      <c r="B142" t="s">
        <v>960</v>
      </c>
      <c r="C142" s="69">
        <v>0.16666666666666666</v>
      </c>
      <c r="D142" s="69">
        <v>0.11904761904761904</v>
      </c>
      <c r="E142" s="69">
        <v>7.1428571428571425E-2</v>
      </c>
      <c r="F142" s="69">
        <v>0.14285714285714285</v>
      </c>
      <c r="G142" s="69">
        <v>0.14285714285714285</v>
      </c>
      <c r="H142" s="69">
        <v>0.16666666666666666</v>
      </c>
      <c r="XFC142" t="s">
        <v>379</v>
      </c>
      <c r="XFD142">
        <v>1</v>
      </c>
    </row>
    <row r="143" spans="2:8 16383:16384" x14ac:dyDescent="0.35">
      <c r="B143" t="s">
        <v>278</v>
      </c>
      <c r="C143" s="69">
        <v>0.11904761904761904</v>
      </c>
      <c r="D143" s="69">
        <v>0.11904761904761904</v>
      </c>
      <c r="E143" s="69">
        <v>9.5238095238095233E-2</v>
      </c>
      <c r="F143" s="69">
        <v>0.14285714285714285</v>
      </c>
      <c r="G143" s="69">
        <v>0.14285714285714285</v>
      </c>
      <c r="H143" s="69">
        <v>0.16666666666666666</v>
      </c>
      <c r="XFC143" t="s">
        <v>380</v>
      </c>
      <c r="XFD143">
        <v>1</v>
      </c>
    </row>
    <row r="144" spans="2:8 16383:16384" x14ac:dyDescent="0.35">
      <c r="B144" t="s">
        <v>321</v>
      </c>
      <c r="C144" s="69">
        <v>9.5238095238095233E-2</v>
      </c>
      <c r="D144" s="69">
        <v>0.14285714285714285</v>
      </c>
      <c r="E144" s="69">
        <v>2.3809523809523808E-2</v>
      </c>
      <c r="F144" s="69">
        <v>0.14285714285714285</v>
      </c>
      <c r="G144" s="69">
        <v>0.14285714285714285</v>
      </c>
      <c r="H144" s="69">
        <v>0.16666666666666666</v>
      </c>
      <c r="XFC144" t="s">
        <v>381</v>
      </c>
      <c r="XFD144">
        <v>1</v>
      </c>
    </row>
    <row r="145" spans="2:8 16383:16384" x14ac:dyDescent="0.35">
      <c r="B145" t="s">
        <v>256</v>
      </c>
      <c r="C145" s="69">
        <v>0.11904761904761904</v>
      </c>
      <c r="D145" s="69">
        <v>9.5238095238095233E-2</v>
      </c>
      <c r="E145" s="69">
        <v>9.5238095238095233E-2</v>
      </c>
      <c r="F145" s="69">
        <v>0.14285714285714285</v>
      </c>
      <c r="G145" s="69">
        <v>4.7619047619047616E-2</v>
      </c>
      <c r="H145" s="69">
        <v>0.16666666666666666</v>
      </c>
      <c r="XFC145" t="s">
        <v>382</v>
      </c>
      <c r="XFD145">
        <v>1</v>
      </c>
    </row>
    <row r="146" spans="2:8 16383:16384" x14ac:dyDescent="0.35">
      <c r="B146" t="s">
        <v>338</v>
      </c>
      <c r="C146" s="69">
        <v>7.1428571428571425E-2</v>
      </c>
      <c r="D146" s="69">
        <v>0.16666666666666666</v>
      </c>
      <c r="E146" s="69">
        <v>0.11904761904761904</v>
      </c>
      <c r="F146" s="69">
        <v>0.14285714285714285</v>
      </c>
      <c r="G146" s="69">
        <v>7.1428571428571425E-2</v>
      </c>
      <c r="H146" s="69">
        <v>0.14285714285714285</v>
      </c>
      <c r="XFC146" t="s">
        <v>383</v>
      </c>
      <c r="XFD146">
        <v>1</v>
      </c>
    </row>
    <row r="147" spans="2:8 16383:16384" x14ac:dyDescent="0.35">
      <c r="B147" t="s">
        <v>1469</v>
      </c>
      <c r="C147" s="69">
        <v>0.11904761904761904</v>
      </c>
      <c r="D147" s="69">
        <v>0.14285714285714285</v>
      </c>
      <c r="E147" s="69">
        <v>0.14285714285714285</v>
      </c>
      <c r="F147" s="69">
        <v>0.16666666666666666</v>
      </c>
      <c r="G147" s="69">
        <v>0.14285714285714285</v>
      </c>
      <c r="H147" s="69">
        <v>0.16666666666666666</v>
      </c>
      <c r="XFC147" t="s">
        <v>384</v>
      </c>
      <c r="XFD147">
        <v>1</v>
      </c>
    </row>
    <row r="148" spans="2:8 16383:16384" x14ac:dyDescent="0.35">
      <c r="B148" t="s">
        <v>1418</v>
      </c>
      <c r="C148" s="69">
        <v>7.1428571428571425E-2</v>
      </c>
      <c r="D148" s="69">
        <v>0.14285714285714285</v>
      </c>
      <c r="E148" s="69">
        <v>4.7619047619047616E-2</v>
      </c>
      <c r="F148" s="69">
        <v>0.11904761904761904</v>
      </c>
      <c r="G148" s="69">
        <v>0.16666666666666666</v>
      </c>
      <c r="H148" s="69">
        <v>0.16666666666666666</v>
      </c>
      <c r="XFC148" t="s">
        <v>385</v>
      </c>
      <c r="XFD148">
        <v>1</v>
      </c>
    </row>
    <row r="149" spans="2:8 16383:16384" x14ac:dyDescent="0.35">
      <c r="B149" t="s">
        <v>243</v>
      </c>
      <c r="C149" s="69">
        <v>0.14285714285714285</v>
      </c>
      <c r="D149" s="69">
        <v>0.11904761904761904</v>
      </c>
      <c r="E149" s="69">
        <v>0.11904761904761904</v>
      </c>
      <c r="F149" s="69">
        <v>0.16666666666666666</v>
      </c>
      <c r="G149" s="69">
        <v>0.14285714285714285</v>
      </c>
      <c r="H149" s="69">
        <v>0.14285714285714285</v>
      </c>
      <c r="XFC149" t="s">
        <v>386</v>
      </c>
      <c r="XFD149">
        <v>1</v>
      </c>
    </row>
    <row r="150" spans="2:8 16383:16384" x14ac:dyDescent="0.35">
      <c r="B150" t="s">
        <v>1428</v>
      </c>
      <c r="C150" s="69">
        <v>9.5238095238095233E-2</v>
      </c>
      <c r="D150" s="69">
        <v>7.1428571428571425E-2</v>
      </c>
      <c r="E150" s="69">
        <v>4.7619047619047616E-2</v>
      </c>
      <c r="F150" s="69">
        <v>0.14285714285714285</v>
      </c>
      <c r="G150" s="69">
        <v>7.1428571428571425E-2</v>
      </c>
      <c r="H150" s="69">
        <v>0.11904761904761904</v>
      </c>
    </row>
    <row r="151" spans="2:8 16383:16384" x14ac:dyDescent="0.35">
      <c r="B151" t="s">
        <v>254</v>
      </c>
      <c r="C151" s="69">
        <v>0.11904761904761904</v>
      </c>
      <c r="D151" s="69">
        <v>9.5238095238095233E-2</v>
      </c>
      <c r="E151" s="69">
        <v>7.1428571428571425E-2</v>
      </c>
      <c r="F151" s="69">
        <v>0.16666666666666666</v>
      </c>
      <c r="G151" s="69">
        <v>0.11904761904761904</v>
      </c>
      <c r="H151" s="69">
        <v>0.11904761904761904</v>
      </c>
      <c r="XFC151" s="21" t="s">
        <v>280</v>
      </c>
      <c r="XFD151">
        <f>VLOOKUP(XFC151,$XFC$1:$XFD$149,2,FALSE)</f>
        <v>1</v>
      </c>
    </row>
    <row r="152" spans="2:8 16383:16384" x14ac:dyDescent="0.35">
      <c r="B152" t="s">
        <v>271</v>
      </c>
      <c r="C152" s="69">
        <v>0.14285714285714285</v>
      </c>
      <c r="D152" s="69">
        <v>9.5238095238095233E-2</v>
      </c>
      <c r="E152" s="69">
        <v>2.3809523809523808E-2</v>
      </c>
      <c r="F152" s="69">
        <v>0.14285714285714285</v>
      </c>
      <c r="G152" s="69">
        <v>7.1428571428571425E-2</v>
      </c>
      <c r="H152" s="69">
        <v>0.14285714285714285</v>
      </c>
      <c r="XFC152" s="21" t="s">
        <v>652</v>
      </c>
      <c r="XFD152">
        <f t="shared" ref="XFD152:XFD215" si="0">VLOOKUP(XFC152,$XFC$1:$XFD$149,2,FALSE)</f>
        <v>1</v>
      </c>
    </row>
    <row r="153" spans="2:8 16383:16384" x14ac:dyDescent="0.35">
      <c r="B153" t="s">
        <v>337</v>
      </c>
      <c r="C153" s="69">
        <v>9.5238095238095233E-2</v>
      </c>
      <c r="D153" s="69">
        <v>0.14285714285714285</v>
      </c>
      <c r="E153" s="69">
        <v>9.5238095238095233E-2</v>
      </c>
      <c r="F153" s="69">
        <v>0.14285714285714285</v>
      </c>
      <c r="G153" s="69">
        <v>7.1428571428571425E-2</v>
      </c>
      <c r="H153" s="69">
        <v>0.16666666666666666</v>
      </c>
      <c r="XFC153" s="21" t="s">
        <v>653</v>
      </c>
      <c r="XFD153">
        <f t="shared" si="0"/>
        <v>1</v>
      </c>
    </row>
    <row r="154" spans="2:8 16383:16384" x14ac:dyDescent="0.35">
      <c r="B154" t="s">
        <v>965</v>
      </c>
      <c r="C154" s="69">
        <v>9.5238095238095233E-2</v>
      </c>
      <c r="D154" s="69">
        <v>0.14285714285714285</v>
      </c>
      <c r="E154" s="69">
        <v>7.1428571428571425E-2</v>
      </c>
      <c r="F154" s="69">
        <v>0.11904761904761904</v>
      </c>
      <c r="G154" s="69">
        <v>4.7619047619047616E-2</v>
      </c>
      <c r="H154" s="69">
        <v>0.11904761904761904</v>
      </c>
      <c r="XFC154" s="21" t="s">
        <v>271</v>
      </c>
      <c r="XFD154">
        <f t="shared" si="0"/>
        <v>1</v>
      </c>
    </row>
    <row r="155" spans="2:8 16383:16384" x14ac:dyDescent="0.35">
      <c r="B155" t="s">
        <v>1466</v>
      </c>
      <c r="C155" s="69">
        <v>0.11904761904761904</v>
      </c>
      <c r="D155" s="69">
        <v>0.11904761904761904</v>
      </c>
      <c r="E155" s="69">
        <v>0.11904761904761904</v>
      </c>
      <c r="F155" s="69">
        <v>0.11904761904761904</v>
      </c>
      <c r="G155" s="69">
        <v>9.5238095238095233E-2</v>
      </c>
      <c r="H155" s="69">
        <v>0.14285714285714285</v>
      </c>
      <c r="XFC155" s="21" t="s">
        <v>301</v>
      </c>
      <c r="XFD155">
        <f t="shared" si="0"/>
        <v>1</v>
      </c>
    </row>
    <row r="156" spans="2:8 16383:16384" x14ac:dyDescent="0.35">
      <c r="B156" t="s">
        <v>950</v>
      </c>
      <c r="C156" s="69">
        <v>0.11904761904761904</v>
      </c>
      <c r="D156" s="69">
        <v>0.11904761904761904</v>
      </c>
      <c r="E156" s="69">
        <v>4.7619047619047616E-2</v>
      </c>
      <c r="F156" s="69">
        <v>0.11904761904761904</v>
      </c>
      <c r="G156" s="69">
        <v>9.5238095238095233E-2</v>
      </c>
      <c r="H156" s="69">
        <v>0.16666666666666666</v>
      </c>
      <c r="XFC156" t="s">
        <v>654</v>
      </c>
      <c r="XFD156">
        <f t="shared" si="0"/>
        <v>1</v>
      </c>
    </row>
    <row r="157" spans="2:8 16383:16384" x14ac:dyDescent="0.35">
      <c r="B157" t="s">
        <v>1167</v>
      </c>
      <c r="C157" s="69">
        <v>0.14285714285714285</v>
      </c>
      <c r="D157" s="69">
        <v>9.5238095238095233E-2</v>
      </c>
      <c r="E157" s="69">
        <v>4.7619047619047616E-2</v>
      </c>
      <c r="F157" s="69">
        <v>0.11904761904761904</v>
      </c>
      <c r="G157" s="69">
        <v>7.1428571428571425E-2</v>
      </c>
      <c r="H157" s="69">
        <v>0.14285714285714285</v>
      </c>
      <c r="XFC157" t="s">
        <v>650</v>
      </c>
      <c r="XFD157">
        <f t="shared" si="0"/>
        <v>1</v>
      </c>
    </row>
    <row r="158" spans="2:8 16383:16384" x14ac:dyDescent="0.35">
      <c r="B158" t="s">
        <v>1039</v>
      </c>
      <c r="C158" s="69">
        <v>0.14285714285714285</v>
      </c>
      <c r="D158" s="69">
        <v>0.11904761904761904</v>
      </c>
      <c r="E158" s="69">
        <v>4.7619047619047616E-2</v>
      </c>
      <c r="F158" s="69">
        <v>0.11904761904761904</v>
      </c>
      <c r="G158" s="69">
        <v>0.14285714285714285</v>
      </c>
      <c r="H158" s="69">
        <v>0.14285714285714285</v>
      </c>
      <c r="XFC158" t="s">
        <v>258</v>
      </c>
      <c r="XFD158">
        <f t="shared" si="0"/>
        <v>1</v>
      </c>
    </row>
    <row r="159" spans="2:8 16383:16384" x14ac:dyDescent="0.35">
      <c r="B159" t="s">
        <v>984</v>
      </c>
      <c r="C159" s="69">
        <v>0.16666666666666666</v>
      </c>
      <c r="D159" s="69">
        <v>0.16666666666666666</v>
      </c>
      <c r="E159" s="69">
        <v>4.7619047619047616E-2</v>
      </c>
      <c r="F159" s="69">
        <v>0.14285714285714285</v>
      </c>
      <c r="G159" s="69">
        <v>0.14285714285714285</v>
      </c>
      <c r="H159" s="69">
        <v>0.16666666666666666</v>
      </c>
      <c r="XFC159" t="s">
        <v>655</v>
      </c>
      <c r="XFD159">
        <f t="shared" si="0"/>
        <v>1</v>
      </c>
    </row>
    <row r="160" spans="2:8 16383:16384" x14ac:dyDescent="0.35">
      <c r="B160" t="s">
        <v>1420</v>
      </c>
      <c r="C160" s="69">
        <v>0.16666666666666666</v>
      </c>
      <c r="D160" s="69">
        <v>0.11904761904761904</v>
      </c>
      <c r="E160" s="69">
        <v>7.1428571428571425E-2</v>
      </c>
      <c r="F160" s="69">
        <v>9.5238095238095233E-2</v>
      </c>
      <c r="G160" s="69">
        <v>0.14285714285714285</v>
      </c>
      <c r="H160" s="69">
        <v>0.16666666666666666</v>
      </c>
      <c r="XFC160" t="s">
        <v>656</v>
      </c>
      <c r="XFD160">
        <f t="shared" si="0"/>
        <v>1</v>
      </c>
    </row>
    <row r="161" spans="2:8 16383:16384" x14ac:dyDescent="0.35">
      <c r="B161" t="s">
        <v>1042</v>
      </c>
      <c r="C161" s="69">
        <v>0.14285714285714285</v>
      </c>
      <c r="D161" s="69">
        <v>0.11904761904761904</v>
      </c>
      <c r="E161" s="69">
        <v>0.11904761904761904</v>
      </c>
      <c r="F161" s="69">
        <v>0.11904761904761904</v>
      </c>
      <c r="G161" s="69">
        <v>0.11904761904761904</v>
      </c>
      <c r="H161" s="69">
        <v>0.16666666666666666</v>
      </c>
      <c r="XFC161" t="s">
        <v>657</v>
      </c>
      <c r="XFD161">
        <f t="shared" si="0"/>
        <v>1</v>
      </c>
    </row>
    <row r="162" spans="2:8 16383:16384" x14ac:dyDescent="0.35">
      <c r="B162" t="s">
        <v>343</v>
      </c>
      <c r="C162" s="69">
        <v>0.11904761904761904</v>
      </c>
      <c r="D162" s="69">
        <v>0.14285714285714285</v>
      </c>
      <c r="E162" s="69">
        <v>4.7619047619047616E-2</v>
      </c>
      <c r="F162" s="69">
        <v>0.11904761904761904</v>
      </c>
      <c r="G162" s="69">
        <v>0.11904761904761904</v>
      </c>
      <c r="H162" s="69">
        <v>0.16666666666666666</v>
      </c>
      <c r="XFC162" t="s">
        <v>658</v>
      </c>
      <c r="XFD162">
        <f t="shared" si="0"/>
        <v>1</v>
      </c>
    </row>
    <row r="163" spans="2:8 16383:16384" x14ac:dyDescent="0.35">
      <c r="B163" t="s">
        <v>1415</v>
      </c>
      <c r="C163" s="69">
        <v>9.5238095238095233E-2</v>
      </c>
      <c r="D163" s="69">
        <v>0.11904761904761904</v>
      </c>
      <c r="E163" s="69">
        <v>7.1428571428571425E-2</v>
      </c>
      <c r="F163" s="69">
        <v>0.11904761904761904</v>
      </c>
      <c r="G163" s="69">
        <v>0.11904761904761904</v>
      </c>
      <c r="H163" s="69">
        <v>0.16666666666666666</v>
      </c>
      <c r="XFC163" t="s">
        <v>651</v>
      </c>
      <c r="XFD163">
        <f t="shared" si="0"/>
        <v>1</v>
      </c>
    </row>
    <row r="164" spans="2:8 16383:16384" x14ac:dyDescent="0.35">
      <c r="B164" t="s">
        <v>1433</v>
      </c>
      <c r="C164" s="69">
        <v>7.1428571428571425E-2</v>
      </c>
      <c r="D164" s="69">
        <v>9.5238095238095233E-2</v>
      </c>
      <c r="E164" s="69">
        <v>2.3809523809523808E-2</v>
      </c>
      <c r="F164" s="69">
        <v>0.11904761904761904</v>
      </c>
      <c r="G164" s="69">
        <v>0.14285714285714285</v>
      </c>
      <c r="H164" s="69">
        <v>9.5238095238095233E-2</v>
      </c>
      <c r="XFC164" t="s">
        <v>659</v>
      </c>
      <c r="XFD164">
        <f t="shared" si="0"/>
        <v>1</v>
      </c>
    </row>
    <row r="165" spans="2:8 16383:16384" x14ac:dyDescent="0.35">
      <c r="B165" t="s">
        <v>1524</v>
      </c>
      <c r="C165" s="69">
        <v>0.16666666666666666</v>
      </c>
      <c r="D165" s="69">
        <v>0.14285714285714285</v>
      </c>
      <c r="E165" s="69">
        <v>4.7619047619047616E-2</v>
      </c>
      <c r="F165" s="69">
        <v>0.16666666666666666</v>
      </c>
      <c r="G165" s="69">
        <v>9.5238095238095233E-2</v>
      </c>
      <c r="H165" s="69">
        <v>0.14285714285714285</v>
      </c>
      <c r="XFC165" t="s">
        <v>323</v>
      </c>
      <c r="XFD165">
        <f t="shared" si="0"/>
        <v>1</v>
      </c>
    </row>
    <row r="166" spans="2:8 16383:16384" x14ac:dyDescent="0.35">
      <c r="B166" t="s">
        <v>1523</v>
      </c>
      <c r="C166" s="69">
        <v>0.16666666666666666</v>
      </c>
      <c r="D166" s="69">
        <v>0.14285714285714285</v>
      </c>
      <c r="E166" s="69">
        <v>4.7619047619047616E-2</v>
      </c>
      <c r="F166" s="69">
        <v>0.14285714285714285</v>
      </c>
      <c r="G166" s="69">
        <v>0.16666666666666666</v>
      </c>
      <c r="H166" s="69">
        <v>0.16666666666666666</v>
      </c>
      <c r="XFC166" t="s">
        <v>242</v>
      </c>
      <c r="XFD166">
        <f t="shared" si="0"/>
        <v>1</v>
      </c>
    </row>
    <row r="167" spans="2:8 16383:16384" x14ac:dyDescent="0.35">
      <c r="B167" t="s">
        <v>1459</v>
      </c>
      <c r="C167" s="69">
        <v>0.16666666666666666</v>
      </c>
      <c r="D167" s="69">
        <v>0.14285714285714285</v>
      </c>
      <c r="E167" s="69">
        <v>0.14285714285714285</v>
      </c>
      <c r="F167" s="69">
        <v>0.14285714285714285</v>
      </c>
      <c r="G167" s="69">
        <v>0.14285714285714285</v>
      </c>
      <c r="H167" s="69">
        <v>0.16666666666666666</v>
      </c>
      <c r="XFC167" t="s">
        <v>340</v>
      </c>
      <c r="XFD167">
        <f t="shared" si="0"/>
        <v>1</v>
      </c>
    </row>
    <row r="168" spans="2:8 16383:16384" x14ac:dyDescent="0.35">
      <c r="B168" t="s">
        <v>350</v>
      </c>
      <c r="C168" s="69">
        <v>0.11904761904761904</v>
      </c>
      <c r="D168" s="69">
        <v>9.5238095238095233E-2</v>
      </c>
      <c r="E168" s="69">
        <v>0.11904761904761904</v>
      </c>
      <c r="F168" s="69">
        <v>0.16666666666666666</v>
      </c>
      <c r="G168" s="69">
        <v>0.14285714285714285</v>
      </c>
      <c r="H168" s="69">
        <v>0.11904761904761904</v>
      </c>
      <c r="XFC168" t="s">
        <v>660</v>
      </c>
      <c r="XFD168">
        <f t="shared" si="0"/>
        <v>1</v>
      </c>
    </row>
    <row r="169" spans="2:8 16383:16384" x14ac:dyDescent="0.35">
      <c r="B169" t="s">
        <v>288</v>
      </c>
      <c r="C169" s="69">
        <v>0.14285714285714285</v>
      </c>
      <c r="D169" s="69">
        <v>9.5238095238095233E-2</v>
      </c>
      <c r="E169" s="69">
        <v>2.3809523809523808E-2</v>
      </c>
      <c r="F169" s="69">
        <v>0.14285714285714285</v>
      </c>
      <c r="G169" s="69">
        <v>7.1428571428571425E-2</v>
      </c>
      <c r="H169" s="69">
        <v>0.14285714285714285</v>
      </c>
      <c r="XFC169" t="s">
        <v>251</v>
      </c>
      <c r="XFD169">
        <f t="shared" si="0"/>
        <v>1</v>
      </c>
    </row>
    <row r="170" spans="2:8 16383:16384" x14ac:dyDescent="0.35">
      <c r="B170" t="s">
        <v>1151</v>
      </c>
      <c r="C170" s="69">
        <v>0.16666666666666666</v>
      </c>
      <c r="D170" s="69">
        <v>9.5238095238095233E-2</v>
      </c>
      <c r="E170" s="69">
        <v>7.1428571428571425E-2</v>
      </c>
      <c r="F170" s="69">
        <v>0.11904761904761904</v>
      </c>
      <c r="G170" s="69">
        <v>0.11904761904761904</v>
      </c>
      <c r="H170" s="69">
        <v>0.14285714285714285</v>
      </c>
      <c r="XFC170" t="s">
        <v>661</v>
      </c>
      <c r="XFD170">
        <f t="shared" si="0"/>
        <v>1</v>
      </c>
    </row>
    <row r="171" spans="2:8 16383:16384" x14ac:dyDescent="0.35">
      <c r="B171" t="s">
        <v>1446</v>
      </c>
      <c r="C171" s="69">
        <v>0.14285714285714285</v>
      </c>
      <c r="D171" s="69">
        <v>9.5238095238095233E-2</v>
      </c>
      <c r="E171" s="69">
        <v>9.5238095238095233E-2</v>
      </c>
      <c r="F171" s="69">
        <v>0.11904761904761904</v>
      </c>
      <c r="G171" s="69">
        <v>0.16666666666666666</v>
      </c>
      <c r="H171" s="69">
        <v>0.14285714285714285</v>
      </c>
      <c r="XFC171" t="s">
        <v>257</v>
      </c>
      <c r="XFD171">
        <f t="shared" si="0"/>
        <v>1</v>
      </c>
    </row>
    <row r="172" spans="2:8 16383:16384" x14ac:dyDescent="0.35">
      <c r="B172" t="s">
        <v>1213</v>
      </c>
      <c r="C172" s="69">
        <v>0.14285714285714285</v>
      </c>
      <c r="D172" s="69">
        <v>0.14285714285714285</v>
      </c>
      <c r="E172" s="69">
        <v>0.11904761904761904</v>
      </c>
      <c r="F172" s="69">
        <v>0.11904761904761904</v>
      </c>
      <c r="G172" s="69">
        <v>0.16666666666666666</v>
      </c>
      <c r="H172" s="69">
        <v>0.14285714285714285</v>
      </c>
      <c r="XFC172" t="s">
        <v>277</v>
      </c>
      <c r="XFD172">
        <f t="shared" si="0"/>
        <v>1</v>
      </c>
    </row>
    <row r="173" spans="2:8 16383:16384" x14ac:dyDescent="0.35">
      <c r="B173" t="s">
        <v>317</v>
      </c>
      <c r="C173" s="69">
        <v>0.16666666666666666</v>
      </c>
      <c r="D173" s="69">
        <v>0.11904761904761904</v>
      </c>
      <c r="E173" s="69">
        <v>0.11904761904761904</v>
      </c>
      <c r="F173" s="69">
        <v>0.16666666666666666</v>
      </c>
      <c r="G173" s="69">
        <v>0.16666666666666666</v>
      </c>
      <c r="H173" s="69">
        <v>0.16666666666666666</v>
      </c>
      <c r="XFC173" t="s">
        <v>241</v>
      </c>
      <c r="XFD173">
        <f t="shared" si="0"/>
        <v>1</v>
      </c>
    </row>
    <row r="174" spans="2:8 16383:16384" x14ac:dyDescent="0.35">
      <c r="B174" t="s">
        <v>272</v>
      </c>
      <c r="C174" s="69">
        <v>7.1428571428571425E-2</v>
      </c>
      <c r="D174" s="69">
        <v>0.16666666666666666</v>
      </c>
      <c r="E174" s="69">
        <v>7.1428571428571425E-2</v>
      </c>
      <c r="F174" s="69">
        <v>0.11904761904761904</v>
      </c>
      <c r="G174" s="69">
        <v>9.5238095238095233E-2</v>
      </c>
      <c r="H174" s="69">
        <v>0.16666666666666666</v>
      </c>
      <c r="XFC174" t="s">
        <v>266</v>
      </c>
      <c r="XFD174">
        <f t="shared" si="0"/>
        <v>1</v>
      </c>
    </row>
    <row r="175" spans="2:8 16383:16384" x14ac:dyDescent="0.35">
      <c r="B175" t="s">
        <v>365</v>
      </c>
      <c r="C175" s="69">
        <v>0.14285714285714285</v>
      </c>
      <c r="D175" s="69">
        <v>0.14285714285714285</v>
      </c>
      <c r="E175" s="69">
        <v>7.1428571428571425E-2</v>
      </c>
      <c r="F175" s="69">
        <v>0.16666666666666666</v>
      </c>
      <c r="G175" s="69">
        <v>0.16666666666666666</v>
      </c>
      <c r="H175" s="69">
        <v>0.16666666666666666</v>
      </c>
      <c r="XFC175" t="s">
        <v>278</v>
      </c>
      <c r="XFD175">
        <f t="shared" si="0"/>
        <v>1</v>
      </c>
    </row>
    <row r="176" spans="2:8 16383:16384" x14ac:dyDescent="0.35">
      <c r="B176" t="s">
        <v>1431</v>
      </c>
      <c r="C176" s="69">
        <v>4.7619047619047616E-2</v>
      </c>
      <c r="D176" s="69">
        <v>9.5238095238095233E-2</v>
      </c>
      <c r="E176" s="69">
        <v>2.3809523809523808E-2</v>
      </c>
      <c r="F176" s="69">
        <v>0.14285714285714285</v>
      </c>
      <c r="G176" s="69">
        <v>7.1428571428571425E-2</v>
      </c>
      <c r="H176" s="69">
        <v>0.14285714285714285</v>
      </c>
      <c r="XFC176" t="s">
        <v>662</v>
      </c>
      <c r="XFD176">
        <f t="shared" si="0"/>
        <v>1</v>
      </c>
    </row>
    <row r="177" spans="2:8 16383:16384" x14ac:dyDescent="0.35">
      <c r="B177" t="s">
        <v>361</v>
      </c>
      <c r="C177" s="69">
        <v>0.11904761904761904</v>
      </c>
      <c r="D177" s="69">
        <v>0.16666666666666666</v>
      </c>
      <c r="E177" s="69">
        <v>9.5238095238095233E-2</v>
      </c>
      <c r="F177" s="69">
        <v>0.14285714285714285</v>
      </c>
      <c r="G177" s="69">
        <v>7.1428571428571425E-2</v>
      </c>
      <c r="H177" s="69">
        <v>0.16666666666666666</v>
      </c>
      <c r="XFC177" t="s">
        <v>663</v>
      </c>
      <c r="XFD177">
        <f t="shared" si="0"/>
        <v>1</v>
      </c>
    </row>
    <row r="178" spans="2:8 16383:16384" x14ac:dyDescent="0.35">
      <c r="B178" t="s">
        <v>1458</v>
      </c>
      <c r="C178" s="69">
        <v>7.1428571428571425E-2</v>
      </c>
      <c r="D178" s="69">
        <v>0.14285714285714285</v>
      </c>
      <c r="E178" s="69">
        <v>4.7619047619047616E-2</v>
      </c>
      <c r="F178" s="69">
        <v>0.14285714285714285</v>
      </c>
      <c r="G178" s="69">
        <v>0.11904761904761904</v>
      </c>
      <c r="H178" s="69">
        <v>0.16666666666666666</v>
      </c>
      <c r="XFC178" t="s">
        <v>245</v>
      </c>
      <c r="XFD178">
        <f t="shared" si="0"/>
        <v>1</v>
      </c>
    </row>
    <row r="179" spans="2:8 16383:16384" x14ac:dyDescent="0.35">
      <c r="B179" t="s">
        <v>1153</v>
      </c>
      <c r="C179" s="69">
        <v>0.14285714285714285</v>
      </c>
      <c r="D179" s="69">
        <v>9.5238095238095233E-2</v>
      </c>
      <c r="E179" s="69">
        <v>7.1428571428571425E-2</v>
      </c>
      <c r="F179" s="69">
        <v>0.11904761904761904</v>
      </c>
      <c r="G179" s="69">
        <v>9.5238095238095233E-2</v>
      </c>
      <c r="H179" s="69">
        <v>0.14285714285714285</v>
      </c>
      <c r="XFC179" t="s">
        <v>267</v>
      </c>
      <c r="XFD179">
        <f t="shared" si="0"/>
        <v>1</v>
      </c>
    </row>
    <row r="180" spans="2:8 16383:16384" x14ac:dyDescent="0.35">
      <c r="B180" t="s">
        <v>1091</v>
      </c>
      <c r="C180" s="69">
        <v>7.1428571428571425E-2</v>
      </c>
      <c r="D180" s="69">
        <v>9.5238095238095233E-2</v>
      </c>
      <c r="E180" s="69">
        <v>2.3809523809523808E-2</v>
      </c>
      <c r="F180" s="69">
        <v>0.11904761904761904</v>
      </c>
      <c r="G180" s="69">
        <v>9.5238095238095233E-2</v>
      </c>
      <c r="H180" s="69">
        <v>0.16666666666666666</v>
      </c>
      <c r="XFC180" t="s">
        <v>378</v>
      </c>
      <c r="XFD180">
        <f t="shared" si="0"/>
        <v>1</v>
      </c>
    </row>
    <row r="181" spans="2:8 16383:16384" x14ac:dyDescent="0.35">
      <c r="B181" t="s">
        <v>1427</v>
      </c>
      <c r="C181" s="69">
        <v>0.14285714285714285</v>
      </c>
      <c r="D181" s="69">
        <v>0.14285714285714285</v>
      </c>
      <c r="E181" s="69">
        <v>9.5238095238095233E-2</v>
      </c>
      <c r="F181" s="69">
        <v>0.14285714285714285</v>
      </c>
      <c r="G181" s="69">
        <v>0.11904761904761904</v>
      </c>
      <c r="H181" s="69">
        <v>0.11904761904761904</v>
      </c>
      <c r="XFC181" t="s">
        <v>344</v>
      </c>
      <c r="XFD181">
        <f t="shared" si="0"/>
        <v>1</v>
      </c>
    </row>
    <row r="182" spans="2:8 16383:16384" x14ac:dyDescent="0.35">
      <c r="B182" t="s">
        <v>259</v>
      </c>
      <c r="C182" s="69">
        <v>9.5238095238095233E-2</v>
      </c>
      <c r="D182" s="69">
        <v>9.5238095238095233E-2</v>
      </c>
      <c r="E182" s="69">
        <v>7.1428571428571425E-2</v>
      </c>
      <c r="F182" s="69">
        <v>0.11904761904761904</v>
      </c>
      <c r="G182" s="69">
        <v>0.11904761904761904</v>
      </c>
      <c r="H182" s="69">
        <v>0.14285714285714285</v>
      </c>
      <c r="XFC182" t="s">
        <v>664</v>
      </c>
      <c r="XFD182">
        <f t="shared" si="0"/>
        <v>1</v>
      </c>
    </row>
    <row r="183" spans="2:8 16383:16384" x14ac:dyDescent="0.35">
      <c r="B183" t="s">
        <v>285</v>
      </c>
      <c r="C183" s="69">
        <v>0.14285714285714285</v>
      </c>
      <c r="D183" s="69">
        <v>0.14285714285714285</v>
      </c>
      <c r="E183" s="69">
        <v>0</v>
      </c>
      <c r="F183" s="69">
        <v>0.14285714285714285</v>
      </c>
      <c r="G183" s="69">
        <v>0.16666666666666666</v>
      </c>
      <c r="H183" s="69">
        <v>0.16666666666666666</v>
      </c>
      <c r="XFC183" t="s">
        <v>665</v>
      </c>
      <c r="XFD183">
        <f t="shared" si="0"/>
        <v>1</v>
      </c>
    </row>
    <row r="184" spans="2:8 16383:16384" x14ac:dyDescent="0.35">
      <c r="B184" t="s">
        <v>325</v>
      </c>
      <c r="C184" s="69">
        <v>9.5238095238095233E-2</v>
      </c>
      <c r="D184" s="69">
        <v>0.11904761904761904</v>
      </c>
      <c r="E184" s="69">
        <v>4.7619047619047616E-2</v>
      </c>
      <c r="F184" s="69">
        <v>0.16666666666666666</v>
      </c>
      <c r="G184" s="69">
        <v>0.14285714285714285</v>
      </c>
      <c r="H184" s="69">
        <v>0.16666666666666666</v>
      </c>
      <c r="XFC184" t="s">
        <v>353</v>
      </c>
      <c r="XFD184">
        <f t="shared" si="0"/>
        <v>1</v>
      </c>
    </row>
    <row r="185" spans="2:8 16383:16384" x14ac:dyDescent="0.35">
      <c r="B185" t="s">
        <v>1434</v>
      </c>
      <c r="C185" s="69">
        <v>0.11904761904761904</v>
      </c>
      <c r="D185" s="69">
        <v>0.11904761904761904</v>
      </c>
      <c r="E185" s="69">
        <v>0</v>
      </c>
      <c r="F185" s="69">
        <v>0.14285714285714285</v>
      </c>
      <c r="G185" s="69">
        <v>0.16666666666666666</v>
      </c>
      <c r="H185" s="69">
        <v>0.14285714285714285</v>
      </c>
      <c r="XFC185" t="s">
        <v>311</v>
      </c>
      <c r="XFD185">
        <f t="shared" si="0"/>
        <v>1</v>
      </c>
    </row>
    <row r="186" spans="2:8 16383:16384" x14ac:dyDescent="0.35">
      <c r="B186" t="s">
        <v>1471</v>
      </c>
      <c r="C186" s="69">
        <v>0.16666666666666666</v>
      </c>
      <c r="D186" s="69">
        <v>0.16666666666666666</v>
      </c>
      <c r="E186" s="69">
        <v>0.16666666666666666</v>
      </c>
      <c r="F186" s="69">
        <v>0.14285714285714285</v>
      </c>
      <c r="G186" s="69">
        <v>0.16666666666666666</v>
      </c>
      <c r="H186" s="69">
        <v>0.16666666666666666</v>
      </c>
      <c r="XFC186" t="s">
        <v>666</v>
      </c>
      <c r="XFD186">
        <f t="shared" si="0"/>
        <v>1</v>
      </c>
    </row>
    <row r="187" spans="2:8 16383:16384" x14ac:dyDescent="0.35">
      <c r="B187" t="s">
        <v>381</v>
      </c>
      <c r="C187" s="69">
        <v>0.11904761904761904</v>
      </c>
      <c r="D187" s="69">
        <v>0.14285714285714285</v>
      </c>
      <c r="E187" s="69">
        <v>4.7619047619047616E-2</v>
      </c>
      <c r="F187" s="69">
        <v>0.16666666666666666</v>
      </c>
      <c r="G187" s="69">
        <v>0.14285714285714285</v>
      </c>
      <c r="H187" s="69">
        <v>0.16666666666666666</v>
      </c>
      <c r="XFC187" t="s">
        <v>667</v>
      </c>
      <c r="XFD187">
        <f t="shared" si="0"/>
        <v>1</v>
      </c>
    </row>
    <row r="188" spans="2:8 16383:16384" x14ac:dyDescent="0.35">
      <c r="B188" t="s">
        <v>930</v>
      </c>
      <c r="C188" s="69">
        <v>0.14285714285714285</v>
      </c>
      <c r="D188" s="69">
        <v>9.5238095238095233E-2</v>
      </c>
      <c r="E188" s="69">
        <v>2.3809523809523808E-2</v>
      </c>
      <c r="F188" s="69">
        <v>0.16666666666666666</v>
      </c>
      <c r="G188" s="69">
        <v>0.14285714285714285</v>
      </c>
      <c r="H188" s="69">
        <v>0.11904761904761904</v>
      </c>
      <c r="XFC188" t="s">
        <v>668</v>
      </c>
      <c r="XFD188">
        <f t="shared" si="0"/>
        <v>1</v>
      </c>
    </row>
    <row r="189" spans="2:8 16383:16384" x14ac:dyDescent="0.35">
      <c r="B189" t="s">
        <v>1414</v>
      </c>
      <c r="C189" s="69">
        <v>0.16666666666666666</v>
      </c>
      <c r="D189" s="69">
        <v>0.11904761904761904</v>
      </c>
      <c r="E189" s="69">
        <v>4.7619047619047616E-2</v>
      </c>
      <c r="F189" s="69">
        <v>0.11904761904761904</v>
      </c>
      <c r="G189" s="69">
        <v>0.16666666666666666</v>
      </c>
      <c r="H189" s="69">
        <v>0.14285714285714285</v>
      </c>
      <c r="XFC189" t="s">
        <v>320</v>
      </c>
      <c r="XFD189">
        <f t="shared" si="0"/>
        <v>1</v>
      </c>
    </row>
    <row r="190" spans="2:8 16383:16384" x14ac:dyDescent="0.35">
      <c r="B190" t="s">
        <v>274</v>
      </c>
      <c r="C190" s="69">
        <v>0.14285714285714285</v>
      </c>
      <c r="D190" s="69">
        <v>0.16666666666666666</v>
      </c>
      <c r="E190" s="69">
        <v>2.3809523809523808E-2</v>
      </c>
      <c r="F190" s="69">
        <v>0.16666666666666666</v>
      </c>
      <c r="G190" s="69">
        <v>7.1428571428571425E-2</v>
      </c>
      <c r="H190" s="69">
        <v>0.16666666666666666</v>
      </c>
      <c r="XFC190" t="s">
        <v>669</v>
      </c>
      <c r="XFD190">
        <f t="shared" si="0"/>
        <v>1</v>
      </c>
    </row>
    <row r="191" spans="2:8 16383:16384" x14ac:dyDescent="0.35">
      <c r="B191" t="s">
        <v>1477</v>
      </c>
      <c r="C191" s="69">
        <v>0.16666666666666666</v>
      </c>
      <c r="D191" s="69">
        <v>0.14285714285714285</v>
      </c>
      <c r="E191" s="69">
        <v>0.11904761904761904</v>
      </c>
      <c r="F191" s="69">
        <v>0.16666666666666666</v>
      </c>
      <c r="G191" s="69">
        <v>0.16666666666666666</v>
      </c>
      <c r="H191" s="69">
        <v>7.1428571428571425E-2</v>
      </c>
      <c r="XFC191" t="s">
        <v>670</v>
      </c>
      <c r="XFD191">
        <f t="shared" si="0"/>
        <v>1</v>
      </c>
    </row>
    <row r="192" spans="2:8 16383:16384" x14ac:dyDescent="0.35">
      <c r="B192" t="s">
        <v>299</v>
      </c>
      <c r="C192" s="69">
        <v>0.16666666666666666</v>
      </c>
      <c r="D192" s="69">
        <v>0.16666666666666666</v>
      </c>
      <c r="E192" s="69">
        <v>0.14285714285714285</v>
      </c>
      <c r="F192" s="69">
        <v>0.16666666666666666</v>
      </c>
      <c r="G192" s="69">
        <v>0.14285714285714285</v>
      </c>
      <c r="H192" s="69">
        <v>0.16666666666666666</v>
      </c>
      <c r="XFC192" t="s">
        <v>295</v>
      </c>
      <c r="XFD192">
        <f t="shared" si="0"/>
        <v>1</v>
      </c>
    </row>
    <row r="193" spans="2:8 16383:16384" x14ac:dyDescent="0.35">
      <c r="B193" t="s">
        <v>1184</v>
      </c>
      <c r="C193" s="69">
        <v>0.14285714285714285</v>
      </c>
      <c r="D193" s="69">
        <v>0.14285714285714285</v>
      </c>
      <c r="E193" s="69">
        <v>4.7619047619047616E-2</v>
      </c>
      <c r="F193" s="69">
        <v>0.16666666666666666</v>
      </c>
      <c r="G193" s="69">
        <v>0.11904761904761904</v>
      </c>
      <c r="H193" s="69">
        <v>0.16666666666666666</v>
      </c>
      <c r="XFC193" t="s">
        <v>671</v>
      </c>
      <c r="XFD193">
        <f t="shared" si="0"/>
        <v>1</v>
      </c>
    </row>
    <row r="194" spans="2:8 16383:16384" x14ac:dyDescent="0.35">
      <c r="B194" t="s">
        <v>1424</v>
      </c>
      <c r="C194" s="69">
        <v>0.14285714285714285</v>
      </c>
      <c r="D194" s="69">
        <v>0.14285714285714285</v>
      </c>
      <c r="E194" s="69">
        <v>0.14285714285714285</v>
      </c>
      <c r="F194" s="69">
        <v>9.5238095238095233E-2</v>
      </c>
      <c r="G194" s="69">
        <v>0.14285714285714285</v>
      </c>
      <c r="H194" s="69">
        <v>0.14285714285714285</v>
      </c>
      <c r="XFC194" t="s">
        <v>672</v>
      </c>
      <c r="XFD194">
        <f t="shared" si="0"/>
        <v>1</v>
      </c>
    </row>
    <row r="195" spans="2:8 16383:16384" x14ac:dyDescent="0.35">
      <c r="B195" t="s">
        <v>1416</v>
      </c>
      <c r="C195" s="69">
        <v>0.16666666666666666</v>
      </c>
      <c r="D195" s="69">
        <v>0.11904761904761904</v>
      </c>
      <c r="E195" s="69">
        <v>7.1428571428571425E-2</v>
      </c>
      <c r="F195" s="69">
        <v>0.16666666666666666</v>
      </c>
      <c r="G195" s="69">
        <v>7.1428571428571425E-2</v>
      </c>
      <c r="H195" s="69">
        <v>0.16666666666666666</v>
      </c>
      <c r="XFC195" t="s">
        <v>247</v>
      </c>
      <c r="XFD195">
        <f t="shared" si="0"/>
        <v>1</v>
      </c>
    </row>
    <row r="196" spans="2:8 16383:16384" x14ac:dyDescent="0.35">
      <c r="B196" t="s">
        <v>370</v>
      </c>
      <c r="C196" s="69">
        <v>0.11904761904761904</v>
      </c>
      <c r="D196" s="69">
        <v>0.16666666666666666</v>
      </c>
      <c r="E196" s="69">
        <v>9.5238095238095233E-2</v>
      </c>
      <c r="F196" s="69">
        <v>9.5238095238095233E-2</v>
      </c>
      <c r="G196" s="69">
        <v>0.11904761904761904</v>
      </c>
      <c r="H196" s="69">
        <v>0.16666666666666666</v>
      </c>
      <c r="XFC196" t="s">
        <v>360</v>
      </c>
      <c r="XFD196">
        <f t="shared" si="0"/>
        <v>1</v>
      </c>
    </row>
    <row r="197" spans="2:8 16383:16384" x14ac:dyDescent="0.35">
      <c r="B197" t="s">
        <v>1445</v>
      </c>
      <c r="C197" s="69">
        <v>0.14285714285714285</v>
      </c>
      <c r="D197" s="69">
        <v>0.11904761904761904</v>
      </c>
      <c r="E197" s="69">
        <v>7.1428571428571425E-2</v>
      </c>
      <c r="F197" s="69">
        <v>0.16666666666666666</v>
      </c>
      <c r="G197" s="69">
        <v>0.16666666666666666</v>
      </c>
      <c r="H197" s="69">
        <v>0.16666666666666666</v>
      </c>
      <c r="XFC197" t="s">
        <v>673</v>
      </c>
      <c r="XFD197">
        <f t="shared" si="0"/>
        <v>1</v>
      </c>
    </row>
    <row r="198" spans="2:8 16383:16384" x14ac:dyDescent="0.35">
      <c r="B198" t="s">
        <v>276</v>
      </c>
      <c r="C198" s="69">
        <v>9.5238095238095233E-2</v>
      </c>
      <c r="D198" s="69">
        <v>9.5238095238095233E-2</v>
      </c>
      <c r="E198" s="69">
        <v>2.3809523809523808E-2</v>
      </c>
      <c r="F198" s="69">
        <v>7.1428571428571425E-2</v>
      </c>
      <c r="G198" s="69">
        <v>2.3809523809523808E-2</v>
      </c>
      <c r="H198" s="69">
        <v>0.16666666666666666</v>
      </c>
      <c r="XFC198" t="s">
        <v>674</v>
      </c>
      <c r="XFD198">
        <f t="shared" si="0"/>
        <v>1</v>
      </c>
    </row>
    <row r="199" spans="2:8 16383:16384" x14ac:dyDescent="0.35">
      <c r="B199" t="s">
        <v>247</v>
      </c>
      <c r="C199" s="69">
        <v>0.11904761904761904</v>
      </c>
      <c r="D199" s="69">
        <v>0.16666666666666666</v>
      </c>
      <c r="E199" s="69">
        <v>0.11904761904761904</v>
      </c>
      <c r="F199" s="69">
        <v>0.11904761904761904</v>
      </c>
      <c r="G199" s="69">
        <v>0.11904761904761904</v>
      </c>
      <c r="H199" s="69">
        <v>0.16666666666666666</v>
      </c>
      <c r="XFC199" t="s">
        <v>675</v>
      </c>
      <c r="XFD199">
        <f t="shared" si="0"/>
        <v>1</v>
      </c>
    </row>
    <row r="200" spans="2:8 16383:16384" x14ac:dyDescent="0.35">
      <c r="B200" t="s">
        <v>266</v>
      </c>
      <c r="C200" s="69">
        <v>9.5238095238095233E-2</v>
      </c>
      <c r="D200" s="69">
        <v>9.5238095238095233E-2</v>
      </c>
      <c r="E200" s="69">
        <v>4.7619047619047616E-2</v>
      </c>
      <c r="F200" s="69">
        <v>0.14285714285714285</v>
      </c>
      <c r="G200" s="69">
        <v>0.11904761904761904</v>
      </c>
      <c r="H200" s="69">
        <v>0.14285714285714285</v>
      </c>
      <c r="XFC200" t="s">
        <v>255</v>
      </c>
      <c r="XFD200">
        <f t="shared" si="0"/>
        <v>1</v>
      </c>
    </row>
    <row r="201" spans="2:8 16383:16384" x14ac:dyDescent="0.35">
      <c r="B201" t="s">
        <v>1437</v>
      </c>
      <c r="C201" s="69">
        <v>9.5238095238095233E-2</v>
      </c>
      <c r="D201" s="69">
        <v>0.11904761904761904</v>
      </c>
      <c r="E201" s="69">
        <v>7.1428571428571425E-2</v>
      </c>
      <c r="F201" s="69">
        <v>0.16666666666666666</v>
      </c>
      <c r="G201" s="69">
        <v>0.14285714285714285</v>
      </c>
      <c r="H201" s="69">
        <v>0.14285714285714285</v>
      </c>
      <c r="XFC201" t="s">
        <v>676</v>
      </c>
      <c r="XFD201">
        <f t="shared" si="0"/>
        <v>1</v>
      </c>
    </row>
    <row r="202" spans="2:8 16383:16384" x14ac:dyDescent="0.35">
      <c r="B202" t="s">
        <v>1131</v>
      </c>
      <c r="C202" s="69">
        <v>9.5238095238095233E-2</v>
      </c>
      <c r="D202" s="69">
        <v>0.14285714285714285</v>
      </c>
      <c r="E202" s="69">
        <v>9.5238095238095233E-2</v>
      </c>
      <c r="F202" s="69">
        <v>9.5238095238095233E-2</v>
      </c>
      <c r="G202" s="69">
        <v>4.7619047619047616E-2</v>
      </c>
      <c r="H202" s="69">
        <v>0.16666666666666666</v>
      </c>
      <c r="XFC202" t="s">
        <v>293</v>
      </c>
      <c r="XFD202">
        <f t="shared" si="0"/>
        <v>1</v>
      </c>
    </row>
    <row r="203" spans="2:8 16383:16384" x14ac:dyDescent="0.35">
      <c r="B203" t="s">
        <v>880</v>
      </c>
      <c r="C203" s="69">
        <v>9.5238095238095233E-2</v>
      </c>
      <c r="D203" s="69">
        <v>0.14285714285714285</v>
      </c>
      <c r="E203" s="69">
        <v>0.14285714285714285</v>
      </c>
      <c r="F203" s="69">
        <v>0.14285714285714285</v>
      </c>
      <c r="G203" s="69">
        <v>9.5238095238095233E-2</v>
      </c>
      <c r="H203" s="69">
        <v>0.16666666666666666</v>
      </c>
      <c r="XFC203" t="s">
        <v>677</v>
      </c>
      <c r="XFD203">
        <f t="shared" si="0"/>
        <v>1</v>
      </c>
    </row>
    <row r="204" spans="2:8 16383:16384" x14ac:dyDescent="0.35">
      <c r="B204" t="s">
        <v>1465</v>
      </c>
      <c r="C204" s="69">
        <v>9.5238095238095233E-2</v>
      </c>
      <c r="D204" s="69">
        <v>0.16666666666666666</v>
      </c>
      <c r="E204" s="69">
        <v>9.5238095238095233E-2</v>
      </c>
      <c r="F204" s="69">
        <v>9.5238095238095233E-2</v>
      </c>
      <c r="G204" s="69">
        <v>4.7619047619047616E-2</v>
      </c>
      <c r="H204" s="69">
        <v>0.16666666666666666</v>
      </c>
      <c r="XFC204" t="s">
        <v>678</v>
      </c>
      <c r="XFD204">
        <f t="shared" si="0"/>
        <v>1</v>
      </c>
    </row>
    <row r="205" spans="2:8 16383:16384" x14ac:dyDescent="0.35">
      <c r="B205" t="s">
        <v>385</v>
      </c>
      <c r="C205" s="69">
        <v>0.14285714285714285</v>
      </c>
      <c r="D205" s="69">
        <v>0.11904761904761904</v>
      </c>
      <c r="E205" s="69">
        <v>7.1428571428571425E-2</v>
      </c>
      <c r="F205" s="69">
        <v>0.16666666666666666</v>
      </c>
      <c r="G205" s="69">
        <v>0.11904761904761904</v>
      </c>
      <c r="H205" s="69">
        <v>0.14285714285714285</v>
      </c>
      <c r="XFC205" t="s">
        <v>679</v>
      </c>
      <c r="XFD205">
        <f t="shared" si="0"/>
        <v>1</v>
      </c>
    </row>
    <row r="206" spans="2:8 16383:16384" x14ac:dyDescent="0.35">
      <c r="B206" t="s">
        <v>297</v>
      </c>
      <c r="C206" s="69">
        <v>9.5238095238095233E-2</v>
      </c>
      <c r="D206" s="69">
        <v>9.5238095238095233E-2</v>
      </c>
      <c r="E206" s="69">
        <v>4.7619047619047616E-2</v>
      </c>
      <c r="F206" s="69">
        <v>0.11904761904761904</v>
      </c>
      <c r="G206" s="69">
        <v>9.5238095238095233E-2</v>
      </c>
      <c r="H206" s="69">
        <v>0.11904761904761904</v>
      </c>
      <c r="XFC206" t="s">
        <v>342</v>
      </c>
      <c r="XFD206">
        <f t="shared" si="0"/>
        <v>1</v>
      </c>
    </row>
    <row r="207" spans="2:8 16383:16384" x14ac:dyDescent="0.35">
      <c r="B207" t="s">
        <v>336</v>
      </c>
      <c r="C207" s="69">
        <v>0.11904761904761904</v>
      </c>
      <c r="D207" s="69">
        <v>0.14285714285714285</v>
      </c>
      <c r="E207" s="69">
        <v>9.5238095238095233E-2</v>
      </c>
      <c r="F207" s="69">
        <v>0.16666666666666666</v>
      </c>
      <c r="G207" s="69">
        <v>0.16666666666666666</v>
      </c>
      <c r="H207" s="69">
        <v>0.16666666666666666</v>
      </c>
      <c r="XFC207" t="s">
        <v>680</v>
      </c>
      <c r="XFD207">
        <f t="shared" si="0"/>
        <v>1</v>
      </c>
    </row>
    <row r="208" spans="2:8 16383:16384" x14ac:dyDescent="0.35">
      <c r="B208" t="s">
        <v>339</v>
      </c>
      <c r="C208" s="69">
        <v>0.11904761904761904</v>
      </c>
      <c r="D208" s="69">
        <v>0.16666666666666666</v>
      </c>
      <c r="E208" s="69">
        <v>7.1428571428571425E-2</v>
      </c>
      <c r="F208" s="69">
        <v>0.14285714285714285</v>
      </c>
      <c r="G208" s="69">
        <v>0.16666666666666666</v>
      </c>
      <c r="H208" s="69">
        <v>0.16666666666666666</v>
      </c>
      <c r="XFC208" t="s">
        <v>681</v>
      </c>
      <c r="XFD208">
        <f t="shared" si="0"/>
        <v>1</v>
      </c>
    </row>
    <row r="209" spans="2:8 16383:16384" x14ac:dyDescent="0.35">
      <c r="B209" t="s">
        <v>356</v>
      </c>
      <c r="C209" s="69">
        <v>0.14285714285714285</v>
      </c>
      <c r="D209" s="69">
        <v>0.11904761904761904</v>
      </c>
      <c r="E209" s="69">
        <v>9.5238095238095233E-2</v>
      </c>
      <c r="F209" s="69">
        <v>0.14285714285714285</v>
      </c>
      <c r="G209" s="69">
        <v>2.3809523809523808E-2</v>
      </c>
      <c r="H209" s="69">
        <v>0.14285714285714285</v>
      </c>
      <c r="XFC209" t="s">
        <v>682</v>
      </c>
      <c r="XFD209">
        <f t="shared" si="0"/>
        <v>1</v>
      </c>
    </row>
    <row r="210" spans="2:8 16383:16384" x14ac:dyDescent="0.35">
      <c r="B210" t="s">
        <v>1004</v>
      </c>
      <c r="C210" s="69">
        <v>0.14285714285714285</v>
      </c>
      <c r="D210" s="69">
        <v>0.11904761904761904</v>
      </c>
      <c r="E210" s="69">
        <v>7.1428571428571425E-2</v>
      </c>
      <c r="F210" s="69">
        <v>0.11904761904761904</v>
      </c>
      <c r="G210" s="69">
        <v>0.16666666666666666</v>
      </c>
      <c r="H210" s="69">
        <v>0.14285714285714285</v>
      </c>
      <c r="XFC210" t="s">
        <v>371</v>
      </c>
      <c r="XFD210">
        <f t="shared" si="0"/>
        <v>1</v>
      </c>
    </row>
    <row r="211" spans="2:8 16383:16384" x14ac:dyDescent="0.35">
      <c r="B211" t="s">
        <v>255</v>
      </c>
      <c r="C211" s="69">
        <v>0.11904761904761904</v>
      </c>
      <c r="D211" s="69">
        <v>0.14285714285714285</v>
      </c>
      <c r="E211" s="69">
        <v>0.11904761904761904</v>
      </c>
      <c r="F211" s="69">
        <v>0.14285714285714285</v>
      </c>
      <c r="G211" s="69">
        <v>0.14285714285714285</v>
      </c>
      <c r="H211" s="69">
        <v>0.16666666666666666</v>
      </c>
      <c r="XFC211" t="s">
        <v>683</v>
      </c>
      <c r="XFD211">
        <f t="shared" si="0"/>
        <v>1</v>
      </c>
    </row>
    <row r="212" spans="2:8 16383:16384" x14ac:dyDescent="0.35">
      <c r="B212" t="s">
        <v>1073</v>
      </c>
      <c r="C212" s="69">
        <v>0.11904761904761904</v>
      </c>
      <c r="D212" s="69">
        <v>0.16666666666666666</v>
      </c>
      <c r="E212" s="69">
        <v>0.14285714285714285</v>
      </c>
      <c r="F212" s="69">
        <v>0.11904761904761904</v>
      </c>
      <c r="G212" s="69">
        <v>0.14285714285714285</v>
      </c>
      <c r="H212" s="69">
        <v>0.14285714285714285</v>
      </c>
      <c r="XFC212" t="s">
        <v>346</v>
      </c>
      <c r="XFD212">
        <f t="shared" si="0"/>
        <v>1</v>
      </c>
    </row>
    <row r="213" spans="2:8 16383:16384" x14ac:dyDescent="0.35">
      <c r="B213" t="s">
        <v>934</v>
      </c>
      <c r="C213" s="69">
        <v>7.1428571428571425E-2</v>
      </c>
      <c r="D213" s="69">
        <v>0.16666666666666666</v>
      </c>
      <c r="E213" s="69">
        <v>9.5238095238095233E-2</v>
      </c>
      <c r="F213" s="69">
        <v>0.14285714285714285</v>
      </c>
      <c r="G213" s="69">
        <v>9.5238095238095233E-2</v>
      </c>
      <c r="H213" s="69">
        <v>0.16666666666666666</v>
      </c>
      <c r="XFC213" t="s">
        <v>684</v>
      </c>
      <c r="XFD213">
        <f t="shared" si="0"/>
        <v>1</v>
      </c>
    </row>
    <row r="214" spans="2:8 16383:16384" x14ac:dyDescent="0.35">
      <c r="B214" t="s">
        <v>262</v>
      </c>
      <c r="C214" s="69">
        <v>0.11904761904761904</v>
      </c>
      <c r="D214" s="69">
        <v>9.5238095238095233E-2</v>
      </c>
      <c r="E214" s="69">
        <v>7.1428571428571425E-2</v>
      </c>
      <c r="F214" s="69">
        <v>0.11904761904761904</v>
      </c>
      <c r="G214" s="69">
        <v>7.1428571428571425E-2</v>
      </c>
      <c r="H214" s="69">
        <v>0.16666666666666666</v>
      </c>
      <c r="XFC214" t="s">
        <v>581</v>
      </c>
      <c r="XFD214">
        <f t="shared" si="0"/>
        <v>1</v>
      </c>
    </row>
    <row r="215" spans="2:8 16383:16384" x14ac:dyDescent="0.35">
      <c r="B215" t="s">
        <v>344</v>
      </c>
      <c r="C215" s="69">
        <v>0.11904761904761904</v>
      </c>
      <c r="D215" s="69">
        <v>0.11904761904761904</v>
      </c>
      <c r="E215" s="69">
        <v>0.11904761904761904</v>
      </c>
      <c r="F215" s="69">
        <v>0.16666666666666666</v>
      </c>
      <c r="G215" s="69">
        <v>2.3809523809523808E-2</v>
      </c>
      <c r="H215" s="69">
        <v>0.16666666666666666</v>
      </c>
      <c r="XFC215" t="s">
        <v>685</v>
      </c>
      <c r="XFD215">
        <f t="shared" si="0"/>
        <v>1</v>
      </c>
    </row>
    <row r="216" spans="2:8 16383:16384" x14ac:dyDescent="0.35">
      <c r="B216" t="s">
        <v>265</v>
      </c>
      <c r="C216" s="69">
        <v>0.11904761904761904</v>
      </c>
      <c r="D216" s="69">
        <v>0.16666666666666666</v>
      </c>
      <c r="E216" s="69">
        <v>7.1428571428571425E-2</v>
      </c>
      <c r="F216" s="69">
        <v>0.14285714285714285</v>
      </c>
      <c r="G216" s="69">
        <v>0.16666666666666666</v>
      </c>
      <c r="H216" s="69">
        <v>0.16666666666666666</v>
      </c>
      <c r="XFC216" t="s">
        <v>292</v>
      </c>
      <c r="XFD216">
        <f t="shared" ref="XFD216:XFD279" si="1">VLOOKUP(XFC216,$XFC$1:$XFD$149,2,FALSE)</f>
        <v>1</v>
      </c>
    </row>
    <row r="217" spans="2:8 16383:16384" x14ac:dyDescent="0.35">
      <c r="B217" t="s">
        <v>242</v>
      </c>
      <c r="C217" s="69">
        <v>9.5238095238095233E-2</v>
      </c>
      <c r="D217" s="69">
        <v>0.14285714285714285</v>
      </c>
      <c r="E217" s="69">
        <v>2.3809523809523808E-2</v>
      </c>
      <c r="F217" s="69">
        <v>0.11904761904761904</v>
      </c>
      <c r="G217" s="69">
        <v>9.5238095238095233E-2</v>
      </c>
      <c r="H217" s="69">
        <v>0.16666666666666666</v>
      </c>
      <c r="XFC217" t="s">
        <v>686</v>
      </c>
      <c r="XFD217">
        <f t="shared" si="1"/>
        <v>1</v>
      </c>
    </row>
    <row r="218" spans="2:8 16383:16384" x14ac:dyDescent="0.35">
      <c r="B218" t="s">
        <v>354</v>
      </c>
      <c r="C218" s="69">
        <v>0.16666666666666666</v>
      </c>
      <c r="D218" s="69">
        <v>0.16666666666666666</v>
      </c>
      <c r="E218" s="69">
        <v>2.3809523809523808E-2</v>
      </c>
      <c r="F218" s="69">
        <v>0.14285714285714285</v>
      </c>
      <c r="G218" s="69">
        <v>0.16666666666666666</v>
      </c>
      <c r="H218" s="69">
        <v>0.16666666666666666</v>
      </c>
      <c r="XFC218" t="s">
        <v>379</v>
      </c>
      <c r="XFD218">
        <f t="shared" si="1"/>
        <v>1</v>
      </c>
    </row>
    <row r="219" spans="2:8 16383:16384" x14ac:dyDescent="0.35">
      <c r="B219" t="s">
        <v>273</v>
      </c>
      <c r="C219" s="69">
        <v>9.5238095238095233E-2</v>
      </c>
      <c r="D219" s="69">
        <v>4.7619047619047616E-2</v>
      </c>
      <c r="E219" s="69">
        <v>4.7619047619047616E-2</v>
      </c>
      <c r="F219" s="69">
        <v>0.11904761904761904</v>
      </c>
      <c r="G219" s="69">
        <v>2.3809523809523808E-2</v>
      </c>
      <c r="H219" s="69">
        <v>0.14285714285714285</v>
      </c>
      <c r="XFC219" t="s">
        <v>687</v>
      </c>
      <c r="XFD219">
        <f t="shared" si="1"/>
        <v>1</v>
      </c>
    </row>
    <row r="220" spans="2:8 16383:16384" x14ac:dyDescent="0.35">
      <c r="B220" t="s">
        <v>1456</v>
      </c>
      <c r="C220" s="69">
        <v>0.11904761904761904</v>
      </c>
      <c r="D220" s="69">
        <v>0.11904761904761904</v>
      </c>
      <c r="E220" s="69">
        <v>0.14285714285714285</v>
      </c>
      <c r="F220" s="69">
        <v>0.14285714285714285</v>
      </c>
      <c r="G220" s="69">
        <v>9.5238095238095233E-2</v>
      </c>
      <c r="H220" s="69">
        <v>0.16666666666666666</v>
      </c>
      <c r="XFC220" t="s">
        <v>349</v>
      </c>
      <c r="XFD220">
        <f t="shared" si="1"/>
        <v>1</v>
      </c>
    </row>
    <row r="221" spans="2:8 16383:16384" x14ac:dyDescent="0.35">
      <c r="B221" t="s">
        <v>257</v>
      </c>
      <c r="C221" s="69">
        <v>0.11904761904761904</v>
      </c>
      <c r="D221" s="69">
        <v>0.16666666666666666</v>
      </c>
      <c r="E221" s="69">
        <v>0.14285714285714285</v>
      </c>
      <c r="F221" s="69">
        <v>0.16666666666666666</v>
      </c>
      <c r="G221" s="69">
        <v>0.14285714285714285</v>
      </c>
      <c r="H221" s="69">
        <v>0.16666666666666666</v>
      </c>
      <c r="XFC221" t="s">
        <v>313</v>
      </c>
      <c r="XFD221">
        <f t="shared" si="1"/>
        <v>1</v>
      </c>
    </row>
    <row r="222" spans="2:8 16383:16384" x14ac:dyDescent="0.35">
      <c r="B222" t="s">
        <v>383</v>
      </c>
      <c r="C222" s="69">
        <v>7.1428571428571425E-2</v>
      </c>
      <c r="D222" s="69">
        <v>0.11904761904761904</v>
      </c>
      <c r="E222" s="69">
        <v>2.3809523809523808E-2</v>
      </c>
      <c r="F222" s="69">
        <v>7.1428571428571425E-2</v>
      </c>
      <c r="G222" s="69">
        <v>0.11904761904761904</v>
      </c>
      <c r="H222" s="69">
        <v>0.14285714285714285</v>
      </c>
      <c r="XFC222" t="s">
        <v>291</v>
      </c>
      <c r="XFD222">
        <f t="shared" si="1"/>
        <v>1</v>
      </c>
    </row>
    <row r="223" spans="2:8 16383:16384" x14ac:dyDescent="0.35">
      <c r="B223" t="s">
        <v>1425</v>
      </c>
      <c r="C223" s="69">
        <v>4.7619047619047616E-2</v>
      </c>
      <c r="D223" s="69">
        <v>0.11904761904761904</v>
      </c>
      <c r="E223" s="69">
        <v>0.14285714285714285</v>
      </c>
      <c r="F223" s="69">
        <v>0.14285714285714285</v>
      </c>
      <c r="G223" s="69">
        <v>9.5238095238095233E-2</v>
      </c>
      <c r="H223" s="69">
        <v>0.14285714285714285</v>
      </c>
      <c r="XFC223" t="s">
        <v>688</v>
      </c>
      <c r="XFD223">
        <f t="shared" si="1"/>
        <v>1</v>
      </c>
    </row>
    <row r="224" spans="2:8 16383:16384" x14ac:dyDescent="0.35">
      <c r="B224" t="s">
        <v>992</v>
      </c>
      <c r="C224" s="69">
        <v>9.5238095238095233E-2</v>
      </c>
      <c r="D224" s="69">
        <v>0.16666666666666666</v>
      </c>
      <c r="E224" s="69">
        <v>7.1428571428571425E-2</v>
      </c>
      <c r="F224" s="69">
        <v>9.5238095238095233E-2</v>
      </c>
      <c r="G224" s="69">
        <v>4.7619047619047616E-2</v>
      </c>
      <c r="H224" s="69">
        <v>0.16666666666666666</v>
      </c>
      <c r="XFC224" t="s">
        <v>309</v>
      </c>
      <c r="XFD224">
        <f t="shared" si="1"/>
        <v>1</v>
      </c>
    </row>
    <row r="225" spans="2:8 16383:16384" x14ac:dyDescent="0.35">
      <c r="B225" t="s">
        <v>1156</v>
      </c>
      <c r="C225" s="69">
        <v>0.11904761904761904</v>
      </c>
      <c r="D225" s="69">
        <v>0.14285714285714285</v>
      </c>
      <c r="E225" s="69">
        <v>0</v>
      </c>
      <c r="F225" s="69">
        <v>9.5238095238095233E-2</v>
      </c>
      <c r="G225" s="69">
        <v>0.14285714285714285</v>
      </c>
      <c r="H225" s="69">
        <v>0.14285714285714285</v>
      </c>
      <c r="XFC225" t="s">
        <v>689</v>
      </c>
      <c r="XFD225">
        <f t="shared" si="1"/>
        <v>1</v>
      </c>
    </row>
    <row r="226" spans="2:8 16383:16384" x14ac:dyDescent="0.35">
      <c r="B226" t="s">
        <v>940</v>
      </c>
      <c r="C226" s="69">
        <v>0.11904761904761904</v>
      </c>
      <c r="D226" s="69">
        <v>0.16666666666666666</v>
      </c>
      <c r="E226" s="69">
        <v>0.11904761904761904</v>
      </c>
      <c r="F226" s="69">
        <v>0.11904761904761904</v>
      </c>
      <c r="G226" s="69">
        <v>9.5238095238095233E-2</v>
      </c>
      <c r="H226" s="69">
        <v>0.16666666666666666</v>
      </c>
      <c r="XFC226" t="s">
        <v>282</v>
      </c>
      <c r="XFD226">
        <f t="shared" si="1"/>
        <v>1</v>
      </c>
    </row>
    <row r="227" spans="2:8 16383:16384" x14ac:dyDescent="0.35">
      <c r="B227" t="s">
        <v>1462</v>
      </c>
      <c r="C227" s="69">
        <v>9.5238095238095233E-2</v>
      </c>
      <c r="D227" s="69">
        <v>9.5238095238095233E-2</v>
      </c>
      <c r="E227" s="69">
        <v>0</v>
      </c>
      <c r="F227" s="69">
        <v>0.16666666666666666</v>
      </c>
      <c r="G227" s="69">
        <v>2.3809523809523808E-2</v>
      </c>
      <c r="H227" s="69">
        <v>0.16666666666666666</v>
      </c>
      <c r="XFC227" t="s">
        <v>352</v>
      </c>
      <c r="XFD227">
        <f t="shared" si="1"/>
        <v>1</v>
      </c>
    </row>
    <row r="228" spans="2:8 16383:16384" x14ac:dyDescent="0.35">
      <c r="B228" t="s">
        <v>331</v>
      </c>
      <c r="C228" s="69">
        <v>4.7619047619047616E-2</v>
      </c>
      <c r="D228" s="69">
        <v>0.16666666666666666</v>
      </c>
      <c r="E228" s="69">
        <v>7.1428571428571425E-2</v>
      </c>
      <c r="F228" s="69">
        <v>0.11904761904761904</v>
      </c>
      <c r="G228" s="69">
        <v>0.11904761904761904</v>
      </c>
      <c r="H228" s="69">
        <v>0.14285714285714285</v>
      </c>
      <c r="XFC228" t="s">
        <v>690</v>
      </c>
      <c r="XFD228">
        <f t="shared" si="1"/>
        <v>1</v>
      </c>
    </row>
    <row r="229" spans="2:8 16383:16384" x14ac:dyDescent="0.35">
      <c r="B229" t="s">
        <v>282</v>
      </c>
      <c r="C229" s="69">
        <v>7.1428571428571425E-2</v>
      </c>
      <c r="D229" s="69">
        <v>0.16666666666666666</v>
      </c>
      <c r="E229" s="69">
        <v>0.14285714285714285</v>
      </c>
      <c r="F229" s="69">
        <v>0.14285714285714285</v>
      </c>
      <c r="G229" s="69">
        <v>7.1428571428571425E-2</v>
      </c>
      <c r="H229" s="69">
        <v>0.16666666666666666</v>
      </c>
      <c r="XFC229" t="s">
        <v>583</v>
      </c>
      <c r="XFD229">
        <f t="shared" si="1"/>
        <v>1</v>
      </c>
    </row>
    <row r="230" spans="2:8 16383:16384" x14ac:dyDescent="0.35">
      <c r="B230" t="s">
        <v>261</v>
      </c>
      <c r="C230" s="69">
        <v>0.16666666666666666</v>
      </c>
      <c r="D230" s="69">
        <v>0.16666666666666666</v>
      </c>
      <c r="E230" s="69">
        <v>0.11904761904761904</v>
      </c>
      <c r="F230" s="69">
        <v>0.16666666666666666</v>
      </c>
      <c r="G230" s="69">
        <v>0.11904761904761904</v>
      </c>
      <c r="H230" s="69">
        <v>0.16666666666666666</v>
      </c>
      <c r="XFC230" t="s">
        <v>691</v>
      </c>
      <c r="XFD230">
        <f t="shared" si="1"/>
        <v>1</v>
      </c>
    </row>
    <row r="231" spans="2:8 16383:16384" x14ac:dyDescent="0.35">
      <c r="B231" t="s">
        <v>953</v>
      </c>
      <c r="C231" s="69">
        <v>4.7619047619047616E-2</v>
      </c>
      <c r="D231" s="69">
        <v>0.16666666666666666</v>
      </c>
      <c r="E231" s="69">
        <v>4.7619047619047616E-2</v>
      </c>
      <c r="F231" s="69">
        <v>0.11904761904761904</v>
      </c>
      <c r="G231" s="69">
        <v>0.14285714285714285</v>
      </c>
      <c r="H231" s="69">
        <v>0.16666666666666666</v>
      </c>
      <c r="XFC231" t="s">
        <v>269</v>
      </c>
      <c r="XFD231">
        <f t="shared" si="1"/>
        <v>1</v>
      </c>
    </row>
    <row r="232" spans="2:8 16383:16384" x14ac:dyDescent="0.35">
      <c r="B232" t="s">
        <v>1438</v>
      </c>
      <c r="C232" s="69">
        <v>9.5238095238095233E-2</v>
      </c>
      <c r="D232" s="69">
        <v>0.11904761904761904</v>
      </c>
      <c r="E232" s="69">
        <v>0.11904761904761904</v>
      </c>
      <c r="F232" s="69">
        <v>0.11904761904761904</v>
      </c>
      <c r="G232" s="69">
        <v>0.14285714285714285</v>
      </c>
      <c r="H232" s="69">
        <v>0.11904761904761904</v>
      </c>
      <c r="XFC232" t="s">
        <v>692</v>
      </c>
      <c r="XFD232">
        <f t="shared" si="1"/>
        <v>1</v>
      </c>
    </row>
    <row r="233" spans="2:8 16383:16384" x14ac:dyDescent="0.35">
      <c r="B233" t="s">
        <v>1436</v>
      </c>
      <c r="C233" s="69">
        <v>0.11904761904761904</v>
      </c>
      <c r="D233" s="69">
        <v>0.16666666666666666</v>
      </c>
      <c r="E233" s="69">
        <v>0.14285714285714285</v>
      </c>
      <c r="F233" s="69">
        <v>9.5238095238095233E-2</v>
      </c>
      <c r="G233" s="69">
        <v>0.16666666666666666</v>
      </c>
      <c r="H233" s="69">
        <v>0.16666666666666666</v>
      </c>
      <c r="XFC233" t="s">
        <v>365</v>
      </c>
      <c r="XFD233">
        <f t="shared" si="1"/>
        <v>1</v>
      </c>
    </row>
    <row r="234" spans="2:8 16383:16384" x14ac:dyDescent="0.35">
      <c r="B234" t="s">
        <v>373</v>
      </c>
      <c r="C234" s="69">
        <v>0.16666666666666666</v>
      </c>
      <c r="D234" s="69">
        <v>0.16666666666666666</v>
      </c>
      <c r="E234" s="69">
        <v>0.14285714285714285</v>
      </c>
      <c r="F234" s="69">
        <v>0.16666666666666666</v>
      </c>
      <c r="G234" s="69">
        <v>0.14285714285714285</v>
      </c>
      <c r="H234" s="69">
        <v>0.16666666666666666</v>
      </c>
      <c r="XFC234" t="s">
        <v>268</v>
      </c>
      <c r="XFD234">
        <f t="shared" si="1"/>
        <v>1</v>
      </c>
    </row>
    <row r="235" spans="2:8 16383:16384" x14ac:dyDescent="0.35">
      <c r="B235" t="s">
        <v>1412</v>
      </c>
      <c r="C235" s="69">
        <v>7.1428571428571425E-2</v>
      </c>
      <c r="D235" s="69">
        <v>0.14285714285714285</v>
      </c>
      <c r="E235" s="69">
        <v>2.3809523809523808E-2</v>
      </c>
      <c r="F235" s="69">
        <v>0.11904761904761904</v>
      </c>
      <c r="G235" s="69">
        <v>9.5238095238095233E-2</v>
      </c>
      <c r="H235" s="69">
        <v>0.14285714285714285</v>
      </c>
      <c r="XFC235" t="s">
        <v>374</v>
      </c>
      <c r="XFD235">
        <f t="shared" si="1"/>
        <v>1</v>
      </c>
    </row>
    <row r="236" spans="2:8 16383:16384" x14ac:dyDescent="0.35">
      <c r="B236" t="s">
        <v>1095</v>
      </c>
      <c r="C236" s="69">
        <v>0.14285714285714285</v>
      </c>
      <c r="D236" s="69">
        <v>0.14285714285714285</v>
      </c>
      <c r="E236" s="69">
        <v>4.7619047619047616E-2</v>
      </c>
      <c r="F236" s="69">
        <v>4.7619047619047616E-2</v>
      </c>
      <c r="G236" s="69">
        <v>7.1428571428571425E-2</v>
      </c>
      <c r="H236" s="69">
        <v>0.11904761904761904</v>
      </c>
      <c r="XFC236" t="s">
        <v>284</v>
      </c>
      <c r="XFD236">
        <f t="shared" si="1"/>
        <v>1</v>
      </c>
    </row>
    <row r="237" spans="2:8 16383:16384" x14ac:dyDescent="0.35">
      <c r="B237" t="s">
        <v>319</v>
      </c>
      <c r="C237" s="69">
        <v>0.11904761904761904</v>
      </c>
      <c r="D237" s="69">
        <v>0.16666666666666666</v>
      </c>
      <c r="E237" s="69">
        <v>4.7619047619047616E-2</v>
      </c>
      <c r="F237" s="69">
        <v>0.14285714285714285</v>
      </c>
      <c r="G237" s="69">
        <v>0.14285714285714285</v>
      </c>
      <c r="H237" s="69">
        <v>0.16666666666666666</v>
      </c>
      <c r="XFC237" t="s">
        <v>275</v>
      </c>
      <c r="XFD237">
        <f t="shared" si="1"/>
        <v>1</v>
      </c>
    </row>
    <row r="238" spans="2:8 16383:16384" x14ac:dyDescent="0.35">
      <c r="B238" t="s">
        <v>1475</v>
      </c>
      <c r="C238" s="69">
        <v>0.11904761904761904</v>
      </c>
      <c r="D238" s="69">
        <v>0.14285714285714285</v>
      </c>
      <c r="E238" s="69">
        <v>0.11904761904761904</v>
      </c>
      <c r="F238" s="69">
        <v>0.16666666666666666</v>
      </c>
      <c r="G238" s="69">
        <v>9.5238095238095233E-2</v>
      </c>
      <c r="H238" s="69">
        <v>0.16666666666666666</v>
      </c>
      <c r="XFC238" t="s">
        <v>276</v>
      </c>
      <c r="XFD238">
        <f t="shared" si="1"/>
        <v>1</v>
      </c>
    </row>
    <row r="239" spans="2:8 16383:16384" x14ac:dyDescent="0.35">
      <c r="B239" t="s">
        <v>342</v>
      </c>
      <c r="C239" s="69">
        <v>9.5238095238095233E-2</v>
      </c>
      <c r="D239" s="69">
        <v>0.14285714285714285</v>
      </c>
      <c r="E239" s="69">
        <v>9.5238095238095233E-2</v>
      </c>
      <c r="F239" s="69">
        <v>9.5238095238095233E-2</v>
      </c>
      <c r="G239" s="69">
        <v>0.11904761904761904</v>
      </c>
      <c r="H239" s="69">
        <v>0.16666666666666666</v>
      </c>
      <c r="XFC239" t="s">
        <v>318</v>
      </c>
      <c r="XFD239">
        <f t="shared" si="1"/>
        <v>1</v>
      </c>
    </row>
    <row r="240" spans="2:8 16383:16384" x14ac:dyDescent="0.35">
      <c r="B240" t="s">
        <v>384</v>
      </c>
      <c r="C240" s="69">
        <v>9.5238095238095233E-2</v>
      </c>
      <c r="D240" s="69">
        <v>0.14285714285714285</v>
      </c>
      <c r="E240" s="69">
        <v>7.1428571428571425E-2</v>
      </c>
      <c r="F240" s="69">
        <v>0.11904761904761904</v>
      </c>
      <c r="G240" s="69">
        <v>0.11904761904761904</v>
      </c>
      <c r="H240" s="69">
        <v>0.16666666666666666</v>
      </c>
      <c r="XFC240" t="s">
        <v>294</v>
      </c>
      <c r="XFD240">
        <f t="shared" si="1"/>
        <v>1</v>
      </c>
    </row>
    <row r="241" spans="2:8 16383:16384" x14ac:dyDescent="0.35">
      <c r="B241" t="s">
        <v>367</v>
      </c>
      <c r="C241" s="69">
        <v>0.11904761904761904</v>
      </c>
      <c r="D241" s="69">
        <v>9.5238095238095233E-2</v>
      </c>
      <c r="E241" s="69">
        <v>9.5238095238095233E-2</v>
      </c>
      <c r="F241" s="69">
        <v>0.16666666666666666</v>
      </c>
      <c r="G241" s="69">
        <v>4.7619047619047616E-2</v>
      </c>
      <c r="H241" s="69">
        <v>0.14285714285714285</v>
      </c>
      <c r="XFC241" t="s">
        <v>693</v>
      </c>
      <c r="XFD241">
        <f t="shared" si="1"/>
        <v>1</v>
      </c>
    </row>
    <row r="242" spans="2:8 16383:16384" x14ac:dyDescent="0.35">
      <c r="B242" t="s">
        <v>1454</v>
      </c>
      <c r="C242" s="69">
        <v>7.1428571428571425E-2</v>
      </c>
      <c r="D242" s="69">
        <v>0.14285714285714285</v>
      </c>
      <c r="E242" s="69">
        <v>9.5238095238095233E-2</v>
      </c>
      <c r="F242" s="69">
        <v>0.14285714285714285</v>
      </c>
      <c r="G242" s="69">
        <v>9.5238095238095233E-2</v>
      </c>
      <c r="H242" s="69">
        <v>0.16666666666666666</v>
      </c>
      <c r="XFC242" t="s">
        <v>270</v>
      </c>
      <c r="XFD242">
        <f t="shared" si="1"/>
        <v>1</v>
      </c>
    </row>
    <row r="243" spans="2:8 16383:16384" x14ac:dyDescent="0.35">
      <c r="B243" t="s">
        <v>584</v>
      </c>
      <c r="C243" s="69">
        <v>0.11904761904761904</v>
      </c>
      <c r="D243" s="69">
        <v>0.11904761904761904</v>
      </c>
      <c r="E243" s="69">
        <v>7.1428571428571425E-2</v>
      </c>
      <c r="F243" s="69">
        <v>9.5238095238095233E-2</v>
      </c>
      <c r="G243" s="69">
        <v>0.11904761904761904</v>
      </c>
      <c r="H243" s="69">
        <v>0.16666666666666666</v>
      </c>
      <c r="XFC243" t="s">
        <v>297</v>
      </c>
      <c r="XFD243">
        <f t="shared" si="1"/>
        <v>1</v>
      </c>
    </row>
    <row r="244" spans="2:8 16383:16384" x14ac:dyDescent="0.35">
      <c r="B244" t="s">
        <v>975</v>
      </c>
      <c r="C244" s="69">
        <v>7.1428571428571425E-2</v>
      </c>
      <c r="D244" s="69">
        <v>7.1428571428571425E-2</v>
      </c>
      <c r="E244" s="69">
        <v>9.5238095238095233E-2</v>
      </c>
      <c r="F244" s="69">
        <v>0.14285714285714285</v>
      </c>
      <c r="G244" s="69">
        <v>9.5238095238095233E-2</v>
      </c>
      <c r="H244" s="69">
        <v>0.16666666666666666</v>
      </c>
      <c r="XFC244" t="s">
        <v>359</v>
      </c>
      <c r="XFD244">
        <f t="shared" si="1"/>
        <v>1</v>
      </c>
    </row>
    <row r="245" spans="2:8 16383:16384" x14ac:dyDescent="0.35">
      <c r="B245" t="s">
        <v>308</v>
      </c>
      <c r="C245" s="69">
        <v>0.14285714285714285</v>
      </c>
      <c r="D245" s="69">
        <v>9.5238095238095233E-2</v>
      </c>
      <c r="E245" s="69">
        <v>7.1428571428571425E-2</v>
      </c>
      <c r="F245" s="69">
        <v>0.14285714285714285</v>
      </c>
      <c r="G245" s="69">
        <v>0.11904761904761904</v>
      </c>
      <c r="H245" s="69">
        <v>0.16666666666666666</v>
      </c>
      <c r="XFC245" t="s">
        <v>694</v>
      </c>
      <c r="XFD245">
        <f t="shared" si="1"/>
        <v>1</v>
      </c>
    </row>
    <row r="246" spans="2:8 16383:16384" x14ac:dyDescent="0.35">
      <c r="B246" t="s">
        <v>1255</v>
      </c>
      <c r="C246" s="69">
        <v>0.14285714285714285</v>
      </c>
      <c r="D246" s="69">
        <v>9.5238095238095233E-2</v>
      </c>
      <c r="E246" s="69">
        <v>2.3809523809523808E-2</v>
      </c>
      <c r="F246" s="69">
        <v>0.14285714285714285</v>
      </c>
      <c r="G246" s="69">
        <v>2.3809523809523808E-2</v>
      </c>
      <c r="H246" s="69">
        <v>0.14285714285714285</v>
      </c>
      <c r="XFC246" t="s">
        <v>250</v>
      </c>
      <c r="XFD246">
        <f t="shared" si="1"/>
        <v>1</v>
      </c>
    </row>
    <row r="247" spans="2:8 16383:16384" x14ac:dyDescent="0.35">
      <c r="B247" t="s">
        <v>583</v>
      </c>
      <c r="C247" s="69">
        <v>7.1428571428571425E-2</v>
      </c>
      <c r="D247" s="69">
        <v>0.11904761904761904</v>
      </c>
      <c r="E247" s="69">
        <v>4.7619047619047616E-2</v>
      </c>
      <c r="F247" s="69">
        <v>0.11904761904761904</v>
      </c>
      <c r="G247" s="69">
        <v>0.11904761904761904</v>
      </c>
      <c r="H247" s="69">
        <v>0.16666666666666666</v>
      </c>
      <c r="XFC247" t="s">
        <v>695</v>
      </c>
      <c r="XFD247">
        <f t="shared" si="1"/>
        <v>1</v>
      </c>
    </row>
    <row r="248" spans="2:8 16383:16384" x14ac:dyDescent="0.35">
      <c r="B248" t="s">
        <v>1133</v>
      </c>
      <c r="C248" s="69">
        <v>9.5238095238095233E-2</v>
      </c>
      <c r="D248" s="69">
        <v>7.1428571428571425E-2</v>
      </c>
      <c r="E248" s="69">
        <v>4.7619047619047616E-2</v>
      </c>
      <c r="F248" s="69">
        <v>9.5238095238095233E-2</v>
      </c>
      <c r="G248" s="69">
        <v>2.3809523809523808E-2</v>
      </c>
      <c r="H248" s="69">
        <v>0.14285714285714285</v>
      </c>
      <c r="XFC248" t="s">
        <v>345</v>
      </c>
      <c r="XFD248">
        <f t="shared" si="1"/>
        <v>1</v>
      </c>
    </row>
    <row r="249" spans="2:8 16383:16384" x14ac:dyDescent="0.35">
      <c r="B249" t="s">
        <v>300</v>
      </c>
      <c r="C249" s="69">
        <v>0.16666666666666666</v>
      </c>
      <c r="D249" s="69">
        <v>0.14285714285714285</v>
      </c>
      <c r="E249" s="69">
        <v>4.7619047619047616E-2</v>
      </c>
      <c r="F249" s="69">
        <v>0.16666666666666666</v>
      </c>
      <c r="G249" s="69">
        <v>0.14285714285714285</v>
      </c>
      <c r="H249" s="69">
        <v>0.16666666666666666</v>
      </c>
      <c r="XFC249" t="s">
        <v>334</v>
      </c>
      <c r="XFD249">
        <f t="shared" si="1"/>
        <v>1</v>
      </c>
    </row>
    <row r="250" spans="2:8 16383:16384" x14ac:dyDescent="0.35">
      <c r="B250" t="s">
        <v>1439</v>
      </c>
      <c r="C250" s="69">
        <v>0.11904761904761904</v>
      </c>
      <c r="D250" s="69">
        <v>0.16666666666666666</v>
      </c>
      <c r="E250" s="69">
        <v>7.1428571428571425E-2</v>
      </c>
      <c r="F250" s="69">
        <v>0.14285714285714285</v>
      </c>
      <c r="G250" s="69">
        <v>0.11904761904761904</v>
      </c>
      <c r="H250" s="69">
        <v>0.14285714285714285</v>
      </c>
      <c r="XFC250" t="s">
        <v>696</v>
      </c>
      <c r="XFD250">
        <f t="shared" si="1"/>
        <v>1</v>
      </c>
    </row>
    <row r="251" spans="2:8 16383:16384" x14ac:dyDescent="0.35">
      <c r="B251" t="s">
        <v>377</v>
      </c>
      <c r="C251" s="69">
        <v>0.11904761904761904</v>
      </c>
      <c r="D251" s="69">
        <v>7.1428571428571425E-2</v>
      </c>
      <c r="E251" s="69">
        <v>7.1428571428571425E-2</v>
      </c>
      <c r="F251" s="69">
        <v>0.14285714285714285</v>
      </c>
      <c r="G251" s="69">
        <v>0.11904761904761904</v>
      </c>
      <c r="H251" s="69">
        <v>0.14285714285714285</v>
      </c>
      <c r="XFC251" t="s">
        <v>240</v>
      </c>
      <c r="XFD251">
        <f t="shared" si="1"/>
        <v>1</v>
      </c>
    </row>
    <row r="252" spans="2:8 16383:16384" x14ac:dyDescent="0.35">
      <c r="B252" t="s">
        <v>298</v>
      </c>
      <c r="C252" s="69">
        <v>0.11904761904761904</v>
      </c>
      <c r="D252" s="69">
        <v>0.11904761904761904</v>
      </c>
      <c r="E252" s="69">
        <v>7.1428571428571425E-2</v>
      </c>
      <c r="F252" s="69">
        <v>0.14285714285714285</v>
      </c>
      <c r="G252" s="69">
        <v>9.5238095238095233E-2</v>
      </c>
      <c r="H252" s="69">
        <v>0.16666666666666666</v>
      </c>
      <c r="XFC252" t="s">
        <v>697</v>
      </c>
      <c r="XFD252">
        <f t="shared" si="1"/>
        <v>1</v>
      </c>
    </row>
    <row r="253" spans="2:8 16383:16384" x14ac:dyDescent="0.35">
      <c r="B253" t="s">
        <v>330</v>
      </c>
      <c r="C253" s="69">
        <v>9.5238095238095233E-2</v>
      </c>
      <c r="D253" s="69">
        <v>9.5238095238095233E-2</v>
      </c>
      <c r="E253" s="69">
        <v>7.1428571428571425E-2</v>
      </c>
      <c r="F253" s="69">
        <v>0.16666666666666666</v>
      </c>
      <c r="G253" s="69">
        <v>9.5238095238095233E-2</v>
      </c>
      <c r="H253" s="69">
        <v>0.14285714285714285</v>
      </c>
      <c r="XFC253" t="s">
        <v>698</v>
      </c>
      <c r="XFD253">
        <f t="shared" si="1"/>
        <v>1</v>
      </c>
    </row>
    <row r="254" spans="2:8 16383:16384" x14ac:dyDescent="0.35">
      <c r="B254" t="s">
        <v>329</v>
      </c>
      <c r="C254" s="69">
        <v>0.11904761904761904</v>
      </c>
      <c r="D254" s="69">
        <v>0.14285714285714285</v>
      </c>
      <c r="E254" s="69">
        <v>9.5238095238095233E-2</v>
      </c>
      <c r="F254" s="69">
        <v>0.14285714285714285</v>
      </c>
      <c r="G254" s="69">
        <v>9.5238095238095233E-2</v>
      </c>
      <c r="H254" s="69">
        <v>0.11904761904761904</v>
      </c>
      <c r="XFC254" t="s">
        <v>699</v>
      </c>
      <c r="XFD254">
        <f t="shared" si="1"/>
        <v>1</v>
      </c>
    </row>
    <row r="255" spans="2:8 16383:16384" x14ac:dyDescent="0.35">
      <c r="B255" t="s">
        <v>1476</v>
      </c>
      <c r="C255" s="69">
        <v>9.5238095238095233E-2</v>
      </c>
      <c r="D255" s="69">
        <v>9.5238095238095233E-2</v>
      </c>
      <c r="E255" s="69">
        <v>0.11904761904761904</v>
      </c>
      <c r="F255" s="69">
        <v>0.11904761904761904</v>
      </c>
      <c r="G255" s="69">
        <v>2.3809523809523808E-2</v>
      </c>
      <c r="H255" s="69">
        <v>0.14285714285714285</v>
      </c>
      <c r="XFC255" t="s">
        <v>372</v>
      </c>
      <c r="XFD255">
        <f t="shared" si="1"/>
        <v>1</v>
      </c>
    </row>
    <row r="256" spans="2:8 16383:16384" x14ac:dyDescent="0.35">
      <c r="B256" t="s">
        <v>581</v>
      </c>
      <c r="C256" s="69">
        <v>0.11904761904761904</v>
      </c>
      <c r="D256" s="69">
        <v>7.1428571428571425E-2</v>
      </c>
      <c r="E256" s="69">
        <v>4.7619047619047616E-2</v>
      </c>
      <c r="F256" s="69">
        <v>9.5238095238095233E-2</v>
      </c>
      <c r="G256" s="69">
        <v>0.11904761904761904</v>
      </c>
      <c r="H256" s="69">
        <v>0.14285714285714285</v>
      </c>
      <c r="XFC256" t="s">
        <v>273</v>
      </c>
      <c r="XFD256">
        <f t="shared" si="1"/>
        <v>1</v>
      </c>
    </row>
    <row r="257" spans="2:8 16383:16384" x14ac:dyDescent="0.35">
      <c r="B257" t="s">
        <v>1468</v>
      </c>
      <c r="C257" s="69">
        <v>0.16666666666666666</v>
      </c>
      <c r="D257" s="69">
        <v>9.5238095238095233E-2</v>
      </c>
      <c r="E257" s="69">
        <v>9.5238095238095233E-2</v>
      </c>
      <c r="F257" s="69">
        <v>0.11904761904761904</v>
      </c>
      <c r="G257" s="69">
        <v>0.14285714285714285</v>
      </c>
      <c r="H257" s="69">
        <v>0.14285714285714285</v>
      </c>
      <c r="XFC257" t="s">
        <v>700</v>
      </c>
      <c r="XFD257">
        <f t="shared" si="1"/>
        <v>1</v>
      </c>
    </row>
    <row r="258" spans="2:8 16383:16384" x14ac:dyDescent="0.35">
      <c r="B258" t="s">
        <v>1192</v>
      </c>
      <c r="C258" s="69">
        <v>0.11904761904761904</v>
      </c>
      <c r="D258" s="69">
        <v>0.16666666666666666</v>
      </c>
      <c r="E258" s="69">
        <v>2.3809523809523808E-2</v>
      </c>
      <c r="F258" s="69">
        <v>0.16666666666666666</v>
      </c>
      <c r="G258" s="69">
        <v>9.5238095238095233E-2</v>
      </c>
      <c r="H258" s="69">
        <v>0.16666666666666666</v>
      </c>
      <c r="XFC258" t="s">
        <v>306</v>
      </c>
      <c r="XFD258">
        <f t="shared" si="1"/>
        <v>1</v>
      </c>
    </row>
    <row r="259" spans="2:8 16383:16384" x14ac:dyDescent="0.35">
      <c r="B259" t="s">
        <v>376</v>
      </c>
      <c r="C259" s="69">
        <v>0.14285714285714285</v>
      </c>
      <c r="D259" s="69">
        <v>9.5238095238095233E-2</v>
      </c>
      <c r="E259" s="69">
        <v>7.1428571428571425E-2</v>
      </c>
      <c r="F259" s="69">
        <v>7.1428571428571425E-2</v>
      </c>
      <c r="G259" s="69">
        <v>2.3809523809523808E-2</v>
      </c>
      <c r="H259" s="69">
        <v>0.14285714285714285</v>
      </c>
      <c r="XFC259" t="s">
        <v>701</v>
      </c>
      <c r="XFD259">
        <f t="shared" si="1"/>
        <v>1</v>
      </c>
    </row>
    <row r="260" spans="2:8 16383:16384" x14ac:dyDescent="0.35">
      <c r="B260" t="s">
        <v>1044</v>
      </c>
      <c r="C260" s="69">
        <v>0.14285714285714285</v>
      </c>
      <c r="D260" s="69">
        <v>0.14285714285714285</v>
      </c>
      <c r="E260" s="69">
        <v>7.1428571428571425E-2</v>
      </c>
      <c r="F260" s="69">
        <v>0.14285714285714285</v>
      </c>
      <c r="G260" s="69">
        <v>0.11904761904761904</v>
      </c>
      <c r="H260" s="69">
        <v>0.14285714285714285</v>
      </c>
      <c r="XFC260" t="s">
        <v>314</v>
      </c>
      <c r="XFD260">
        <f t="shared" si="1"/>
        <v>1</v>
      </c>
    </row>
    <row r="261" spans="2:8 16383:16384" x14ac:dyDescent="0.35">
      <c r="B261" t="s">
        <v>246</v>
      </c>
      <c r="C261" s="69">
        <v>9.5238095238095233E-2</v>
      </c>
      <c r="D261" s="69">
        <v>0.11904761904761904</v>
      </c>
      <c r="E261" s="69">
        <v>4.7619047619047616E-2</v>
      </c>
      <c r="F261" s="69">
        <v>0.11904761904761904</v>
      </c>
      <c r="G261" s="69">
        <v>0.11904761904761904</v>
      </c>
      <c r="H261" s="69">
        <v>0.16666666666666666</v>
      </c>
      <c r="XFC261" t="s">
        <v>337</v>
      </c>
      <c r="XFD261">
        <f t="shared" si="1"/>
        <v>1</v>
      </c>
    </row>
    <row r="262" spans="2:8 16383:16384" x14ac:dyDescent="0.35">
      <c r="B262" t="s">
        <v>1202</v>
      </c>
      <c r="C262" s="69">
        <v>9.5238095238095233E-2</v>
      </c>
      <c r="D262" s="69">
        <v>9.5238095238095233E-2</v>
      </c>
      <c r="E262" s="69">
        <v>7.1428571428571425E-2</v>
      </c>
      <c r="F262" s="69">
        <v>0.14285714285714285</v>
      </c>
      <c r="G262" s="69">
        <v>7.1428571428571425E-2</v>
      </c>
      <c r="H262" s="69">
        <v>0.16666666666666666</v>
      </c>
      <c r="XFC262" t="s">
        <v>328</v>
      </c>
      <c r="XFD262">
        <f t="shared" si="1"/>
        <v>1</v>
      </c>
    </row>
    <row r="263" spans="2:8 16383:16384" x14ac:dyDescent="0.35">
      <c r="B263" t="s">
        <v>1472</v>
      </c>
      <c r="C263" s="69">
        <v>0.14285714285714285</v>
      </c>
      <c r="D263" s="69">
        <v>9.5238095238095233E-2</v>
      </c>
      <c r="E263" s="69">
        <v>2.3809523809523808E-2</v>
      </c>
      <c r="F263" s="69">
        <v>0.16666666666666666</v>
      </c>
      <c r="G263" s="69">
        <v>0.14285714285714285</v>
      </c>
      <c r="H263" s="69">
        <v>0.11904761904761904</v>
      </c>
      <c r="XFC263" t="s">
        <v>380</v>
      </c>
      <c r="XFD263">
        <f t="shared" si="1"/>
        <v>1</v>
      </c>
    </row>
    <row r="264" spans="2:8 16383:16384" x14ac:dyDescent="0.35">
      <c r="B264" t="s">
        <v>650</v>
      </c>
      <c r="C264" s="69">
        <v>0.14285714285714285</v>
      </c>
      <c r="D264" s="69">
        <v>0.16666666666666666</v>
      </c>
      <c r="E264" s="69">
        <v>0.11904761904761904</v>
      </c>
      <c r="F264" s="69">
        <v>0.14285714285714285</v>
      </c>
      <c r="G264" s="69">
        <v>0.16666666666666666</v>
      </c>
      <c r="H264" s="69">
        <v>0.11904761904761904</v>
      </c>
      <c r="XFC264" t="s">
        <v>354</v>
      </c>
      <c r="XFD264">
        <f t="shared" si="1"/>
        <v>1</v>
      </c>
    </row>
    <row r="265" spans="2:8 16383:16384" x14ac:dyDescent="0.35">
      <c r="B265" t="s">
        <v>1158</v>
      </c>
      <c r="C265" s="69">
        <v>0.14285714285714285</v>
      </c>
      <c r="D265" s="69">
        <v>0.14285714285714285</v>
      </c>
      <c r="E265" s="69">
        <v>4.7619047619047616E-2</v>
      </c>
      <c r="F265" s="69">
        <v>0.14285714285714285</v>
      </c>
      <c r="G265" s="69">
        <v>0.11904761904761904</v>
      </c>
      <c r="H265" s="69">
        <v>0.14285714285714285</v>
      </c>
      <c r="XFC265" t="s">
        <v>363</v>
      </c>
      <c r="XFD265">
        <f t="shared" si="1"/>
        <v>1</v>
      </c>
    </row>
    <row r="266" spans="2:8 16383:16384" x14ac:dyDescent="0.35">
      <c r="B266" t="s">
        <v>1474</v>
      </c>
      <c r="C266" s="69">
        <v>0.14285714285714285</v>
      </c>
      <c r="D266" s="69">
        <v>7.1428571428571425E-2</v>
      </c>
      <c r="E266" s="69">
        <v>7.1428571428571425E-2</v>
      </c>
      <c r="F266" s="69">
        <v>0.16666666666666666</v>
      </c>
      <c r="G266" s="69">
        <v>7.1428571428571425E-2</v>
      </c>
      <c r="H266" s="69">
        <v>0.16666666666666666</v>
      </c>
      <c r="XFC266" t="s">
        <v>375</v>
      </c>
      <c r="XFD266">
        <f t="shared" si="1"/>
        <v>1</v>
      </c>
    </row>
    <row r="267" spans="2:8 16383:16384" x14ac:dyDescent="0.35">
      <c r="B267" t="s">
        <v>1419</v>
      </c>
      <c r="C267" s="69">
        <v>9.5238095238095233E-2</v>
      </c>
      <c r="D267" s="69">
        <v>0.11904761904761904</v>
      </c>
      <c r="E267" s="69">
        <v>4.7619047619047616E-2</v>
      </c>
      <c r="F267" s="69">
        <v>0.14285714285714285</v>
      </c>
      <c r="G267" s="69">
        <v>0.11904761904761904</v>
      </c>
      <c r="H267" s="69">
        <v>0.16666666666666666</v>
      </c>
      <c r="XFC267" t="s">
        <v>702</v>
      </c>
      <c r="XFD267">
        <f t="shared" si="1"/>
        <v>1</v>
      </c>
    </row>
    <row r="268" spans="2:8 16383:16384" x14ac:dyDescent="0.35">
      <c r="B268" t="s">
        <v>318</v>
      </c>
      <c r="C268" s="69">
        <v>9.5238095238095233E-2</v>
      </c>
      <c r="D268" s="69">
        <v>0.14285714285714285</v>
      </c>
      <c r="E268" s="69">
        <v>0.11904761904761904</v>
      </c>
      <c r="F268" s="69">
        <v>0.11904761904761904</v>
      </c>
      <c r="G268" s="69">
        <v>4.7619047619047616E-2</v>
      </c>
      <c r="H268" s="69">
        <v>0.14285714285714285</v>
      </c>
      <c r="XFC268" t="s">
        <v>299</v>
      </c>
      <c r="XFD268">
        <f t="shared" si="1"/>
        <v>1</v>
      </c>
    </row>
    <row r="269" spans="2:8 16383:16384" x14ac:dyDescent="0.35">
      <c r="B269" t="s">
        <v>290</v>
      </c>
      <c r="C269" s="69">
        <v>0.16666666666666666</v>
      </c>
      <c r="D269" s="69">
        <v>0.11904761904761904</v>
      </c>
      <c r="E269" s="69">
        <v>9.5238095238095233E-2</v>
      </c>
      <c r="F269" s="69">
        <v>0.16666666666666666</v>
      </c>
      <c r="G269" s="69">
        <v>0.14285714285714285</v>
      </c>
      <c r="H269" s="69">
        <v>9.5238095238095233E-2</v>
      </c>
      <c r="XFC269" t="s">
        <v>703</v>
      </c>
      <c r="XFD269">
        <f t="shared" si="1"/>
        <v>1</v>
      </c>
    </row>
    <row r="270" spans="2:8 16383:16384" x14ac:dyDescent="0.35">
      <c r="B270" t="s">
        <v>1447</v>
      </c>
      <c r="C270" s="69">
        <v>4.7619047619047616E-2</v>
      </c>
      <c r="D270" s="69">
        <v>0.14285714285714285</v>
      </c>
      <c r="E270" s="69">
        <v>9.5238095238095233E-2</v>
      </c>
      <c r="F270" s="69">
        <v>9.5238095238095233E-2</v>
      </c>
      <c r="G270" s="69">
        <v>4.7619047619047616E-2</v>
      </c>
      <c r="H270" s="69">
        <v>0.16666666666666666</v>
      </c>
      <c r="XFC270" t="s">
        <v>366</v>
      </c>
      <c r="XFD270">
        <f t="shared" si="1"/>
        <v>1</v>
      </c>
    </row>
    <row r="271" spans="2:8 16383:16384" x14ac:dyDescent="0.35">
      <c r="B271" t="s">
        <v>1175</v>
      </c>
      <c r="C271" s="69">
        <v>9.5238095238095233E-2</v>
      </c>
      <c r="D271" s="69">
        <v>0.11904761904761904</v>
      </c>
      <c r="E271" s="69">
        <v>9.5238095238095233E-2</v>
      </c>
      <c r="F271" s="69">
        <v>0.14285714285714285</v>
      </c>
      <c r="G271" s="69">
        <v>0.11904761904761904</v>
      </c>
      <c r="H271" s="69">
        <v>0.11904761904761904</v>
      </c>
      <c r="XFC271" t="s">
        <v>322</v>
      </c>
      <c r="XFD271">
        <f t="shared" si="1"/>
        <v>1</v>
      </c>
    </row>
    <row r="272" spans="2:8 16383:16384" x14ac:dyDescent="0.35">
      <c r="B272" t="s">
        <v>1460</v>
      </c>
      <c r="C272" s="69">
        <v>0.14285714285714285</v>
      </c>
      <c r="D272" s="69">
        <v>0.11904761904761904</v>
      </c>
      <c r="E272" s="69">
        <v>4.7619047619047616E-2</v>
      </c>
      <c r="F272" s="69">
        <v>9.5238095238095233E-2</v>
      </c>
      <c r="G272" s="69">
        <v>9.5238095238095233E-2</v>
      </c>
      <c r="H272" s="69">
        <v>0.14285714285714285</v>
      </c>
      <c r="XFC272" t="s">
        <v>704</v>
      </c>
      <c r="XFD272">
        <f t="shared" si="1"/>
        <v>1</v>
      </c>
    </row>
    <row r="273" spans="2:8 16383:16384" x14ac:dyDescent="0.35">
      <c r="B273" t="s">
        <v>1018</v>
      </c>
      <c r="C273" s="69">
        <v>7.1428571428571425E-2</v>
      </c>
      <c r="D273" s="69">
        <v>0.14285714285714285</v>
      </c>
      <c r="E273" s="69">
        <v>0.14285714285714285</v>
      </c>
      <c r="F273" s="69">
        <v>0.14285714285714285</v>
      </c>
      <c r="G273" s="69">
        <v>0.11904761904761904</v>
      </c>
      <c r="H273" s="69">
        <v>0.16666666666666666</v>
      </c>
      <c r="XFC273" t="s">
        <v>705</v>
      </c>
      <c r="XFD273">
        <f t="shared" si="1"/>
        <v>1</v>
      </c>
    </row>
    <row r="274" spans="2:8 16383:16384" x14ac:dyDescent="0.35">
      <c r="B274" t="s">
        <v>1178</v>
      </c>
      <c r="C274" s="69">
        <v>0.11904761904761904</v>
      </c>
      <c r="D274" s="69">
        <v>0.11904761904761904</v>
      </c>
      <c r="E274" s="69">
        <v>2.3809523809523808E-2</v>
      </c>
      <c r="F274" s="69">
        <v>0.14285714285714285</v>
      </c>
      <c r="G274" s="69">
        <v>0.14285714285714285</v>
      </c>
      <c r="H274" s="69">
        <v>0.14285714285714285</v>
      </c>
      <c r="XFC274" t="s">
        <v>302</v>
      </c>
      <c r="XFD274">
        <f t="shared" si="1"/>
        <v>1</v>
      </c>
    </row>
    <row r="275" spans="2:8 16383:16384" x14ac:dyDescent="0.35">
      <c r="B275" t="s">
        <v>1473</v>
      </c>
      <c r="C275" s="69">
        <v>0.16666666666666666</v>
      </c>
      <c r="D275" s="69">
        <v>4.7619047619047616E-2</v>
      </c>
      <c r="E275" s="69">
        <v>4.7619047619047616E-2</v>
      </c>
      <c r="F275" s="69">
        <v>0.11904761904761904</v>
      </c>
      <c r="G275" s="69">
        <v>4.7619047619047616E-2</v>
      </c>
      <c r="H275" s="69">
        <v>0.16666666666666666</v>
      </c>
      <c r="XFC275" t="s">
        <v>303</v>
      </c>
      <c r="XFD275">
        <f t="shared" si="1"/>
        <v>1</v>
      </c>
    </row>
    <row r="276" spans="2:8 16383:16384" x14ac:dyDescent="0.35">
      <c r="B276" t="s">
        <v>284</v>
      </c>
      <c r="C276" s="69">
        <v>9.5238095238095233E-2</v>
      </c>
      <c r="D276" s="69">
        <v>0.16666666666666666</v>
      </c>
      <c r="E276" s="69">
        <v>2.3809523809523808E-2</v>
      </c>
      <c r="F276" s="69">
        <v>4.7619047619047616E-2</v>
      </c>
      <c r="G276" s="69">
        <v>0.11904761904761904</v>
      </c>
      <c r="H276" s="69">
        <v>0.16666666666666666</v>
      </c>
      <c r="XFC276" t="s">
        <v>706</v>
      </c>
      <c r="XFD276">
        <f t="shared" si="1"/>
        <v>1</v>
      </c>
    </row>
    <row r="277" spans="2:8 16383:16384" x14ac:dyDescent="0.35">
      <c r="B277" t="s">
        <v>1136</v>
      </c>
      <c r="C277" s="69">
        <v>0.11904761904761904</v>
      </c>
      <c r="D277" s="69">
        <v>0.11904761904761904</v>
      </c>
      <c r="E277" s="69">
        <v>9.5238095238095233E-2</v>
      </c>
      <c r="F277" s="69">
        <v>0.14285714285714285</v>
      </c>
      <c r="G277" s="69">
        <v>0.11904761904761904</v>
      </c>
      <c r="H277" s="69">
        <v>0.11904761904761904</v>
      </c>
      <c r="XFC277" t="s">
        <v>329</v>
      </c>
      <c r="XFD277">
        <f t="shared" si="1"/>
        <v>1</v>
      </c>
    </row>
    <row r="278" spans="2:8 16383:16384" x14ac:dyDescent="0.35">
      <c r="B278" t="s">
        <v>1435</v>
      </c>
      <c r="C278" s="69">
        <v>0.14285714285714285</v>
      </c>
      <c r="D278" s="69">
        <v>9.5238095238095233E-2</v>
      </c>
      <c r="E278" s="69">
        <v>0.11904761904761904</v>
      </c>
      <c r="F278" s="69">
        <v>0.14285714285714285</v>
      </c>
      <c r="G278" s="69">
        <v>0.11904761904761904</v>
      </c>
      <c r="H278" s="69">
        <v>0.14285714285714285</v>
      </c>
      <c r="XFC278" t="s">
        <v>707</v>
      </c>
      <c r="XFD278">
        <f t="shared" si="1"/>
        <v>1</v>
      </c>
    </row>
    <row r="279" spans="2:8 16383:16384" x14ac:dyDescent="0.35">
      <c r="B279" t="s">
        <v>1451</v>
      </c>
      <c r="C279" s="69">
        <v>0.14285714285714285</v>
      </c>
      <c r="D279" s="69">
        <v>0.16666666666666666</v>
      </c>
      <c r="E279" s="69">
        <v>7.1428571428571425E-2</v>
      </c>
      <c r="F279" s="69">
        <v>7.1428571428571425E-2</v>
      </c>
      <c r="G279" s="69">
        <v>9.5238095238095233E-2</v>
      </c>
      <c r="H279" s="69">
        <v>0.14285714285714285</v>
      </c>
      <c r="XFC279" t="s">
        <v>350</v>
      </c>
      <c r="XFD279">
        <f t="shared" si="1"/>
        <v>1</v>
      </c>
    </row>
    <row r="280" spans="2:8 16383:16384" x14ac:dyDescent="0.35">
      <c r="B280" t="s">
        <v>303</v>
      </c>
      <c r="C280" s="69">
        <v>0.11904761904761904</v>
      </c>
      <c r="D280" s="69">
        <v>9.5238095238095233E-2</v>
      </c>
      <c r="E280" s="69">
        <v>7.1428571428571425E-2</v>
      </c>
      <c r="F280" s="69">
        <v>4.7619047619047616E-2</v>
      </c>
      <c r="G280" s="69">
        <v>9.5238095238095233E-2</v>
      </c>
      <c r="H280" s="69">
        <v>0.11904761904761904</v>
      </c>
      <c r="XFC280" t="s">
        <v>708</v>
      </c>
      <c r="XFD280">
        <f t="shared" ref="XFD280:XFD299" si="2">VLOOKUP(XFC280,$XFC$1:$XFD$149,2,FALSE)</f>
        <v>1</v>
      </c>
    </row>
    <row r="281" spans="2:8 16383:16384" x14ac:dyDescent="0.35">
      <c r="B281" t="s">
        <v>369</v>
      </c>
      <c r="C281" s="69">
        <v>9.5238095238095233E-2</v>
      </c>
      <c r="D281" s="69">
        <v>0.11904761904761904</v>
      </c>
      <c r="E281" s="69">
        <v>0.11904761904761904</v>
      </c>
      <c r="F281" s="69">
        <v>0.16666666666666666</v>
      </c>
      <c r="G281" s="69">
        <v>0.11904761904761904</v>
      </c>
      <c r="H281" s="69">
        <v>0.14285714285714285</v>
      </c>
      <c r="XFC281" t="s">
        <v>709</v>
      </c>
      <c r="XFD281">
        <f t="shared" si="2"/>
        <v>1</v>
      </c>
    </row>
    <row r="282" spans="2:8 16383:16384" x14ac:dyDescent="0.35">
      <c r="B282" t="s">
        <v>924</v>
      </c>
      <c r="C282" s="69">
        <v>4.7619047619047616E-2</v>
      </c>
      <c r="D282" s="69">
        <v>0.16666666666666666</v>
      </c>
      <c r="E282" s="69">
        <v>0.14285714285714285</v>
      </c>
      <c r="F282" s="69">
        <v>0.14285714285714285</v>
      </c>
      <c r="G282" s="69">
        <v>9.5238095238095233E-2</v>
      </c>
      <c r="H282" s="69">
        <v>0.16666666666666666</v>
      </c>
      <c r="XFC282" t="s">
        <v>710</v>
      </c>
      <c r="XFD282">
        <f t="shared" si="2"/>
        <v>1</v>
      </c>
    </row>
    <row r="283" spans="2:8 16383:16384" x14ac:dyDescent="0.35">
      <c r="B283" t="s">
        <v>1455</v>
      </c>
      <c r="C283" s="69">
        <v>9.5238095238095233E-2</v>
      </c>
      <c r="D283" s="69">
        <v>0.14285714285714285</v>
      </c>
      <c r="E283" s="69">
        <v>2.3809523809523808E-2</v>
      </c>
      <c r="F283" s="69">
        <v>9.5238095238095233E-2</v>
      </c>
      <c r="G283" s="69">
        <v>0.11904761904761904</v>
      </c>
      <c r="H283" s="69">
        <v>0.14285714285714285</v>
      </c>
      <c r="XFC283" t="s">
        <v>711</v>
      </c>
      <c r="XFD283">
        <f t="shared" si="2"/>
        <v>1</v>
      </c>
    </row>
    <row r="284" spans="2:8 16383:16384" x14ac:dyDescent="0.35">
      <c r="B284" t="s">
        <v>287</v>
      </c>
      <c r="C284" s="69">
        <v>0.11904761904761904</v>
      </c>
      <c r="D284" s="69">
        <v>0.14285714285714285</v>
      </c>
      <c r="E284" s="69">
        <v>0.11904761904761904</v>
      </c>
      <c r="F284" s="69">
        <v>0.16666666666666666</v>
      </c>
      <c r="G284" s="69">
        <v>0.14285714285714285</v>
      </c>
      <c r="H284" s="69">
        <v>9.5238095238095233E-2</v>
      </c>
      <c r="XFC284" t="s">
        <v>324</v>
      </c>
      <c r="XFD284">
        <f t="shared" si="2"/>
        <v>1</v>
      </c>
    </row>
    <row r="285" spans="2:8 16383:16384" x14ac:dyDescent="0.35">
      <c r="B285" t="s">
        <v>1470</v>
      </c>
      <c r="C285" s="69">
        <v>0.11904761904761904</v>
      </c>
      <c r="D285" s="69">
        <v>0.16666666666666666</v>
      </c>
      <c r="E285" s="69">
        <v>9.5238095238095233E-2</v>
      </c>
      <c r="F285" s="69">
        <v>0.16666666666666666</v>
      </c>
      <c r="G285" s="69">
        <v>0.16666666666666666</v>
      </c>
      <c r="H285" s="69">
        <v>0.14285714285714285</v>
      </c>
      <c r="XFC285" t="s">
        <v>712</v>
      </c>
      <c r="XFD285">
        <f t="shared" si="2"/>
        <v>1</v>
      </c>
    </row>
    <row r="286" spans="2:8 16383:16384" x14ac:dyDescent="0.35">
      <c r="B286" t="s">
        <v>340</v>
      </c>
      <c r="C286" s="69">
        <v>0.14285714285714285</v>
      </c>
      <c r="D286" s="69">
        <v>0.16666666666666666</v>
      </c>
      <c r="E286" s="69">
        <v>0.14285714285714285</v>
      </c>
      <c r="F286" s="69">
        <v>0.16666666666666666</v>
      </c>
      <c r="G286" s="69">
        <v>0.14285714285714285</v>
      </c>
      <c r="H286" s="69">
        <v>0.16666666666666666</v>
      </c>
      <c r="XFC286" t="s">
        <v>356</v>
      </c>
      <c r="XFD286">
        <f t="shared" si="2"/>
        <v>1</v>
      </c>
    </row>
    <row r="287" spans="2:8 16383:16384" x14ac:dyDescent="0.35">
      <c r="B287" t="s">
        <v>244</v>
      </c>
      <c r="C287" s="69">
        <v>0.11904761904761904</v>
      </c>
      <c r="D287" s="69">
        <v>0.16666666666666666</v>
      </c>
      <c r="E287" s="69">
        <v>7.1428571428571425E-2</v>
      </c>
      <c r="F287" s="69">
        <v>0.16666666666666666</v>
      </c>
      <c r="G287" s="69">
        <v>0.11904761904761904</v>
      </c>
      <c r="H287" s="69">
        <v>0.14285714285714285</v>
      </c>
      <c r="XFC287" t="s">
        <v>713</v>
      </c>
      <c r="XFD287">
        <f t="shared" si="2"/>
        <v>1</v>
      </c>
    </row>
    <row r="288" spans="2:8 16383:16384" x14ac:dyDescent="0.35">
      <c r="B288" t="s">
        <v>1194</v>
      </c>
      <c r="C288" s="69">
        <v>0.11904761904761904</v>
      </c>
      <c r="D288" s="69">
        <v>0.16666666666666666</v>
      </c>
      <c r="E288" s="69">
        <v>0.16666666666666666</v>
      </c>
      <c r="F288" s="69">
        <v>0.16666666666666666</v>
      </c>
      <c r="G288" s="69">
        <v>0.14285714285714285</v>
      </c>
      <c r="H288" s="69">
        <v>0.16666666666666666</v>
      </c>
      <c r="XFC288" t="s">
        <v>289</v>
      </c>
      <c r="XFD288">
        <f t="shared" si="2"/>
        <v>1</v>
      </c>
    </row>
    <row r="289" spans="2:8 16383:16384" x14ac:dyDescent="0.35">
      <c r="B289" t="s">
        <v>1422</v>
      </c>
      <c r="C289" s="69">
        <v>0.14285714285714285</v>
      </c>
      <c r="D289" s="69">
        <v>0.14285714285714285</v>
      </c>
      <c r="E289" s="69">
        <v>2.3809523809523808E-2</v>
      </c>
      <c r="F289" s="69">
        <v>0.14285714285714285</v>
      </c>
      <c r="G289" s="69">
        <v>9.5238095238095233E-2</v>
      </c>
      <c r="H289" s="69">
        <v>0.16666666666666666</v>
      </c>
      <c r="XFC289" t="s">
        <v>714</v>
      </c>
      <c r="XFD289">
        <f t="shared" si="2"/>
        <v>1</v>
      </c>
    </row>
    <row r="290" spans="2:8 16383:16384" x14ac:dyDescent="0.35">
      <c r="B290" t="s">
        <v>309</v>
      </c>
      <c r="C290" s="69">
        <v>0.14285714285714285</v>
      </c>
      <c r="D290" s="69">
        <v>0.16666666666666666</v>
      </c>
      <c r="E290" s="69">
        <v>0</v>
      </c>
      <c r="F290" s="69">
        <v>0.16666666666666666</v>
      </c>
      <c r="G290" s="69">
        <v>0.14285714285714285</v>
      </c>
      <c r="H290" s="69">
        <v>0.16666666666666666</v>
      </c>
      <c r="XFC290" t="s">
        <v>307</v>
      </c>
      <c r="XFD290">
        <f t="shared" si="2"/>
        <v>1</v>
      </c>
    </row>
    <row r="291" spans="2:8 16383:16384" x14ac:dyDescent="0.35">
      <c r="B291" t="s">
        <v>362</v>
      </c>
      <c r="C291" s="69">
        <v>0.14285714285714285</v>
      </c>
      <c r="D291" s="69">
        <v>0.14285714285714285</v>
      </c>
      <c r="E291" s="69">
        <v>0.11904761904761904</v>
      </c>
      <c r="F291" s="69">
        <v>0.16666666666666666</v>
      </c>
      <c r="G291" s="69">
        <v>4.7619047619047616E-2</v>
      </c>
      <c r="H291" s="69">
        <v>0.16666666666666666</v>
      </c>
      <c r="XFC291" t="s">
        <v>336</v>
      </c>
      <c r="XFD291">
        <f t="shared" si="2"/>
        <v>1</v>
      </c>
    </row>
    <row r="292" spans="2:8 16383:16384" x14ac:dyDescent="0.35">
      <c r="B292" t="s">
        <v>292</v>
      </c>
      <c r="C292" s="69">
        <v>0.14285714285714285</v>
      </c>
      <c r="D292" s="69">
        <v>9.5238095238095233E-2</v>
      </c>
      <c r="E292" s="69">
        <v>4.7619047619047616E-2</v>
      </c>
      <c r="F292" s="69">
        <v>0.14285714285714285</v>
      </c>
      <c r="G292" s="69">
        <v>9.5238095238095233E-2</v>
      </c>
      <c r="H292" s="69">
        <v>0.16666666666666666</v>
      </c>
      <c r="XFC292" t="s">
        <v>715</v>
      </c>
      <c r="XFD292">
        <f t="shared" si="2"/>
        <v>1</v>
      </c>
    </row>
    <row r="293" spans="2:8 16383:16384" x14ac:dyDescent="0.35">
      <c r="B293" t="s">
        <v>1052</v>
      </c>
      <c r="C293" s="69">
        <v>9.5238095238095233E-2</v>
      </c>
      <c r="D293" s="69">
        <v>7.1428571428571425E-2</v>
      </c>
      <c r="E293" s="69">
        <v>0.11904761904761904</v>
      </c>
      <c r="F293" s="69">
        <v>9.5238095238095233E-2</v>
      </c>
      <c r="G293" s="69">
        <v>0.16666666666666666</v>
      </c>
      <c r="H293" s="69">
        <v>0.16666666666666666</v>
      </c>
      <c r="XFC293" t="s">
        <v>716</v>
      </c>
      <c r="XFD293">
        <f t="shared" si="2"/>
        <v>1</v>
      </c>
    </row>
    <row r="294" spans="2:8 16383:16384" x14ac:dyDescent="0.35">
      <c r="B294" t="s">
        <v>1443</v>
      </c>
      <c r="C294" s="69">
        <v>0.11904761904761904</v>
      </c>
      <c r="D294" s="69">
        <v>0.16666666666666666</v>
      </c>
      <c r="E294" s="69">
        <v>2.3809523809523808E-2</v>
      </c>
      <c r="F294" s="69">
        <v>0.11904761904761904</v>
      </c>
      <c r="G294" s="69">
        <v>4.7619047619047616E-2</v>
      </c>
      <c r="H294" s="69">
        <v>0.14285714285714285</v>
      </c>
      <c r="XFC294" t="s">
        <v>717</v>
      </c>
      <c r="XFD294">
        <f t="shared" si="2"/>
        <v>1</v>
      </c>
    </row>
    <row r="295" spans="2:8 16383:16384" x14ac:dyDescent="0.35">
      <c r="B295" t="s">
        <v>1010</v>
      </c>
      <c r="C295" s="69">
        <v>0.11904761904761904</v>
      </c>
      <c r="D295" s="69">
        <v>0.11904761904761904</v>
      </c>
      <c r="E295" s="69">
        <v>7.1428571428571425E-2</v>
      </c>
      <c r="F295" s="69">
        <v>0.11904761904761904</v>
      </c>
      <c r="G295" s="69">
        <v>9.5238095238095233E-2</v>
      </c>
      <c r="H295" s="69">
        <v>0.14285714285714285</v>
      </c>
      <c r="XFC295" t="s">
        <v>718</v>
      </c>
      <c r="XFD295">
        <f t="shared" si="2"/>
        <v>1</v>
      </c>
    </row>
    <row r="296" spans="2:8 16383:16384" x14ac:dyDescent="0.35">
      <c r="B296" t="s">
        <v>1441</v>
      </c>
      <c r="C296" s="69">
        <v>0.14285714285714285</v>
      </c>
      <c r="D296" s="69">
        <v>9.5238095238095233E-2</v>
      </c>
      <c r="E296" s="69">
        <v>9.5238095238095233E-2</v>
      </c>
      <c r="F296" s="69">
        <v>0.14285714285714285</v>
      </c>
      <c r="G296" s="69">
        <v>0.11904761904761904</v>
      </c>
      <c r="H296" s="69">
        <v>0.16666666666666666</v>
      </c>
      <c r="XFC296" t="s">
        <v>719</v>
      </c>
      <c r="XFD296">
        <f t="shared" si="2"/>
        <v>1</v>
      </c>
    </row>
    <row r="297" spans="2:8 16383:16384" x14ac:dyDescent="0.35">
      <c r="B297" t="s">
        <v>241</v>
      </c>
      <c r="C297" s="69">
        <v>0.14285714285714285</v>
      </c>
      <c r="D297" s="69">
        <v>0.14285714285714285</v>
      </c>
      <c r="E297" s="69">
        <v>7.1428571428571425E-2</v>
      </c>
      <c r="F297" s="69">
        <v>0.14285714285714285</v>
      </c>
      <c r="G297" s="69">
        <v>9.5238095238095233E-2</v>
      </c>
      <c r="H297" s="69">
        <v>0.14285714285714285</v>
      </c>
      <c r="XFC297" t="s">
        <v>720</v>
      </c>
      <c r="XFD297">
        <f t="shared" si="2"/>
        <v>1</v>
      </c>
    </row>
    <row r="298" spans="2:8 16383:16384" x14ac:dyDescent="0.35">
      <c r="B298" t="s">
        <v>1069</v>
      </c>
      <c r="C298" s="69">
        <v>7.1428571428571425E-2</v>
      </c>
      <c r="D298" s="69">
        <v>0.11904761904761904</v>
      </c>
      <c r="E298" s="69">
        <v>2.3809523809523808E-2</v>
      </c>
      <c r="F298" s="69">
        <v>7.1428571428571425E-2</v>
      </c>
      <c r="G298" s="69">
        <v>7.1428571428571425E-2</v>
      </c>
      <c r="H298" s="69">
        <v>0.16666666666666666</v>
      </c>
      <c r="XFC298" t="s">
        <v>721</v>
      </c>
      <c r="XFD298">
        <f t="shared" si="2"/>
        <v>1</v>
      </c>
    </row>
    <row r="299" spans="2:8 16383:16384" x14ac:dyDescent="0.35">
      <c r="B299" t="s">
        <v>307</v>
      </c>
      <c r="C299" s="69">
        <v>9.5238095238095233E-2</v>
      </c>
      <c r="D299" s="69">
        <v>0.11904761904761904</v>
      </c>
      <c r="E299" s="69">
        <v>4.7619047619047616E-2</v>
      </c>
      <c r="F299" s="69">
        <v>0.11904761904761904</v>
      </c>
      <c r="G299" s="69">
        <v>0.11904761904761904</v>
      </c>
      <c r="H299" s="69">
        <v>0.16666666666666666</v>
      </c>
      <c r="XFC299" t="s">
        <v>722</v>
      </c>
      <c r="XFD299">
        <f t="shared" si="2"/>
        <v>1</v>
      </c>
    </row>
    <row r="300" spans="2:8 16383:16384" x14ac:dyDescent="0.35">
      <c r="B300" t="s">
        <v>651</v>
      </c>
      <c r="C300" s="69">
        <v>0.14285714285714285</v>
      </c>
      <c r="D300" s="69">
        <v>0.16666666666666666</v>
      </c>
      <c r="E300" s="69">
        <v>9.5238095238095233E-2</v>
      </c>
      <c r="F300" s="69">
        <v>0.14285714285714285</v>
      </c>
      <c r="G300" s="69">
        <v>9.5238095238095233E-2</v>
      </c>
      <c r="H300" s="69">
        <v>0.14285714285714285</v>
      </c>
    </row>
    <row r="301" spans="2:8 16383:16384" x14ac:dyDescent="0.35">
      <c r="B301" t="s">
        <v>1097</v>
      </c>
      <c r="C301" s="69">
        <v>7.1428571428571425E-2</v>
      </c>
      <c r="D301" s="69">
        <v>9.5238095238095233E-2</v>
      </c>
      <c r="E301" s="69">
        <v>0.11904761904761904</v>
      </c>
      <c r="F301" s="69">
        <v>0.14285714285714285</v>
      </c>
      <c r="G301" s="69">
        <v>4.7619047619047616E-2</v>
      </c>
      <c r="H301" s="69">
        <v>0.16666666666666666</v>
      </c>
    </row>
    <row r="302" spans="2:8 16383:16384" x14ac:dyDescent="0.35">
      <c r="B302" t="s">
        <v>294</v>
      </c>
      <c r="C302" s="69">
        <v>0.11904761904761904</v>
      </c>
      <c r="D302" s="69">
        <v>7.1428571428571425E-2</v>
      </c>
      <c r="E302" s="69">
        <v>4.7619047619047616E-2</v>
      </c>
      <c r="F302" s="69">
        <v>4.7619047619047616E-2</v>
      </c>
      <c r="G302" s="69">
        <v>2.3809523809523808E-2</v>
      </c>
      <c r="H302" s="69">
        <v>0.11904761904761904</v>
      </c>
    </row>
    <row r="303" spans="2:8 16383:16384" x14ac:dyDescent="0.35">
      <c r="B303" t="s">
        <v>1160</v>
      </c>
      <c r="C303" s="69">
        <v>0.16666666666666666</v>
      </c>
      <c r="D303" s="69">
        <v>0.11904761904761904</v>
      </c>
      <c r="E303" s="69">
        <v>2.3809523809523808E-2</v>
      </c>
      <c r="F303" s="69">
        <v>7.1428571428571425E-2</v>
      </c>
      <c r="G303" s="69">
        <v>4.7619047619047616E-2</v>
      </c>
      <c r="H303" s="69">
        <v>0.16666666666666666</v>
      </c>
    </row>
    <row r="304" spans="2:8 16383:16384" x14ac:dyDescent="0.35">
      <c r="B304" t="s">
        <v>1461</v>
      </c>
      <c r="C304" s="69">
        <v>0.14285714285714285</v>
      </c>
      <c r="D304" s="69">
        <v>0.11904761904761904</v>
      </c>
      <c r="E304" s="69">
        <v>0.11904761904761904</v>
      </c>
      <c r="F304" s="69">
        <v>0.14285714285714285</v>
      </c>
      <c r="G304" s="69">
        <v>4.7619047619047616E-2</v>
      </c>
      <c r="H304" s="69">
        <v>0.14285714285714285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C79CD-117D-4CC1-8FA0-63E81C393844}">
  <sheetPr codeName="Sheet5"/>
  <dimension ref="A1:F304"/>
  <sheetViews>
    <sheetView topLeftCell="A194" workbookViewId="0">
      <selection activeCell="B205" sqref="B205"/>
    </sheetView>
  </sheetViews>
  <sheetFormatPr defaultRowHeight="14.5" x14ac:dyDescent="0.35"/>
  <sheetData>
    <row r="1" spans="1:6" x14ac:dyDescent="0.35">
      <c r="A1" s="9" t="s">
        <v>30</v>
      </c>
      <c r="B1" s="9" t="s">
        <v>0</v>
      </c>
      <c r="C1" t="s">
        <v>162</v>
      </c>
      <c r="D1" t="s">
        <v>163</v>
      </c>
      <c r="E1" t="s">
        <v>164</v>
      </c>
      <c r="F1" t="s">
        <v>165</v>
      </c>
    </row>
    <row r="2" spans="1:6" x14ac:dyDescent="0.35">
      <c r="B2" s="21" t="s">
        <v>322</v>
      </c>
      <c r="C2" t="s">
        <v>27</v>
      </c>
      <c r="D2" t="s">
        <v>20</v>
      </c>
      <c r="E2" t="s">
        <v>27</v>
      </c>
      <c r="F2" t="s">
        <v>20</v>
      </c>
    </row>
    <row r="3" spans="1:6" x14ac:dyDescent="0.35">
      <c r="B3" s="21" t="s">
        <v>701</v>
      </c>
      <c r="C3" t="s">
        <v>27</v>
      </c>
      <c r="D3" t="s">
        <v>20</v>
      </c>
      <c r="E3" t="s">
        <v>19</v>
      </c>
      <c r="F3" t="s">
        <v>20</v>
      </c>
    </row>
    <row r="4" spans="1:6" x14ac:dyDescent="0.35">
      <c r="B4" s="21" t="s">
        <v>718</v>
      </c>
      <c r="C4" t="s">
        <v>27</v>
      </c>
      <c r="D4" t="s">
        <v>19</v>
      </c>
      <c r="E4" t="s">
        <v>20</v>
      </c>
      <c r="F4" t="s">
        <v>27</v>
      </c>
    </row>
    <row r="5" spans="1:6" x14ac:dyDescent="0.35">
      <c r="B5" s="21" t="s">
        <v>345</v>
      </c>
      <c r="C5" t="s">
        <v>20</v>
      </c>
      <c r="D5" t="s">
        <v>75</v>
      </c>
      <c r="E5" t="s">
        <v>19</v>
      </c>
      <c r="F5" t="s">
        <v>75</v>
      </c>
    </row>
    <row r="6" spans="1:6" x14ac:dyDescent="0.35">
      <c r="B6" s="21" t="s">
        <v>328</v>
      </c>
      <c r="C6" t="s">
        <v>27</v>
      </c>
      <c r="D6" t="s">
        <v>75</v>
      </c>
      <c r="E6" t="s">
        <v>27</v>
      </c>
      <c r="F6" t="s">
        <v>75</v>
      </c>
    </row>
    <row r="7" spans="1:6" x14ac:dyDescent="0.35">
      <c r="B7" t="s">
        <v>879</v>
      </c>
      <c r="C7" t="s">
        <v>75</v>
      </c>
      <c r="D7" t="s">
        <v>20</v>
      </c>
      <c r="E7" t="s">
        <v>20</v>
      </c>
      <c r="F7" t="s">
        <v>19</v>
      </c>
    </row>
    <row r="8" spans="1:6" x14ac:dyDescent="0.35">
      <c r="B8" t="s">
        <v>353</v>
      </c>
      <c r="C8" t="s">
        <v>75</v>
      </c>
      <c r="D8" t="s">
        <v>20</v>
      </c>
      <c r="E8" t="s">
        <v>27</v>
      </c>
      <c r="F8" t="s">
        <v>19</v>
      </c>
    </row>
    <row r="9" spans="1:6" x14ac:dyDescent="0.35">
      <c r="B9" t="s">
        <v>268</v>
      </c>
      <c r="C9" t="s">
        <v>27</v>
      </c>
      <c r="D9" t="s">
        <v>20</v>
      </c>
      <c r="E9" t="s">
        <v>20</v>
      </c>
      <c r="F9" t="s">
        <v>20</v>
      </c>
    </row>
    <row r="10" spans="1:6" x14ac:dyDescent="0.35">
      <c r="B10" t="s">
        <v>699</v>
      </c>
      <c r="C10" t="s">
        <v>75</v>
      </c>
      <c r="D10" t="s">
        <v>20</v>
      </c>
      <c r="E10" t="s">
        <v>76</v>
      </c>
      <c r="F10" t="s">
        <v>20</v>
      </c>
    </row>
    <row r="11" spans="1:6" x14ac:dyDescent="0.35">
      <c r="B11" t="s">
        <v>669</v>
      </c>
      <c r="C11" t="s">
        <v>27</v>
      </c>
      <c r="D11" t="s">
        <v>20</v>
      </c>
      <c r="E11" t="s">
        <v>27</v>
      </c>
      <c r="F11" t="s">
        <v>20</v>
      </c>
    </row>
    <row r="12" spans="1:6" x14ac:dyDescent="0.35">
      <c r="B12" t="s">
        <v>708</v>
      </c>
      <c r="C12" t="s">
        <v>75</v>
      </c>
      <c r="D12" t="s">
        <v>20</v>
      </c>
      <c r="E12" t="s">
        <v>27</v>
      </c>
      <c r="F12" t="s">
        <v>20</v>
      </c>
    </row>
    <row r="13" spans="1:6" x14ac:dyDescent="0.35">
      <c r="B13" t="s">
        <v>664</v>
      </c>
      <c r="C13" t="s">
        <v>75</v>
      </c>
      <c r="D13" t="s">
        <v>20</v>
      </c>
      <c r="E13" t="s">
        <v>20</v>
      </c>
      <c r="F13" t="s">
        <v>27</v>
      </c>
    </row>
    <row r="14" spans="1:6" x14ac:dyDescent="0.35">
      <c r="B14" t="s">
        <v>698</v>
      </c>
      <c r="C14" t="s">
        <v>27</v>
      </c>
      <c r="D14" t="s">
        <v>76</v>
      </c>
      <c r="E14" t="s">
        <v>20</v>
      </c>
      <c r="F14" t="s">
        <v>20</v>
      </c>
    </row>
    <row r="15" spans="1:6" x14ac:dyDescent="0.35">
      <c r="B15" t="s">
        <v>655</v>
      </c>
      <c r="C15" t="s">
        <v>27</v>
      </c>
      <c r="D15" t="s">
        <v>19</v>
      </c>
      <c r="E15" t="s">
        <v>27</v>
      </c>
      <c r="F15" t="s">
        <v>75</v>
      </c>
    </row>
    <row r="16" spans="1:6" x14ac:dyDescent="0.35">
      <c r="B16" t="s">
        <v>685</v>
      </c>
      <c r="C16" t="s">
        <v>75</v>
      </c>
      <c r="D16" t="s">
        <v>20</v>
      </c>
      <c r="E16" t="s">
        <v>20</v>
      </c>
      <c r="F16" t="s">
        <v>27</v>
      </c>
    </row>
    <row r="17" spans="2:6" x14ac:dyDescent="0.35">
      <c r="B17" t="s">
        <v>275</v>
      </c>
      <c r="C17" t="s">
        <v>75</v>
      </c>
      <c r="D17" t="s">
        <v>20</v>
      </c>
      <c r="E17" t="s">
        <v>19</v>
      </c>
      <c r="F17" t="s">
        <v>27</v>
      </c>
    </row>
    <row r="18" spans="2:6" x14ac:dyDescent="0.35">
      <c r="B18" t="s">
        <v>323</v>
      </c>
      <c r="C18" t="s">
        <v>27</v>
      </c>
      <c r="D18" t="s">
        <v>20</v>
      </c>
      <c r="E18" t="s">
        <v>19</v>
      </c>
      <c r="F18" t="s">
        <v>27</v>
      </c>
    </row>
    <row r="19" spans="2:6" x14ac:dyDescent="0.35">
      <c r="B19" t="s">
        <v>359</v>
      </c>
      <c r="C19" t="s">
        <v>75</v>
      </c>
      <c r="D19" t="s">
        <v>27</v>
      </c>
      <c r="E19" t="s">
        <v>20</v>
      </c>
      <c r="F19" t="s">
        <v>27</v>
      </c>
    </row>
    <row r="20" spans="2:6" x14ac:dyDescent="0.35">
      <c r="B20" t="s">
        <v>693</v>
      </c>
      <c r="C20" t="s">
        <v>27</v>
      </c>
      <c r="D20" t="s">
        <v>20</v>
      </c>
      <c r="E20" t="s">
        <v>20</v>
      </c>
      <c r="F20" t="s">
        <v>75</v>
      </c>
    </row>
    <row r="21" spans="2:6" x14ac:dyDescent="0.35">
      <c r="B21" t="s">
        <v>378</v>
      </c>
      <c r="C21" t="s">
        <v>27</v>
      </c>
      <c r="D21" t="s">
        <v>27</v>
      </c>
      <c r="E21" t="s">
        <v>27</v>
      </c>
      <c r="F21" t="s">
        <v>27</v>
      </c>
    </row>
    <row r="22" spans="2:6" x14ac:dyDescent="0.35">
      <c r="B22" t="s">
        <v>270</v>
      </c>
      <c r="C22" t="s">
        <v>75</v>
      </c>
      <c r="D22" t="s">
        <v>75</v>
      </c>
      <c r="E22" t="s">
        <v>20</v>
      </c>
      <c r="F22" t="s">
        <v>20</v>
      </c>
    </row>
    <row r="23" spans="2:6" x14ac:dyDescent="0.35">
      <c r="B23" t="s">
        <v>665</v>
      </c>
      <c r="C23" t="s">
        <v>27</v>
      </c>
      <c r="D23" t="s">
        <v>20</v>
      </c>
      <c r="E23" t="s">
        <v>19</v>
      </c>
      <c r="F23" t="s">
        <v>20</v>
      </c>
    </row>
    <row r="24" spans="2:6" x14ac:dyDescent="0.35">
      <c r="B24" t="s">
        <v>349</v>
      </c>
      <c r="C24" t="s">
        <v>75</v>
      </c>
      <c r="D24" t="s">
        <v>20</v>
      </c>
      <c r="E24" t="s">
        <v>20</v>
      </c>
      <c r="F24" t="s">
        <v>20</v>
      </c>
    </row>
    <row r="25" spans="2:6" x14ac:dyDescent="0.35">
      <c r="B25" t="s">
        <v>705</v>
      </c>
      <c r="C25" t="s">
        <v>20</v>
      </c>
      <c r="D25" t="s">
        <v>76</v>
      </c>
      <c r="E25" t="s">
        <v>19</v>
      </c>
      <c r="F25" t="s">
        <v>27</v>
      </c>
    </row>
    <row r="26" spans="2:6" x14ac:dyDescent="0.35">
      <c r="B26" t="s">
        <v>311</v>
      </c>
      <c r="C26" t="s">
        <v>75</v>
      </c>
      <c r="D26" t="s">
        <v>20</v>
      </c>
      <c r="E26" t="s">
        <v>27</v>
      </c>
      <c r="F26" t="s">
        <v>27</v>
      </c>
    </row>
    <row r="27" spans="2:6" x14ac:dyDescent="0.35">
      <c r="B27" t="s">
        <v>314</v>
      </c>
      <c r="C27" t="s">
        <v>75</v>
      </c>
      <c r="D27" t="s">
        <v>27</v>
      </c>
      <c r="E27" t="s">
        <v>20</v>
      </c>
      <c r="F27" t="s">
        <v>20</v>
      </c>
    </row>
    <row r="28" spans="2:6" x14ac:dyDescent="0.35">
      <c r="B28" t="s">
        <v>673</v>
      </c>
      <c r="C28" t="s">
        <v>75</v>
      </c>
      <c r="D28" t="s">
        <v>20</v>
      </c>
      <c r="E28" t="s">
        <v>20</v>
      </c>
      <c r="F28" t="s">
        <v>20</v>
      </c>
    </row>
    <row r="29" spans="2:6" x14ac:dyDescent="0.35">
      <c r="B29" t="s">
        <v>289</v>
      </c>
      <c r="C29" t="s">
        <v>75</v>
      </c>
      <c r="D29" t="s">
        <v>75</v>
      </c>
      <c r="E29" t="s">
        <v>27</v>
      </c>
      <c r="F29" t="s">
        <v>20</v>
      </c>
    </row>
    <row r="30" spans="2:6" x14ac:dyDescent="0.35">
      <c r="B30" t="s">
        <v>667</v>
      </c>
      <c r="C30" t="s">
        <v>75</v>
      </c>
      <c r="D30" t="s">
        <v>27</v>
      </c>
      <c r="E30" t="s">
        <v>20</v>
      </c>
      <c r="F30" t="s">
        <v>27</v>
      </c>
    </row>
    <row r="31" spans="2:6" x14ac:dyDescent="0.35">
      <c r="B31" t="s">
        <v>689</v>
      </c>
      <c r="C31" t="s">
        <v>75</v>
      </c>
      <c r="D31" t="s">
        <v>20</v>
      </c>
      <c r="E31" t="s">
        <v>20</v>
      </c>
      <c r="F31" t="s">
        <v>27</v>
      </c>
    </row>
    <row r="32" spans="2:6" x14ac:dyDescent="0.35">
      <c r="B32" t="s">
        <v>250</v>
      </c>
      <c r="C32" t="s">
        <v>27</v>
      </c>
      <c r="D32" t="s">
        <v>76</v>
      </c>
      <c r="E32" t="s">
        <v>20</v>
      </c>
      <c r="F32" t="s">
        <v>27</v>
      </c>
    </row>
    <row r="33" spans="2:6" x14ac:dyDescent="0.35">
      <c r="B33" t="s">
        <v>711</v>
      </c>
      <c r="C33" t="s">
        <v>75</v>
      </c>
      <c r="D33" t="s">
        <v>20</v>
      </c>
      <c r="E33" t="s">
        <v>20</v>
      </c>
      <c r="F33" t="s">
        <v>19</v>
      </c>
    </row>
    <row r="34" spans="2:6" x14ac:dyDescent="0.35">
      <c r="B34" t="s">
        <v>295</v>
      </c>
      <c r="C34" t="s">
        <v>75</v>
      </c>
      <c r="D34" t="s">
        <v>20</v>
      </c>
      <c r="E34" t="s">
        <v>20</v>
      </c>
      <c r="F34" t="s">
        <v>27</v>
      </c>
    </row>
    <row r="35" spans="2:6" x14ac:dyDescent="0.35">
      <c r="B35" t="s">
        <v>352</v>
      </c>
      <c r="C35" t="s">
        <v>27</v>
      </c>
      <c r="D35" t="s">
        <v>27</v>
      </c>
      <c r="E35" t="s">
        <v>27</v>
      </c>
      <c r="F35" t="s">
        <v>20</v>
      </c>
    </row>
    <row r="36" spans="2:6" x14ac:dyDescent="0.35">
      <c r="B36" t="s">
        <v>360</v>
      </c>
      <c r="C36" t="s">
        <v>75</v>
      </c>
      <c r="D36" t="s">
        <v>20</v>
      </c>
      <c r="E36" t="s">
        <v>27</v>
      </c>
      <c r="F36" t="s">
        <v>27</v>
      </c>
    </row>
    <row r="37" spans="2:6" x14ac:dyDescent="0.35">
      <c r="B37" t="s">
        <v>692</v>
      </c>
      <c r="C37" t="s">
        <v>75</v>
      </c>
      <c r="D37" t="s">
        <v>20</v>
      </c>
      <c r="E37" t="s">
        <v>19</v>
      </c>
      <c r="F37" t="s">
        <v>20</v>
      </c>
    </row>
    <row r="38" spans="2:6" x14ac:dyDescent="0.35">
      <c r="B38" t="s">
        <v>291</v>
      </c>
      <c r="C38" t="s">
        <v>20</v>
      </c>
      <c r="D38" t="s">
        <v>75</v>
      </c>
      <c r="E38" t="s">
        <v>19</v>
      </c>
      <c r="F38" t="s">
        <v>19</v>
      </c>
    </row>
    <row r="39" spans="2:6" x14ac:dyDescent="0.35">
      <c r="B39" t="s">
        <v>371</v>
      </c>
      <c r="C39" t="s">
        <v>75</v>
      </c>
      <c r="D39" t="s">
        <v>20</v>
      </c>
      <c r="E39" t="s">
        <v>20</v>
      </c>
      <c r="F39" t="s">
        <v>20</v>
      </c>
    </row>
    <row r="40" spans="2:6" x14ac:dyDescent="0.35">
      <c r="B40" t="s">
        <v>280</v>
      </c>
      <c r="C40" t="s">
        <v>20</v>
      </c>
      <c r="D40" t="s">
        <v>27</v>
      </c>
      <c r="E40" t="s">
        <v>20</v>
      </c>
      <c r="F40" t="s">
        <v>27</v>
      </c>
    </row>
    <row r="41" spans="2:6" x14ac:dyDescent="0.35">
      <c r="B41" t="s">
        <v>668</v>
      </c>
      <c r="C41" t="s">
        <v>75</v>
      </c>
      <c r="D41" t="s">
        <v>27</v>
      </c>
      <c r="E41" t="s">
        <v>20</v>
      </c>
      <c r="F41" t="s">
        <v>20</v>
      </c>
    </row>
    <row r="42" spans="2:6" x14ac:dyDescent="0.35">
      <c r="B42" t="s">
        <v>687</v>
      </c>
      <c r="C42" t="s">
        <v>75</v>
      </c>
      <c r="D42" t="s">
        <v>27</v>
      </c>
      <c r="E42" t="s">
        <v>27</v>
      </c>
      <c r="F42" t="s">
        <v>19</v>
      </c>
    </row>
    <row r="43" spans="2:6" x14ac:dyDescent="0.35">
      <c r="B43" t="s">
        <v>722</v>
      </c>
    </row>
    <row r="44" spans="2:6" x14ac:dyDescent="0.35">
      <c r="B44" t="s">
        <v>302</v>
      </c>
      <c r="C44" t="s">
        <v>27</v>
      </c>
      <c r="D44" t="s">
        <v>19</v>
      </c>
      <c r="E44" t="s">
        <v>20</v>
      </c>
      <c r="F44" t="s">
        <v>27</v>
      </c>
    </row>
    <row r="45" spans="2:6" x14ac:dyDescent="0.35">
      <c r="B45" t="s">
        <v>656</v>
      </c>
      <c r="C45" t="s">
        <v>75</v>
      </c>
      <c r="D45" t="s">
        <v>27</v>
      </c>
      <c r="E45" t="s">
        <v>75</v>
      </c>
      <c r="F45" t="s">
        <v>75</v>
      </c>
    </row>
    <row r="46" spans="2:6" x14ac:dyDescent="0.35">
      <c r="B46" t="s">
        <v>374</v>
      </c>
      <c r="C46" t="s">
        <v>75</v>
      </c>
      <c r="D46" t="s">
        <v>20</v>
      </c>
      <c r="E46" t="s">
        <v>20</v>
      </c>
      <c r="F46" t="s">
        <v>20</v>
      </c>
    </row>
    <row r="47" spans="2:6" x14ac:dyDescent="0.35">
      <c r="B47" t="s">
        <v>306</v>
      </c>
      <c r="C47" t="s">
        <v>75</v>
      </c>
      <c r="D47" t="s">
        <v>27</v>
      </c>
      <c r="E47" t="s">
        <v>19</v>
      </c>
      <c r="F47" t="s">
        <v>27</v>
      </c>
    </row>
    <row r="48" spans="2:6" x14ac:dyDescent="0.35">
      <c r="B48" t="s">
        <v>379</v>
      </c>
      <c r="C48" t="s">
        <v>75</v>
      </c>
      <c r="D48" t="s">
        <v>20</v>
      </c>
      <c r="E48" t="s">
        <v>20</v>
      </c>
      <c r="F48" t="s">
        <v>27</v>
      </c>
    </row>
    <row r="49" spans="2:6" x14ac:dyDescent="0.35">
      <c r="B49" t="s">
        <v>700</v>
      </c>
    </row>
    <row r="50" spans="2:6" x14ac:dyDescent="0.35">
      <c r="B50" t="s">
        <v>346</v>
      </c>
    </row>
    <row r="51" spans="2:6" x14ac:dyDescent="0.35">
      <c r="B51" t="s">
        <v>258</v>
      </c>
      <c r="C51" t="s">
        <v>75</v>
      </c>
      <c r="D51" t="s">
        <v>20</v>
      </c>
      <c r="E51" t="s">
        <v>19</v>
      </c>
      <c r="F51" t="s">
        <v>20</v>
      </c>
    </row>
    <row r="52" spans="2:6" x14ac:dyDescent="0.35">
      <c r="B52" t="s">
        <v>690</v>
      </c>
      <c r="C52" t="s">
        <v>75</v>
      </c>
      <c r="D52" t="s">
        <v>75</v>
      </c>
      <c r="E52" t="s">
        <v>27</v>
      </c>
      <c r="F52" t="s">
        <v>20</v>
      </c>
    </row>
    <row r="53" spans="2:6" x14ac:dyDescent="0.35">
      <c r="B53" t="s">
        <v>324</v>
      </c>
      <c r="C53" t="s">
        <v>27</v>
      </c>
      <c r="D53" t="s">
        <v>20</v>
      </c>
      <c r="E53" t="s">
        <v>19</v>
      </c>
      <c r="F53" t="s">
        <v>20</v>
      </c>
    </row>
    <row r="54" spans="2:6" x14ac:dyDescent="0.35">
      <c r="B54" t="s">
        <v>267</v>
      </c>
      <c r="C54" t="s">
        <v>27</v>
      </c>
      <c r="D54" t="s">
        <v>20</v>
      </c>
      <c r="E54" t="s">
        <v>20</v>
      </c>
      <c r="F54" t="s">
        <v>27</v>
      </c>
    </row>
    <row r="55" spans="2:6" x14ac:dyDescent="0.35">
      <c r="B55" t="s">
        <v>674</v>
      </c>
      <c r="C55" t="s">
        <v>75</v>
      </c>
      <c r="D55" t="s">
        <v>20</v>
      </c>
      <c r="E55" t="s">
        <v>20</v>
      </c>
      <c r="F55" t="s">
        <v>20</v>
      </c>
    </row>
    <row r="56" spans="2:6" x14ac:dyDescent="0.35">
      <c r="B56" t="s">
        <v>245</v>
      </c>
      <c r="C56" t="s">
        <v>75</v>
      </c>
      <c r="D56" t="s">
        <v>75</v>
      </c>
      <c r="E56" t="s">
        <v>20</v>
      </c>
      <c r="F56" t="s">
        <v>27</v>
      </c>
    </row>
    <row r="57" spans="2:6" x14ac:dyDescent="0.35">
      <c r="B57" t="s">
        <v>691</v>
      </c>
      <c r="C57" t="s">
        <v>75</v>
      </c>
      <c r="D57" t="s">
        <v>20</v>
      </c>
      <c r="E57" t="s">
        <v>20</v>
      </c>
      <c r="F57" t="s">
        <v>19</v>
      </c>
    </row>
    <row r="58" spans="2:6" x14ac:dyDescent="0.35">
      <c r="B58" t="s">
        <v>684</v>
      </c>
      <c r="C58" t="s">
        <v>75</v>
      </c>
      <c r="D58" t="s">
        <v>75</v>
      </c>
      <c r="E58" t="s">
        <v>75</v>
      </c>
      <c r="F58" t="s">
        <v>20</v>
      </c>
    </row>
    <row r="59" spans="2:6" x14ac:dyDescent="0.35">
      <c r="B59" t="s">
        <v>372</v>
      </c>
      <c r="C59" t="s">
        <v>75</v>
      </c>
      <c r="D59" t="s">
        <v>20</v>
      </c>
      <c r="E59" t="s">
        <v>20</v>
      </c>
      <c r="F59" t="s">
        <v>19</v>
      </c>
    </row>
    <row r="60" spans="2:6" x14ac:dyDescent="0.35">
      <c r="B60" t="s">
        <v>240</v>
      </c>
      <c r="C60" t="s">
        <v>75</v>
      </c>
      <c r="D60" t="s">
        <v>75</v>
      </c>
      <c r="E60" t="s">
        <v>20</v>
      </c>
      <c r="F60" t="s">
        <v>20</v>
      </c>
    </row>
    <row r="61" spans="2:6" x14ac:dyDescent="0.35">
      <c r="B61" t="s">
        <v>670</v>
      </c>
      <c r="C61" t="s">
        <v>75</v>
      </c>
      <c r="D61" t="s">
        <v>75</v>
      </c>
      <c r="E61" t="s">
        <v>20</v>
      </c>
      <c r="F61" t="s">
        <v>27</v>
      </c>
    </row>
    <row r="62" spans="2:6" x14ac:dyDescent="0.35">
      <c r="B62" t="s">
        <v>320</v>
      </c>
    </row>
    <row r="63" spans="2:6" x14ac:dyDescent="0.35">
      <c r="B63" t="s">
        <v>334</v>
      </c>
      <c r="C63" t="s">
        <v>27</v>
      </c>
      <c r="D63" t="s">
        <v>27</v>
      </c>
      <c r="E63" t="s">
        <v>19</v>
      </c>
      <c r="F63" t="s">
        <v>20</v>
      </c>
    </row>
    <row r="64" spans="2:6" x14ac:dyDescent="0.35">
      <c r="B64" t="s">
        <v>375</v>
      </c>
      <c r="C64" t="s">
        <v>75</v>
      </c>
      <c r="D64" t="s">
        <v>20</v>
      </c>
      <c r="E64" t="s">
        <v>27</v>
      </c>
      <c r="F64" t="s">
        <v>75</v>
      </c>
    </row>
    <row r="65" spans="2:6" x14ac:dyDescent="0.35">
      <c r="B65" t="s">
        <v>677</v>
      </c>
      <c r="C65" t="s">
        <v>75</v>
      </c>
      <c r="D65" t="s">
        <v>27</v>
      </c>
      <c r="E65" t="s">
        <v>27</v>
      </c>
      <c r="F65" t="s">
        <v>27</v>
      </c>
    </row>
    <row r="66" spans="2:6" x14ac:dyDescent="0.35">
      <c r="B66" t="s">
        <v>277</v>
      </c>
      <c r="C66" t="s">
        <v>75</v>
      </c>
      <c r="D66" t="s">
        <v>20</v>
      </c>
      <c r="E66" t="s">
        <v>19</v>
      </c>
      <c r="F66" t="s">
        <v>19</v>
      </c>
    </row>
    <row r="67" spans="2:6" x14ac:dyDescent="0.35">
      <c r="B67" t="s">
        <v>717</v>
      </c>
      <c r="C67" t="s">
        <v>75</v>
      </c>
      <c r="D67" t="s">
        <v>20</v>
      </c>
      <c r="E67" t="s">
        <v>27</v>
      </c>
      <c r="F67" t="s">
        <v>20</v>
      </c>
    </row>
    <row r="68" spans="2:6" x14ac:dyDescent="0.35">
      <c r="B68" t="s">
        <v>659</v>
      </c>
      <c r="C68" t="s">
        <v>75</v>
      </c>
      <c r="D68" t="s">
        <v>27</v>
      </c>
      <c r="E68" t="s">
        <v>20</v>
      </c>
      <c r="F68" t="s">
        <v>20</v>
      </c>
    </row>
    <row r="69" spans="2:6" x14ac:dyDescent="0.35">
      <c r="B69" t="s">
        <v>366</v>
      </c>
      <c r="C69" t="s">
        <v>75</v>
      </c>
      <c r="D69" t="s">
        <v>20</v>
      </c>
      <c r="E69" t="s">
        <v>20</v>
      </c>
      <c r="F69" t="s">
        <v>20</v>
      </c>
    </row>
    <row r="70" spans="2:6" x14ac:dyDescent="0.35">
      <c r="B70" t="s">
        <v>269</v>
      </c>
      <c r="C70" t="s">
        <v>75</v>
      </c>
      <c r="D70" t="s">
        <v>20</v>
      </c>
      <c r="E70" t="s">
        <v>19</v>
      </c>
      <c r="F70" t="s">
        <v>20</v>
      </c>
    </row>
    <row r="71" spans="2:6" x14ac:dyDescent="0.35">
      <c r="B71" t="s">
        <v>301</v>
      </c>
      <c r="C71" t="s">
        <v>75</v>
      </c>
      <c r="D71" t="s">
        <v>75</v>
      </c>
      <c r="E71" t="s">
        <v>27</v>
      </c>
      <c r="F71" t="s">
        <v>27</v>
      </c>
    </row>
    <row r="72" spans="2:6" x14ac:dyDescent="0.35">
      <c r="B72" t="s">
        <v>716</v>
      </c>
      <c r="C72" t="s">
        <v>75</v>
      </c>
      <c r="D72" t="s">
        <v>20</v>
      </c>
      <c r="E72" t="s">
        <v>19</v>
      </c>
      <c r="F72" t="s">
        <v>27</v>
      </c>
    </row>
    <row r="73" spans="2:6" x14ac:dyDescent="0.35">
      <c r="B73" t="s">
        <v>313</v>
      </c>
      <c r="C73" t="s">
        <v>75</v>
      </c>
      <c r="D73" t="s">
        <v>19</v>
      </c>
      <c r="E73" t="s">
        <v>19</v>
      </c>
      <c r="F73" t="s">
        <v>19</v>
      </c>
    </row>
    <row r="74" spans="2:6" x14ac:dyDescent="0.35">
      <c r="B74" t="s">
        <v>251</v>
      </c>
      <c r="C74" t="s">
        <v>20</v>
      </c>
      <c r="D74" t="s">
        <v>20</v>
      </c>
      <c r="E74" t="s">
        <v>27</v>
      </c>
      <c r="F74" t="s">
        <v>27</v>
      </c>
    </row>
    <row r="75" spans="2:6" x14ac:dyDescent="0.35">
      <c r="B75" t="s">
        <v>363</v>
      </c>
      <c r="C75" t="s">
        <v>75</v>
      </c>
      <c r="D75" t="s">
        <v>20</v>
      </c>
      <c r="E75" t="s">
        <v>20</v>
      </c>
      <c r="F75" t="s">
        <v>27</v>
      </c>
    </row>
    <row r="76" spans="2:6" x14ac:dyDescent="0.35">
      <c r="B76" t="s">
        <v>278</v>
      </c>
      <c r="C76" t="s">
        <v>75</v>
      </c>
      <c r="D76" t="s">
        <v>20</v>
      </c>
      <c r="E76" t="s">
        <v>27</v>
      </c>
      <c r="F76" t="s">
        <v>27</v>
      </c>
    </row>
    <row r="77" spans="2:6" x14ac:dyDescent="0.35">
      <c r="B77" t="s">
        <v>660</v>
      </c>
      <c r="C77" t="s">
        <v>75</v>
      </c>
      <c r="D77" t="s">
        <v>20</v>
      </c>
      <c r="E77" t="s">
        <v>20</v>
      </c>
      <c r="F77" t="s">
        <v>20</v>
      </c>
    </row>
    <row r="78" spans="2:6" x14ac:dyDescent="0.35">
      <c r="B78" t="s">
        <v>652</v>
      </c>
      <c r="C78" t="s">
        <v>75</v>
      </c>
      <c r="D78" t="s">
        <v>20</v>
      </c>
      <c r="E78" t="s">
        <v>75</v>
      </c>
      <c r="F78" t="s">
        <v>20</v>
      </c>
    </row>
    <row r="79" spans="2:6" x14ac:dyDescent="0.35">
      <c r="B79" t="s">
        <v>675</v>
      </c>
      <c r="C79" t="s">
        <v>27</v>
      </c>
      <c r="D79" t="s">
        <v>20</v>
      </c>
      <c r="E79" t="s">
        <v>20</v>
      </c>
      <c r="F79" t="s">
        <v>20</v>
      </c>
    </row>
    <row r="80" spans="2:6" x14ac:dyDescent="0.35">
      <c r="B80" t="s">
        <v>658</v>
      </c>
      <c r="C80" t="s">
        <v>75</v>
      </c>
      <c r="D80" t="s">
        <v>75</v>
      </c>
      <c r="E80" t="s">
        <v>27</v>
      </c>
      <c r="F80" t="s">
        <v>20</v>
      </c>
    </row>
    <row r="81" spans="2:6" x14ac:dyDescent="0.35">
      <c r="B81" t="s">
        <v>678</v>
      </c>
      <c r="C81" t="s">
        <v>27</v>
      </c>
      <c r="D81" t="s">
        <v>75</v>
      </c>
      <c r="E81" t="s">
        <v>20</v>
      </c>
      <c r="F81" t="s">
        <v>20</v>
      </c>
    </row>
    <row r="82" spans="2:6" x14ac:dyDescent="0.35">
      <c r="B82" t="s">
        <v>271</v>
      </c>
      <c r="C82" t="s">
        <v>75</v>
      </c>
      <c r="D82" t="s">
        <v>20</v>
      </c>
      <c r="E82" t="s">
        <v>20</v>
      </c>
      <c r="F82" t="s">
        <v>20</v>
      </c>
    </row>
    <row r="83" spans="2:6" x14ac:dyDescent="0.35">
      <c r="B83" t="s">
        <v>337</v>
      </c>
      <c r="C83" t="s">
        <v>75</v>
      </c>
      <c r="D83" t="s">
        <v>20</v>
      </c>
      <c r="E83" t="s">
        <v>27</v>
      </c>
      <c r="F83" t="s">
        <v>20</v>
      </c>
    </row>
    <row r="84" spans="2:6" x14ac:dyDescent="0.35">
      <c r="B84" t="s">
        <v>671</v>
      </c>
      <c r="C84" t="s">
        <v>75</v>
      </c>
      <c r="D84" t="s">
        <v>20</v>
      </c>
      <c r="E84" t="s">
        <v>20</v>
      </c>
      <c r="F84" t="s">
        <v>20</v>
      </c>
    </row>
    <row r="85" spans="2:6" x14ac:dyDescent="0.35">
      <c r="B85" t="s">
        <v>350</v>
      </c>
      <c r="C85" t="s">
        <v>75</v>
      </c>
      <c r="D85" t="s">
        <v>20</v>
      </c>
      <c r="E85" t="s">
        <v>19</v>
      </c>
      <c r="F85" t="s">
        <v>20</v>
      </c>
    </row>
    <row r="86" spans="2:6" x14ac:dyDescent="0.35">
      <c r="B86" t="s">
        <v>683</v>
      </c>
      <c r="C86" t="s">
        <v>75</v>
      </c>
      <c r="D86" t="s">
        <v>20</v>
      </c>
      <c r="E86" t="s">
        <v>75</v>
      </c>
      <c r="F86" t="s">
        <v>75</v>
      </c>
    </row>
    <row r="87" spans="2:6" x14ac:dyDescent="0.35">
      <c r="B87" t="s">
        <v>704</v>
      </c>
      <c r="C87" t="s">
        <v>27</v>
      </c>
      <c r="D87" t="s">
        <v>19</v>
      </c>
      <c r="E87" t="s">
        <v>20</v>
      </c>
      <c r="F87" t="s">
        <v>27</v>
      </c>
    </row>
    <row r="88" spans="2:6" x14ac:dyDescent="0.35">
      <c r="B88" t="s">
        <v>703</v>
      </c>
      <c r="C88" t="s">
        <v>27</v>
      </c>
      <c r="D88" t="s">
        <v>20</v>
      </c>
      <c r="E88" t="s">
        <v>20</v>
      </c>
      <c r="F88" t="s">
        <v>27</v>
      </c>
    </row>
    <row r="89" spans="2:6" x14ac:dyDescent="0.35">
      <c r="B89" t="s">
        <v>365</v>
      </c>
      <c r="C89" t="s">
        <v>75</v>
      </c>
      <c r="D89" t="s">
        <v>20</v>
      </c>
      <c r="E89" t="s">
        <v>27</v>
      </c>
      <c r="F89" t="s">
        <v>20</v>
      </c>
    </row>
    <row r="90" spans="2:6" x14ac:dyDescent="0.35">
      <c r="B90" t="s">
        <v>721</v>
      </c>
      <c r="C90" t="s">
        <v>19</v>
      </c>
      <c r="D90" t="s">
        <v>75</v>
      </c>
      <c r="E90" t="s">
        <v>20</v>
      </c>
      <c r="F90" t="s">
        <v>19</v>
      </c>
    </row>
    <row r="91" spans="2:6" x14ac:dyDescent="0.35">
      <c r="B91" t="s">
        <v>681</v>
      </c>
    </row>
    <row r="92" spans="2:6" x14ac:dyDescent="0.35">
      <c r="B92" t="s">
        <v>657</v>
      </c>
      <c r="C92" t="s">
        <v>27</v>
      </c>
      <c r="D92" t="s">
        <v>20</v>
      </c>
      <c r="E92" t="s">
        <v>20</v>
      </c>
      <c r="F92" t="s">
        <v>27</v>
      </c>
    </row>
    <row r="93" spans="2:6" x14ac:dyDescent="0.35">
      <c r="B93" t="s">
        <v>713</v>
      </c>
      <c r="C93" t="s">
        <v>75</v>
      </c>
      <c r="D93" t="s">
        <v>20</v>
      </c>
      <c r="E93" t="s">
        <v>20</v>
      </c>
      <c r="F93" t="s">
        <v>27</v>
      </c>
    </row>
    <row r="94" spans="2:6" x14ac:dyDescent="0.35">
      <c r="B94" t="s">
        <v>709</v>
      </c>
      <c r="C94" t="s">
        <v>75</v>
      </c>
      <c r="D94" t="s">
        <v>20</v>
      </c>
      <c r="E94" t="s">
        <v>75</v>
      </c>
      <c r="F94" t="s">
        <v>20</v>
      </c>
    </row>
    <row r="95" spans="2:6" x14ac:dyDescent="0.35">
      <c r="B95" t="s">
        <v>662</v>
      </c>
      <c r="C95" t="s">
        <v>27</v>
      </c>
      <c r="D95" t="s">
        <v>20</v>
      </c>
      <c r="E95" t="s">
        <v>20</v>
      </c>
      <c r="F95" t="s">
        <v>75</v>
      </c>
    </row>
    <row r="96" spans="2:6" x14ac:dyDescent="0.35">
      <c r="B96" t="s">
        <v>299</v>
      </c>
      <c r="C96" t="s">
        <v>27</v>
      </c>
      <c r="D96" t="s">
        <v>20</v>
      </c>
      <c r="E96" t="s">
        <v>27</v>
      </c>
      <c r="F96" t="s">
        <v>27</v>
      </c>
    </row>
    <row r="97" spans="2:6" x14ac:dyDescent="0.35">
      <c r="B97" t="s">
        <v>714</v>
      </c>
      <c r="C97" t="s">
        <v>27</v>
      </c>
      <c r="D97" t="s">
        <v>20</v>
      </c>
      <c r="E97" t="s">
        <v>19</v>
      </c>
      <c r="F97" t="s">
        <v>20</v>
      </c>
    </row>
    <row r="98" spans="2:6" x14ac:dyDescent="0.35">
      <c r="B98" t="s">
        <v>276</v>
      </c>
      <c r="C98" t="s">
        <v>27</v>
      </c>
      <c r="D98" t="s">
        <v>19</v>
      </c>
      <c r="E98" t="s">
        <v>27</v>
      </c>
      <c r="F98" t="s">
        <v>20</v>
      </c>
    </row>
    <row r="99" spans="2:6" x14ac:dyDescent="0.35">
      <c r="B99" t="s">
        <v>247</v>
      </c>
      <c r="C99" t="s">
        <v>75</v>
      </c>
      <c r="D99" t="s">
        <v>75</v>
      </c>
      <c r="E99" t="s">
        <v>20</v>
      </c>
      <c r="F99" t="s">
        <v>27</v>
      </c>
    </row>
    <row r="100" spans="2:6" x14ac:dyDescent="0.35">
      <c r="B100" t="s">
        <v>266</v>
      </c>
      <c r="C100" t="s">
        <v>20</v>
      </c>
      <c r="D100" t="s">
        <v>20</v>
      </c>
      <c r="E100" t="s">
        <v>20</v>
      </c>
      <c r="F100" t="s">
        <v>27</v>
      </c>
    </row>
    <row r="101" spans="2:6" x14ac:dyDescent="0.35">
      <c r="B101" t="s">
        <v>1486</v>
      </c>
      <c r="C101" t="s">
        <v>75</v>
      </c>
      <c r="D101" t="s">
        <v>27</v>
      </c>
      <c r="E101" t="s">
        <v>27</v>
      </c>
      <c r="F101" t="s">
        <v>19</v>
      </c>
    </row>
    <row r="102" spans="2:6" x14ac:dyDescent="0.35">
      <c r="B102" t="s">
        <v>702</v>
      </c>
      <c r="C102" t="s">
        <v>75</v>
      </c>
      <c r="D102" t="s">
        <v>20</v>
      </c>
      <c r="E102" t="s">
        <v>20</v>
      </c>
      <c r="F102" t="s">
        <v>20</v>
      </c>
    </row>
    <row r="103" spans="2:6" x14ac:dyDescent="0.35">
      <c r="B103" t="s">
        <v>297</v>
      </c>
      <c r="C103" t="s">
        <v>75</v>
      </c>
      <c r="D103" t="s">
        <v>75</v>
      </c>
      <c r="E103" t="s">
        <v>19</v>
      </c>
      <c r="F103" t="s">
        <v>20</v>
      </c>
    </row>
    <row r="104" spans="2:6" x14ac:dyDescent="0.35">
      <c r="B104" t="s">
        <v>336</v>
      </c>
      <c r="C104" t="s">
        <v>75</v>
      </c>
      <c r="D104" t="s">
        <v>75</v>
      </c>
      <c r="E104" t="s">
        <v>19</v>
      </c>
      <c r="F104" t="s">
        <v>20</v>
      </c>
    </row>
    <row r="105" spans="2:6" x14ac:dyDescent="0.35">
      <c r="B105" t="s">
        <v>680</v>
      </c>
      <c r="C105" t="s">
        <v>75</v>
      </c>
      <c r="D105" t="s">
        <v>20</v>
      </c>
      <c r="E105" t="s">
        <v>20</v>
      </c>
      <c r="F105" t="s">
        <v>20</v>
      </c>
    </row>
    <row r="106" spans="2:6" x14ac:dyDescent="0.35">
      <c r="B106" t="s">
        <v>356</v>
      </c>
      <c r="C106" t="s">
        <v>27</v>
      </c>
      <c r="D106" t="s">
        <v>27</v>
      </c>
      <c r="E106" t="s">
        <v>20</v>
      </c>
      <c r="F106" t="s">
        <v>27</v>
      </c>
    </row>
    <row r="107" spans="2:6" x14ac:dyDescent="0.35">
      <c r="B107" t="s">
        <v>255</v>
      </c>
      <c r="C107" t="s">
        <v>27</v>
      </c>
      <c r="D107" t="s">
        <v>20</v>
      </c>
      <c r="E107" t="s">
        <v>19</v>
      </c>
      <c r="F107" t="s">
        <v>27</v>
      </c>
    </row>
    <row r="108" spans="2:6" x14ac:dyDescent="0.35">
      <c r="B108" t="s">
        <v>666</v>
      </c>
    </row>
    <row r="109" spans="2:6" x14ac:dyDescent="0.35">
      <c r="B109" t="s">
        <v>344</v>
      </c>
      <c r="C109" t="s">
        <v>75</v>
      </c>
      <c r="D109" t="s">
        <v>20</v>
      </c>
      <c r="E109" t="s">
        <v>20</v>
      </c>
      <c r="F109" t="s">
        <v>20</v>
      </c>
    </row>
    <row r="110" spans="2:6" x14ac:dyDescent="0.35">
      <c r="B110" t="s">
        <v>661</v>
      </c>
      <c r="C110" t="s">
        <v>75</v>
      </c>
      <c r="D110" t="s">
        <v>75</v>
      </c>
      <c r="E110" t="s">
        <v>20</v>
      </c>
      <c r="F110" t="s">
        <v>20</v>
      </c>
    </row>
    <row r="111" spans="2:6" x14ac:dyDescent="0.35">
      <c r="B111" t="s">
        <v>242</v>
      </c>
      <c r="C111" t="s">
        <v>75</v>
      </c>
      <c r="D111" t="s">
        <v>75</v>
      </c>
      <c r="E111" t="s">
        <v>20</v>
      </c>
      <c r="F111" t="s">
        <v>20</v>
      </c>
    </row>
    <row r="112" spans="2:6" x14ac:dyDescent="0.35">
      <c r="B112" t="s">
        <v>354</v>
      </c>
      <c r="C112" t="s">
        <v>75</v>
      </c>
      <c r="D112" t="s">
        <v>27</v>
      </c>
      <c r="E112" t="s">
        <v>20</v>
      </c>
      <c r="F112" t="s">
        <v>19</v>
      </c>
    </row>
    <row r="113" spans="2:6" x14ac:dyDescent="0.35">
      <c r="B113" t="s">
        <v>273</v>
      </c>
      <c r="C113" t="s">
        <v>75</v>
      </c>
      <c r="D113" t="s">
        <v>20</v>
      </c>
      <c r="E113" t="s">
        <v>20</v>
      </c>
      <c r="F113" t="s">
        <v>27</v>
      </c>
    </row>
    <row r="114" spans="2:6" x14ac:dyDescent="0.35">
      <c r="B114" t="s">
        <v>257</v>
      </c>
      <c r="C114" t="s">
        <v>20</v>
      </c>
      <c r="D114" t="s">
        <v>20</v>
      </c>
      <c r="E114" t="s">
        <v>27</v>
      </c>
      <c r="F114" t="s">
        <v>75</v>
      </c>
    </row>
    <row r="115" spans="2:6" x14ac:dyDescent="0.35">
      <c r="B115" t="s">
        <v>719</v>
      </c>
      <c r="C115" t="s">
        <v>75</v>
      </c>
      <c r="D115" t="s">
        <v>20</v>
      </c>
      <c r="E115" t="s">
        <v>20</v>
      </c>
      <c r="F115" t="s">
        <v>20</v>
      </c>
    </row>
    <row r="116" spans="2:6" x14ac:dyDescent="0.35">
      <c r="B116" t="s">
        <v>695</v>
      </c>
      <c r="C116" t="s">
        <v>75</v>
      </c>
      <c r="D116" t="s">
        <v>19</v>
      </c>
      <c r="E116" t="s">
        <v>19</v>
      </c>
      <c r="F116" t="s">
        <v>27</v>
      </c>
    </row>
    <row r="117" spans="2:6" x14ac:dyDescent="0.35">
      <c r="B117" t="s">
        <v>282</v>
      </c>
      <c r="C117" t="s">
        <v>75</v>
      </c>
      <c r="D117" t="s">
        <v>20</v>
      </c>
      <c r="E117" t="s">
        <v>20</v>
      </c>
      <c r="F117" t="s">
        <v>27</v>
      </c>
    </row>
    <row r="118" spans="2:6" x14ac:dyDescent="0.35">
      <c r="B118" t="s">
        <v>653</v>
      </c>
      <c r="C118" t="s">
        <v>75</v>
      </c>
      <c r="D118" t="s">
        <v>27</v>
      </c>
      <c r="E118" t="s">
        <v>20</v>
      </c>
      <c r="F118" t="s">
        <v>75</v>
      </c>
    </row>
    <row r="119" spans="2:6" x14ac:dyDescent="0.35">
      <c r="B119" t="s">
        <v>720</v>
      </c>
      <c r="C119" t="s">
        <v>75</v>
      </c>
      <c r="D119" t="s">
        <v>20</v>
      </c>
      <c r="E119" t="s">
        <v>20</v>
      </c>
      <c r="F119" t="s">
        <v>20</v>
      </c>
    </row>
    <row r="120" spans="2:6" x14ac:dyDescent="0.35">
      <c r="B120" t="s">
        <v>712</v>
      </c>
      <c r="C120" t="s">
        <v>27</v>
      </c>
      <c r="D120" t="s">
        <v>20</v>
      </c>
      <c r="E120" t="s">
        <v>19</v>
      </c>
      <c r="F120" t="s">
        <v>20</v>
      </c>
    </row>
    <row r="121" spans="2:6" x14ac:dyDescent="0.35">
      <c r="B121" t="s">
        <v>342</v>
      </c>
      <c r="C121" t="s">
        <v>20</v>
      </c>
      <c r="D121" t="s">
        <v>19</v>
      </c>
      <c r="E121" t="s">
        <v>27</v>
      </c>
      <c r="F121" t="s">
        <v>75</v>
      </c>
    </row>
    <row r="122" spans="2:6" x14ac:dyDescent="0.35">
      <c r="B122" t="s">
        <v>682</v>
      </c>
      <c r="C122" t="s">
        <v>27</v>
      </c>
      <c r="D122" t="s">
        <v>20</v>
      </c>
      <c r="E122" t="s">
        <v>20</v>
      </c>
      <c r="F122" t="s">
        <v>27</v>
      </c>
    </row>
    <row r="123" spans="2:6" x14ac:dyDescent="0.35">
      <c r="B123" t="s">
        <v>694</v>
      </c>
      <c r="C123" t="s">
        <v>75</v>
      </c>
      <c r="D123" t="s">
        <v>20</v>
      </c>
      <c r="E123" t="s">
        <v>19</v>
      </c>
      <c r="F123" t="s">
        <v>27</v>
      </c>
    </row>
    <row r="124" spans="2:6" x14ac:dyDescent="0.35">
      <c r="B124" t="s">
        <v>715</v>
      </c>
      <c r="C124" t="s">
        <v>27</v>
      </c>
      <c r="D124" t="s">
        <v>20</v>
      </c>
      <c r="E124" t="s">
        <v>75</v>
      </c>
      <c r="F124" t="s">
        <v>27</v>
      </c>
    </row>
    <row r="125" spans="2:6" x14ac:dyDescent="0.35">
      <c r="B125" t="s">
        <v>686</v>
      </c>
      <c r="C125" t="s">
        <v>75</v>
      </c>
      <c r="D125" t="s">
        <v>75</v>
      </c>
      <c r="E125" t="s">
        <v>20</v>
      </c>
      <c r="F125" t="s">
        <v>20</v>
      </c>
    </row>
    <row r="126" spans="2:6" x14ac:dyDescent="0.35">
      <c r="B126" t="s">
        <v>583</v>
      </c>
      <c r="C126" t="s">
        <v>75</v>
      </c>
      <c r="D126" t="s">
        <v>19</v>
      </c>
      <c r="E126" t="s">
        <v>19</v>
      </c>
      <c r="F126" t="s">
        <v>27</v>
      </c>
    </row>
    <row r="127" spans="2:6" x14ac:dyDescent="0.35">
      <c r="B127" t="s">
        <v>676</v>
      </c>
      <c r="C127" t="s">
        <v>75</v>
      </c>
      <c r="D127" t="s">
        <v>19</v>
      </c>
      <c r="E127" t="s">
        <v>19</v>
      </c>
      <c r="F127" t="s">
        <v>19</v>
      </c>
    </row>
    <row r="128" spans="2:6" x14ac:dyDescent="0.35">
      <c r="B128" t="s">
        <v>697</v>
      </c>
      <c r="C128" t="s">
        <v>20</v>
      </c>
      <c r="D128" t="s">
        <v>19</v>
      </c>
      <c r="E128" t="s">
        <v>20</v>
      </c>
      <c r="F128" t="s">
        <v>19</v>
      </c>
    </row>
    <row r="129" spans="2:6" x14ac:dyDescent="0.35">
      <c r="B129" t="s">
        <v>696</v>
      </c>
      <c r="C129" t="s">
        <v>75</v>
      </c>
      <c r="D129" t="s">
        <v>75</v>
      </c>
      <c r="E129" t="s">
        <v>20</v>
      </c>
      <c r="F129" t="s">
        <v>27</v>
      </c>
    </row>
    <row r="130" spans="2:6" x14ac:dyDescent="0.35">
      <c r="B130" t="s">
        <v>710</v>
      </c>
      <c r="C130" t="s">
        <v>75</v>
      </c>
      <c r="D130" t="s">
        <v>20</v>
      </c>
      <c r="E130" t="s">
        <v>19</v>
      </c>
      <c r="F130" t="s">
        <v>20</v>
      </c>
    </row>
    <row r="131" spans="2:6" x14ac:dyDescent="0.35">
      <c r="B131" t="s">
        <v>329</v>
      </c>
      <c r="C131" t="s">
        <v>75</v>
      </c>
      <c r="D131" t="s">
        <v>20</v>
      </c>
      <c r="E131" t="s">
        <v>75</v>
      </c>
      <c r="F131" t="s">
        <v>20</v>
      </c>
    </row>
    <row r="132" spans="2:6" x14ac:dyDescent="0.35">
      <c r="B132" t="s">
        <v>581</v>
      </c>
      <c r="C132" t="s">
        <v>75</v>
      </c>
      <c r="D132" t="s">
        <v>20</v>
      </c>
      <c r="E132" t="s">
        <v>20</v>
      </c>
      <c r="F132" t="s">
        <v>27</v>
      </c>
    </row>
    <row r="133" spans="2:6" x14ac:dyDescent="0.35">
      <c r="B133" t="s">
        <v>706</v>
      </c>
      <c r="C133" t="s">
        <v>75</v>
      </c>
      <c r="D133" t="s">
        <v>75</v>
      </c>
      <c r="E133" t="s">
        <v>75</v>
      </c>
      <c r="F133" t="s">
        <v>76</v>
      </c>
    </row>
    <row r="134" spans="2:6" x14ac:dyDescent="0.35">
      <c r="B134" t="s">
        <v>663</v>
      </c>
      <c r="C134" t="s">
        <v>20</v>
      </c>
      <c r="D134" t="s">
        <v>20</v>
      </c>
      <c r="E134" t="s">
        <v>20</v>
      </c>
      <c r="F134" t="s">
        <v>27</v>
      </c>
    </row>
    <row r="135" spans="2:6" x14ac:dyDescent="0.35">
      <c r="B135" t="s">
        <v>650</v>
      </c>
      <c r="C135" t="s">
        <v>1487</v>
      </c>
      <c r="D135" t="s">
        <v>75</v>
      </c>
      <c r="E135" t="s">
        <v>27</v>
      </c>
      <c r="F135" t="s">
        <v>19</v>
      </c>
    </row>
    <row r="136" spans="2:6" x14ac:dyDescent="0.35">
      <c r="B136" t="s">
        <v>318</v>
      </c>
      <c r="C136" t="s">
        <v>75</v>
      </c>
      <c r="D136" t="s">
        <v>75</v>
      </c>
      <c r="E136" t="s">
        <v>20</v>
      </c>
      <c r="F136" t="s">
        <v>20</v>
      </c>
    </row>
    <row r="137" spans="2:6" x14ac:dyDescent="0.35">
      <c r="B137" t="s">
        <v>688</v>
      </c>
      <c r="C137" t="s">
        <v>75</v>
      </c>
      <c r="D137" t="s">
        <v>20</v>
      </c>
      <c r="E137" t="s">
        <v>27</v>
      </c>
      <c r="F137" t="s">
        <v>20</v>
      </c>
    </row>
    <row r="138" spans="2:6" x14ac:dyDescent="0.35">
      <c r="B138" t="s">
        <v>284</v>
      </c>
      <c r="C138" t="s">
        <v>75</v>
      </c>
      <c r="D138" t="s">
        <v>20</v>
      </c>
      <c r="E138" t="s">
        <v>19</v>
      </c>
      <c r="F138" t="s">
        <v>75</v>
      </c>
    </row>
    <row r="139" spans="2:6" x14ac:dyDescent="0.35">
      <c r="B139" t="s">
        <v>303</v>
      </c>
      <c r="C139" t="s">
        <v>75</v>
      </c>
      <c r="D139" t="s">
        <v>20</v>
      </c>
      <c r="E139" t="s">
        <v>20</v>
      </c>
      <c r="F139" t="s">
        <v>20</v>
      </c>
    </row>
    <row r="140" spans="2:6" x14ac:dyDescent="0.35">
      <c r="B140" t="s">
        <v>679</v>
      </c>
      <c r="C140" t="s">
        <v>75</v>
      </c>
      <c r="D140" t="s">
        <v>75</v>
      </c>
      <c r="E140" t="s">
        <v>20</v>
      </c>
      <c r="F140" t="s">
        <v>27</v>
      </c>
    </row>
    <row r="141" spans="2:6" x14ac:dyDescent="0.35">
      <c r="B141" t="s">
        <v>672</v>
      </c>
      <c r="C141" t="s">
        <v>75</v>
      </c>
      <c r="D141" t="s">
        <v>27</v>
      </c>
      <c r="E141" t="s">
        <v>27</v>
      </c>
      <c r="F141" t="s">
        <v>27</v>
      </c>
    </row>
    <row r="142" spans="2:6" x14ac:dyDescent="0.35">
      <c r="B142" t="s">
        <v>340</v>
      </c>
      <c r="C142" t="s">
        <v>27</v>
      </c>
      <c r="D142" t="s">
        <v>27</v>
      </c>
      <c r="E142" t="s">
        <v>20</v>
      </c>
      <c r="F142" t="s">
        <v>27</v>
      </c>
    </row>
    <row r="143" spans="2:6" x14ac:dyDescent="0.35">
      <c r="B143" t="s">
        <v>654</v>
      </c>
      <c r="C143" t="s">
        <v>75</v>
      </c>
      <c r="D143" t="s">
        <v>20</v>
      </c>
      <c r="E143" t="s">
        <v>20</v>
      </c>
      <c r="F143" t="s">
        <v>27</v>
      </c>
    </row>
    <row r="144" spans="2:6" x14ac:dyDescent="0.35">
      <c r="B144" t="s">
        <v>309</v>
      </c>
      <c r="C144" t="s">
        <v>20</v>
      </c>
      <c r="D144" t="s">
        <v>20</v>
      </c>
      <c r="E144" t="s">
        <v>20</v>
      </c>
      <c r="F144" t="s">
        <v>75</v>
      </c>
    </row>
    <row r="145" spans="2:6" x14ac:dyDescent="0.35">
      <c r="B145" t="s">
        <v>707</v>
      </c>
      <c r="C145" t="s">
        <v>27</v>
      </c>
      <c r="D145" t="s">
        <v>19</v>
      </c>
      <c r="E145" t="s">
        <v>19</v>
      </c>
      <c r="F145" t="s">
        <v>75</v>
      </c>
    </row>
    <row r="146" spans="2:6" x14ac:dyDescent="0.35">
      <c r="B146" t="s">
        <v>292</v>
      </c>
      <c r="C146" t="s">
        <v>75</v>
      </c>
      <c r="D146" t="s">
        <v>20</v>
      </c>
      <c r="E146" t="s">
        <v>20</v>
      </c>
      <c r="F146" t="s">
        <v>20</v>
      </c>
    </row>
    <row r="147" spans="2:6" x14ac:dyDescent="0.35">
      <c r="B147" t="s">
        <v>241</v>
      </c>
      <c r="C147" t="s">
        <v>1487</v>
      </c>
      <c r="D147" t="s">
        <v>75</v>
      </c>
      <c r="E147" t="s">
        <v>20</v>
      </c>
      <c r="F147" t="s">
        <v>20</v>
      </c>
    </row>
    <row r="148" spans="2:6" x14ac:dyDescent="0.35">
      <c r="B148" t="s">
        <v>307</v>
      </c>
      <c r="C148" t="s">
        <v>75</v>
      </c>
      <c r="D148" t="s">
        <v>27</v>
      </c>
      <c r="E148" t="s">
        <v>19</v>
      </c>
      <c r="F148" t="s">
        <v>19</v>
      </c>
    </row>
    <row r="149" spans="2:6" x14ac:dyDescent="0.35">
      <c r="B149" t="s">
        <v>651</v>
      </c>
      <c r="C149" t="s">
        <v>27</v>
      </c>
      <c r="D149" t="s">
        <v>27</v>
      </c>
      <c r="E149" t="s">
        <v>20</v>
      </c>
      <c r="F149" t="s">
        <v>27</v>
      </c>
    </row>
    <row r="150" spans="2:6" x14ac:dyDescent="0.35">
      <c r="B150" t="s">
        <v>294</v>
      </c>
      <c r="C150" t="s">
        <v>75</v>
      </c>
      <c r="D150" t="s">
        <v>20</v>
      </c>
      <c r="E150" t="s">
        <v>19</v>
      </c>
      <c r="F150" t="s">
        <v>20</v>
      </c>
    </row>
    <row r="151" spans="2:6" x14ac:dyDescent="0.35">
      <c r="B151" t="s">
        <v>1055</v>
      </c>
      <c r="C151" t="s">
        <v>75</v>
      </c>
      <c r="D151" t="s">
        <v>20</v>
      </c>
      <c r="E151" t="s">
        <v>20</v>
      </c>
      <c r="F151" t="s">
        <v>27</v>
      </c>
    </row>
    <row r="152" spans="2:6" x14ac:dyDescent="0.35">
      <c r="B152" t="s">
        <v>1198</v>
      </c>
      <c r="C152" t="s">
        <v>75</v>
      </c>
      <c r="D152" t="s">
        <v>20</v>
      </c>
      <c r="E152" t="s">
        <v>27</v>
      </c>
      <c r="F152" t="s">
        <v>27</v>
      </c>
    </row>
    <row r="153" spans="2:6" x14ac:dyDescent="0.35">
      <c r="B153" t="s">
        <v>1241</v>
      </c>
      <c r="C153" t="s">
        <v>75</v>
      </c>
      <c r="D153" t="s">
        <v>20</v>
      </c>
      <c r="E153" t="s">
        <v>20</v>
      </c>
      <c r="F153" t="s">
        <v>27</v>
      </c>
    </row>
    <row r="154" spans="2:6" x14ac:dyDescent="0.35">
      <c r="B154" t="s">
        <v>1142</v>
      </c>
      <c r="C154" t="s">
        <v>20</v>
      </c>
      <c r="D154" t="s">
        <v>20</v>
      </c>
      <c r="E154" t="s">
        <v>19</v>
      </c>
      <c r="F154" t="s">
        <v>75</v>
      </c>
    </row>
    <row r="155" spans="2:6" x14ac:dyDescent="0.35">
      <c r="B155" t="s">
        <v>1162</v>
      </c>
      <c r="C155" t="s">
        <v>75</v>
      </c>
      <c r="D155" t="s">
        <v>27</v>
      </c>
      <c r="E155" t="s">
        <v>20</v>
      </c>
      <c r="F155" t="s">
        <v>19</v>
      </c>
    </row>
    <row r="156" spans="2:6" x14ac:dyDescent="0.35">
      <c r="B156" t="s">
        <v>1225</v>
      </c>
      <c r="C156" t="s">
        <v>27</v>
      </c>
      <c r="D156" t="s">
        <v>20</v>
      </c>
      <c r="E156" t="s">
        <v>27</v>
      </c>
      <c r="F156" t="s">
        <v>27</v>
      </c>
    </row>
    <row r="157" spans="2:6" x14ac:dyDescent="0.35">
      <c r="B157" t="s">
        <v>1064</v>
      </c>
      <c r="C157" t="s">
        <v>75</v>
      </c>
      <c r="D157" t="s">
        <v>20</v>
      </c>
      <c r="E157" t="s">
        <v>19</v>
      </c>
      <c r="F157" t="s">
        <v>20</v>
      </c>
    </row>
    <row r="158" spans="2:6" x14ac:dyDescent="0.35">
      <c r="B158" t="s">
        <v>1099</v>
      </c>
      <c r="C158" t="s">
        <v>75</v>
      </c>
      <c r="D158" t="s">
        <v>20</v>
      </c>
      <c r="E158" t="s">
        <v>20</v>
      </c>
      <c r="F158" t="s">
        <v>19</v>
      </c>
    </row>
    <row r="159" spans="2:6" x14ac:dyDescent="0.35">
      <c r="B159" t="s">
        <v>1037</v>
      </c>
      <c r="C159" t="s">
        <v>75</v>
      </c>
      <c r="D159" t="s">
        <v>75</v>
      </c>
      <c r="E159" t="s">
        <v>76</v>
      </c>
      <c r="F159" t="s">
        <v>20</v>
      </c>
    </row>
    <row r="160" spans="2:6" x14ac:dyDescent="0.35">
      <c r="B160" t="s">
        <v>1079</v>
      </c>
      <c r="C160" t="s">
        <v>75</v>
      </c>
      <c r="D160" t="s">
        <v>20</v>
      </c>
      <c r="E160" t="s">
        <v>76</v>
      </c>
      <c r="F160" t="s">
        <v>20</v>
      </c>
    </row>
    <row r="161" spans="2:6" x14ac:dyDescent="0.35">
      <c r="B161" t="s">
        <v>1035</v>
      </c>
      <c r="C161" t="s">
        <v>75</v>
      </c>
      <c r="D161" t="s">
        <v>20</v>
      </c>
      <c r="E161" t="s">
        <v>19</v>
      </c>
      <c r="F161" t="s">
        <v>20</v>
      </c>
    </row>
    <row r="162" spans="2:6" x14ac:dyDescent="0.35">
      <c r="B162" t="s">
        <v>1144</v>
      </c>
      <c r="C162" t="s">
        <v>75</v>
      </c>
      <c r="D162" t="s">
        <v>19</v>
      </c>
      <c r="E162" t="s">
        <v>27</v>
      </c>
      <c r="F162" t="s">
        <v>19</v>
      </c>
    </row>
    <row r="163" spans="2:6" x14ac:dyDescent="0.35">
      <c r="B163" t="s">
        <v>1102</v>
      </c>
      <c r="C163" t="s">
        <v>75</v>
      </c>
      <c r="D163" t="s">
        <v>27</v>
      </c>
      <c r="E163" t="s">
        <v>20</v>
      </c>
      <c r="F163" t="s">
        <v>76</v>
      </c>
    </row>
    <row r="164" spans="2:6" x14ac:dyDescent="0.35">
      <c r="B164" t="s">
        <v>1071</v>
      </c>
      <c r="C164" t="s">
        <v>75</v>
      </c>
      <c r="D164" t="s">
        <v>75</v>
      </c>
      <c r="E164" t="s">
        <v>27</v>
      </c>
      <c r="F164" t="s">
        <v>20</v>
      </c>
    </row>
    <row r="165" spans="2:6" x14ac:dyDescent="0.35">
      <c r="B165" t="s">
        <v>980</v>
      </c>
      <c r="C165" t="s">
        <v>75</v>
      </c>
      <c r="D165" t="s">
        <v>20</v>
      </c>
      <c r="E165" t="s">
        <v>76</v>
      </c>
      <c r="F165" t="s">
        <v>27</v>
      </c>
    </row>
    <row r="166" spans="2:6" x14ac:dyDescent="0.35">
      <c r="B166" t="s">
        <v>1105</v>
      </c>
      <c r="C166" t="s">
        <v>27</v>
      </c>
      <c r="D166" t="s">
        <v>19</v>
      </c>
      <c r="E166" t="s">
        <v>20</v>
      </c>
      <c r="F166" t="s">
        <v>20</v>
      </c>
    </row>
    <row r="167" spans="2:6" x14ac:dyDescent="0.35">
      <c r="B167" t="s">
        <v>1165</v>
      </c>
      <c r="C167" t="s">
        <v>27</v>
      </c>
      <c r="D167" t="s">
        <v>20</v>
      </c>
      <c r="E167" t="s">
        <v>27</v>
      </c>
      <c r="F167" t="s">
        <v>75</v>
      </c>
    </row>
    <row r="168" spans="2:6" x14ac:dyDescent="0.35">
      <c r="B168" t="s">
        <v>1011</v>
      </c>
      <c r="C168" t="s">
        <v>75</v>
      </c>
      <c r="D168" t="s">
        <v>27</v>
      </c>
      <c r="E168" t="s">
        <v>20</v>
      </c>
      <c r="F168" t="s">
        <v>27</v>
      </c>
    </row>
    <row r="169" spans="2:6" x14ac:dyDescent="0.35">
      <c r="B169" t="s">
        <v>1227</v>
      </c>
      <c r="C169" t="s">
        <v>75</v>
      </c>
      <c r="D169" t="s">
        <v>20</v>
      </c>
      <c r="E169" t="s">
        <v>19</v>
      </c>
      <c r="F169" t="s">
        <v>27</v>
      </c>
    </row>
    <row r="170" spans="2:6" x14ac:dyDescent="0.35">
      <c r="B170" t="s">
        <v>1173</v>
      </c>
      <c r="C170" t="s">
        <v>75</v>
      </c>
      <c r="D170" t="s">
        <v>75</v>
      </c>
      <c r="E170" t="s">
        <v>75</v>
      </c>
      <c r="F170" t="s">
        <v>75</v>
      </c>
    </row>
    <row r="171" spans="2:6" x14ac:dyDescent="0.35">
      <c r="B171" t="s">
        <v>956</v>
      </c>
      <c r="C171" t="s">
        <v>27</v>
      </c>
      <c r="D171" t="s">
        <v>20</v>
      </c>
      <c r="E171" t="s">
        <v>20</v>
      </c>
      <c r="F171" t="s">
        <v>27</v>
      </c>
    </row>
    <row r="172" spans="2:6" x14ac:dyDescent="0.35">
      <c r="B172" t="s">
        <v>1247</v>
      </c>
      <c r="C172" t="s">
        <v>75</v>
      </c>
      <c r="D172" t="s">
        <v>75</v>
      </c>
      <c r="E172" t="s">
        <v>19</v>
      </c>
      <c r="F172" t="s">
        <v>20</v>
      </c>
    </row>
    <row r="173" spans="2:6" x14ac:dyDescent="0.35">
      <c r="B173" t="s">
        <v>1081</v>
      </c>
      <c r="C173" t="s">
        <v>75</v>
      </c>
      <c r="D173" t="s">
        <v>27</v>
      </c>
      <c r="E173" t="s">
        <v>20</v>
      </c>
      <c r="F173" t="s">
        <v>27</v>
      </c>
    </row>
    <row r="174" spans="2:6" x14ac:dyDescent="0.35">
      <c r="B174" t="s">
        <v>958</v>
      </c>
      <c r="C174" t="s">
        <v>75</v>
      </c>
      <c r="D174" t="s">
        <v>20</v>
      </c>
      <c r="E174" t="s">
        <v>20</v>
      </c>
      <c r="F174" t="s">
        <v>19</v>
      </c>
    </row>
    <row r="175" spans="2:6" x14ac:dyDescent="0.35">
      <c r="B175" t="s">
        <v>1024</v>
      </c>
      <c r="C175" t="s">
        <v>20</v>
      </c>
      <c r="D175" t="s">
        <v>76</v>
      </c>
      <c r="E175" t="s">
        <v>20</v>
      </c>
      <c r="F175" t="s">
        <v>27</v>
      </c>
    </row>
    <row r="176" spans="2:6" x14ac:dyDescent="0.35">
      <c r="B176" t="s">
        <v>1046</v>
      </c>
      <c r="C176" t="s">
        <v>27</v>
      </c>
      <c r="D176" t="s">
        <v>20</v>
      </c>
      <c r="E176" t="s">
        <v>20</v>
      </c>
      <c r="F176" t="s">
        <v>27</v>
      </c>
    </row>
    <row r="177" spans="2:6" x14ac:dyDescent="0.35">
      <c r="B177" t="s">
        <v>943</v>
      </c>
      <c r="C177" t="s">
        <v>75</v>
      </c>
      <c r="D177" t="s">
        <v>75</v>
      </c>
      <c r="E177" t="s">
        <v>20</v>
      </c>
      <c r="F177" t="s">
        <v>76</v>
      </c>
    </row>
    <row r="178" spans="2:6" x14ac:dyDescent="0.35">
      <c r="B178" t="s">
        <v>1075</v>
      </c>
      <c r="C178" t="s">
        <v>75</v>
      </c>
      <c r="D178" t="s">
        <v>19</v>
      </c>
      <c r="E178" t="s">
        <v>27</v>
      </c>
      <c r="F178" t="s">
        <v>20</v>
      </c>
    </row>
    <row r="179" spans="2:6" x14ac:dyDescent="0.35">
      <c r="B179" t="s">
        <v>1230</v>
      </c>
      <c r="C179" t="s">
        <v>75</v>
      </c>
      <c r="D179" t="s">
        <v>75</v>
      </c>
      <c r="E179" t="s">
        <v>75</v>
      </c>
      <c r="F179" t="s">
        <v>75</v>
      </c>
    </row>
    <row r="180" spans="2:6" x14ac:dyDescent="0.35">
      <c r="B180" t="s">
        <v>1232</v>
      </c>
      <c r="C180" t="s">
        <v>20</v>
      </c>
      <c r="D180" t="s">
        <v>19</v>
      </c>
      <c r="E180" t="s">
        <v>20</v>
      </c>
      <c r="F180" t="s">
        <v>20</v>
      </c>
    </row>
    <row r="181" spans="2:6" x14ac:dyDescent="0.35">
      <c r="B181" t="s">
        <v>1204</v>
      </c>
      <c r="C181" t="s">
        <v>75</v>
      </c>
      <c r="D181" t="s">
        <v>20</v>
      </c>
      <c r="E181" t="s">
        <v>20</v>
      </c>
      <c r="F181" t="s">
        <v>20</v>
      </c>
    </row>
    <row r="182" spans="2:6" x14ac:dyDescent="0.35">
      <c r="B182" t="s">
        <v>1048</v>
      </c>
      <c r="C182" t="s">
        <v>75</v>
      </c>
      <c r="D182" t="s">
        <v>19</v>
      </c>
      <c r="E182" t="s">
        <v>19</v>
      </c>
      <c r="F182" t="s">
        <v>20</v>
      </c>
    </row>
    <row r="183" spans="2:6" x14ac:dyDescent="0.35">
      <c r="B183" t="s">
        <v>1107</v>
      </c>
      <c r="C183" t="s">
        <v>20</v>
      </c>
      <c r="D183" t="s">
        <v>20</v>
      </c>
      <c r="E183" t="s">
        <v>76</v>
      </c>
      <c r="F183" t="s">
        <v>27</v>
      </c>
    </row>
    <row r="184" spans="2:6" x14ac:dyDescent="0.35">
      <c r="B184" t="s">
        <v>1050</v>
      </c>
      <c r="C184" t="s">
        <v>75</v>
      </c>
      <c r="D184" t="s">
        <v>27</v>
      </c>
      <c r="E184" t="s">
        <v>20</v>
      </c>
      <c r="F184" t="s">
        <v>20</v>
      </c>
    </row>
    <row r="185" spans="2:6" x14ac:dyDescent="0.35">
      <c r="B185" t="s">
        <v>1109</v>
      </c>
      <c r="C185" t="s">
        <v>75</v>
      </c>
      <c r="D185" t="s">
        <v>27</v>
      </c>
      <c r="E185" t="s">
        <v>20</v>
      </c>
      <c r="F185" t="s">
        <v>19</v>
      </c>
    </row>
    <row r="186" spans="2:6" x14ac:dyDescent="0.35">
      <c r="B186" t="s">
        <v>1219</v>
      </c>
      <c r="C186" t="s">
        <v>75</v>
      </c>
      <c r="D186" t="s">
        <v>20</v>
      </c>
      <c r="E186" t="s">
        <v>27</v>
      </c>
      <c r="F186" t="s">
        <v>20</v>
      </c>
    </row>
    <row r="187" spans="2:6" x14ac:dyDescent="0.35">
      <c r="B187" t="s">
        <v>1209</v>
      </c>
      <c r="C187" t="s">
        <v>27</v>
      </c>
      <c r="D187" t="s">
        <v>20</v>
      </c>
      <c r="E187" t="s">
        <v>27</v>
      </c>
      <c r="F187" t="s">
        <v>20</v>
      </c>
    </row>
    <row r="188" spans="2:6" x14ac:dyDescent="0.35">
      <c r="B188" t="s">
        <v>1221</v>
      </c>
      <c r="C188" t="s">
        <v>75</v>
      </c>
      <c r="D188" t="s">
        <v>20</v>
      </c>
      <c r="E188" t="s">
        <v>19</v>
      </c>
      <c r="F188" t="s">
        <v>20</v>
      </c>
    </row>
    <row r="189" spans="2:6" x14ac:dyDescent="0.35">
      <c r="B189" t="s">
        <v>1026</v>
      </c>
      <c r="C189" t="s">
        <v>20</v>
      </c>
      <c r="D189" t="s">
        <v>27</v>
      </c>
      <c r="E189" t="s">
        <v>20</v>
      </c>
      <c r="F189" t="s">
        <v>20</v>
      </c>
    </row>
    <row r="190" spans="2:6" x14ac:dyDescent="0.35">
      <c r="B190" t="s">
        <v>1111</v>
      </c>
      <c r="C190" t="s">
        <v>75</v>
      </c>
      <c r="D190" t="s">
        <v>20</v>
      </c>
      <c r="E190" t="s">
        <v>20</v>
      </c>
      <c r="F190" t="s">
        <v>27</v>
      </c>
    </row>
    <row r="191" spans="2:6" x14ac:dyDescent="0.35">
      <c r="B191" t="s">
        <v>1029</v>
      </c>
    </row>
    <row r="192" spans="2:6" x14ac:dyDescent="0.35">
      <c r="B192" t="s">
        <v>1114</v>
      </c>
      <c r="C192" t="s">
        <v>27</v>
      </c>
      <c r="D192" t="s">
        <v>75</v>
      </c>
      <c r="E192" t="s">
        <v>27</v>
      </c>
      <c r="F192" t="s">
        <v>20</v>
      </c>
    </row>
    <row r="193" spans="2:6" x14ac:dyDescent="0.35">
      <c r="B193" t="s">
        <v>1116</v>
      </c>
      <c r="C193" t="s">
        <v>19</v>
      </c>
      <c r="D193" t="s">
        <v>20</v>
      </c>
      <c r="E193" t="s">
        <v>19</v>
      </c>
      <c r="F193" t="s">
        <v>75</v>
      </c>
    </row>
    <row r="194" spans="2:6" x14ac:dyDescent="0.35">
      <c r="B194" t="s">
        <v>926</v>
      </c>
      <c r="C194" t="s">
        <v>20</v>
      </c>
      <c r="D194" t="s">
        <v>20</v>
      </c>
      <c r="E194" t="s">
        <v>27</v>
      </c>
      <c r="F194" t="s">
        <v>27</v>
      </c>
    </row>
    <row r="195" spans="2:6" x14ac:dyDescent="0.35">
      <c r="B195" t="s">
        <v>1000</v>
      </c>
      <c r="C195" t="s">
        <v>75</v>
      </c>
      <c r="D195" t="s">
        <v>20</v>
      </c>
      <c r="E195" t="s">
        <v>20</v>
      </c>
      <c r="F195" t="s">
        <v>27</v>
      </c>
    </row>
    <row r="196" spans="2:6" x14ac:dyDescent="0.35">
      <c r="B196" t="s">
        <v>1008</v>
      </c>
      <c r="C196" t="s">
        <v>75</v>
      </c>
      <c r="D196" t="s">
        <v>19</v>
      </c>
      <c r="E196" t="s">
        <v>19</v>
      </c>
      <c r="F196" t="s">
        <v>27</v>
      </c>
    </row>
    <row r="197" spans="2:6" x14ac:dyDescent="0.35">
      <c r="B197" t="s">
        <v>1085</v>
      </c>
      <c r="C197" t="s">
        <v>27</v>
      </c>
      <c r="D197" t="s">
        <v>20</v>
      </c>
      <c r="E197" t="s">
        <v>76</v>
      </c>
      <c r="F197" t="s">
        <v>27</v>
      </c>
    </row>
    <row r="198" spans="2:6" x14ac:dyDescent="0.35">
      <c r="B198" t="s">
        <v>1016</v>
      </c>
      <c r="C198" t="s">
        <v>75</v>
      </c>
      <c r="D198" t="s">
        <v>75</v>
      </c>
      <c r="E198" t="s">
        <v>19</v>
      </c>
      <c r="F198" t="s">
        <v>19</v>
      </c>
    </row>
    <row r="199" spans="2:6" x14ac:dyDescent="0.35">
      <c r="B199" t="s">
        <v>1066</v>
      </c>
      <c r="C199" t="s">
        <v>75</v>
      </c>
      <c r="D199" t="s">
        <v>27</v>
      </c>
      <c r="E199" t="s">
        <v>20</v>
      </c>
      <c r="F199" t="s">
        <v>27</v>
      </c>
    </row>
    <row r="200" spans="2:6" x14ac:dyDescent="0.35">
      <c r="B200" t="s">
        <v>1251</v>
      </c>
      <c r="C200" t="s">
        <v>75</v>
      </c>
      <c r="D200" t="s">
        <v>27</v>
      </c>
      <c r="E200" t="s">
        <v>27</v>
      </c>
      <c r="F200" t="s">
        <v>19</v>
      </c>
    </row>
    <row r="201" spans="2:6" x14ac:dyDescent="0.35">
      <c r="B201" t="s">
        <v>1119</v>
      </c>
      <c r="C201" t="s">
        <v>75</v>
      </c>
      <c r="D201" t="s">
        <v>27</v>
      </c>
      <c r="E201" t="s">
        <v>75</v>
      </c>
      <c r="F201" t="s">
        <v>27</v>
      </c>
    </row>
    <row r="202" spans="2:6" x14ac:dyDescent="0.35">
      <c r="B202" t="s">
        <v>1146</v>
      </c>
      <c r="C202" t="s">
        <v>27</v>
      </c>
      <c r="D202" t="s">
        <v>27</v>
      </c>
      <c r="E202" t="s">
        <v>20</v>
      </c>
      <c r="F202" t="s">
        <v>27</v>
      </c>
    </row>
    <row r="203" spans="2:6" x14ac:dyDescent="0.35">
      <c r="B203" t="s">
        <v>1237</v>
      </c>
      <c r="C203" t="s">
        <v>75</v>
      </c>
      <c r="D203" t="s">
        <v>20</v>
      </c>
      <c r="E203" t="s">
        <v>27</v>
      </c>
      <c r="F203" t="s">
        <v>19</v>
      </c>
    </row>
    <row r="204" spans="2:6" x14ac:dyDescent="0.35">
      <c r="B204" t="s">
        <v>1245</v>
      </c>
      <c r="C204" t="s">
        <v>75</v>
      </c>
      <c r="D204" t="s">
        <v>20</v>
      </c>
      <c r="E204" t="s">
        <v>19</v>
      </c>
      <c r="F204" t="s">
        <v>20</v>
      </c>
    </row>
    <row r="205" spans="2:6" x14ac:dyDescent="0.35">
      <c r="B205" t="s">
        <v>1444</v>
      </c>
      <c r="C205" t="s">
        <v>75</v>
      </c>
      <c r="D205" t="s">
        <v>27</v>
      </c>
      <c r="E205" t="s">
        <v>75</v>
      </c>
      <c r="F205" t="s">
        <v>75</v>
      </c>
    </row>
    <row r="206" spans="2:6" x14ac:dyDescent="0.35">
      <c r="B206" t="s">
        <v>936</v>
      </c>
      <c r="C206" t="s">
        <v>75</v>
      </c>
      <c r="D206" t="s">
        <v>20</v>
      </c>
      <c r="E206" t="s">
        <v>19</v>
      </c>
      <c r="F206" t="s">
        <v>20</v>
      </c>
    </row>
    <row r="207" spans="2:6" x14ac:dyDescent="0.35">
      <c r="B207" t="s">
        <v>1186</v>
      </c>
      <c r="C207" t="s">
        <v>75</v>
      </c>
      <c r="D207" t="s">
        <v>20</v>
      </c>
      <c r="E207" t="s">
        <v>20</v>
      </c>
      <c r="F207" t="s">
        <v>27</v>
      </c>
    </row>
    <row r="208" spans="2:6" x14ac:dyDescent="0.35">
      <c r="B208" t="s">
        <v>1190</v>
      </c>
      <c r="C208" t="s">
        <v>27</v>
      </c>
      <c r="D208" t="s">
        <v>20</v>
      </c>
      <c r="E208" t="s">
        <v>75</v>
      </c>
      <c r="F208" t="s">
        <v>27</v>
      </c>
    </row>
    <row r="209" spans="2:6" x14ac:dyDescent="0.35">
      <c r="B209" t="s">
        <v>947</v>
      </c>
      <c r="C209" t="s">
        <v>75</v>
      </c>
      <c r="D209" t="s">
        <v>19</v>
      </c>
      <c r="E209" t="s">
        <v>27</v>
      </c>
      <c r="F209" t="s">
        <v>27</v>
      </c>
    </row>
    <row r="210" spans="2:6" x14ac:dyDescent="0.35">
      <c r="B210" t="s">
        <v>1223</v>
      </c>
      <c r="C210" t="s">
        <v>75</v>
      </c>
      <c r="D210" t="s">
        <v>20</v>
      </c>
      <c r="E210" t="s">
        <v>27</v>
      </c>
      <c r="F210" t="s">
        <v>27</v>
      </c>
    </row>
    <row r="211" spans="2:6" x14ac:dyDescent="0.35">
      <c r="B211" t="s">
        <v>1002</v>
      </c>
      <c r="C211" t="s">
        <v>19</v>
      </c>
      <c r="D211" t="s">
        <v>27</v>
      </c>
      <c r="E211" t="s">
        <v>20</v>
      </c>
      <c r="F211" t="s">
        <v>20</v>
      </c>
    </row>
    <row r="212" spans="2:6" x14ac:dyDescent="0.35">
      <c r="B212" t="s">
        <v>1121</v>
      </c>
      <c r="C212" t="s">
        <v>75</v>
      </c>
      <c r="D212" t="s">
        <v>20</v>
      </c>
      <c r="E212" t="s">
        <v>20</v>
      </c>
      <c r="F212" t="s">
        <v>20</v>
      </c>
    </row>
    <row r="213" spans="2:6" x14ac:dyDescent="0.35">
      <c r="B213" t="s">
        <v>982</v>
      </c>
      <c r="C213" t="s">
        <v>75</v>
      </c>
      <c r="D213" t="s">
        <v>76</v>
      </c>
      <c r="E213" t="s">
        <v>27</v>
      </c>
      <c r="F213" t="s">
        <v>27</v>
      </c>
    </row>
    <row r="214" spans="2:6" x14ac:dyDescent="0.35">
      <c r="B214" t="s">
        <v>1211</v>
      </c>
      <c r="C214" t="s">
        <v>27</v>
      </c>
      <c r="D214" t="s">
        <v>75</v>
      </c>
      <c r="E214" t="s">
        <v>20</v>
      </c>
      <c r="F214" t="s">
        <v>75</v>
      </c>
    </row>
    <row r="215" spans="2:6" x14ac:dyDescent="0.35">
      <c r="B215" t="s">
        <v>1020</v>
      </c>
      <c r="C215" t="s">
        <v>75</v>
      </c>
      <c r="D215" t="s">
        <v>20</v>
      </c>
      <c r="E215" t="s">
        <v>20</v>
      </c>
      <c r="F215" t="s">
        <v>20</v>
      </c>
    </row>
    <row r="216" spans="2:6" x14ac:dyDescent="0.35">
      <c r="B216" t="s">
        <v>1031</v>
      </c>
      <c r="C216" t="s">
        <v>75</v>
      </c>
      <c r="D216" t="s">
        <v>20</v>
      </c>
      <c r="E216" t="s">
        <v>19</v>
      </c>
      <c r="F216" t="s">
        <v>20</v>
      </c>
    </row>
    <row r="217" spans="2:6" x14ac:dyDescent="0.35">
      <c r="B217" t="s">
        <v>960</v>
      </c>
      <c r="C217" t="s">
        <v>75</v>
      </c>
      <c r="D217" t="s">
        <v>20</v>
      </c>
      <c r="E217" t="s">
        <v>20</v>
      </c>
      <c r="F217" t="s">
        <v>20</v>
      </c>
    </row>
    <row r="218" spans="2:6" x14ac:dyDescent="0.35">
      <c r="B218" t="s">
        <v>1123</v>
      </c>
      <c r="C218" t="s">
        <v>75</v>
      </c>
      <c r="D218" t="s">
        <v>75</v>
      </c>
      <c r="E218" t="s">
        <v>20</v>
      </c>
      <c r="F218" t="s">
        <v>27</v>
      </c>
    </row>
    <row r="219" spans="2:6" x14ac:dyDescent="0.35">
      <c r="B219" t="s">
        <v>1077</v>
      </c>
      <c r="C219" t="s">
        <v>75</v>
      </c>
      <c r="D219" t="s">
        <v>19</v>
      </c>
      <c r="E219" t="s">
        <v>20</v>
      </c>
      <c r="F219" t="s">
        <v>76</v>
      </c>
    </row>
    <row r="220" spans="2:6" x14ac:dyDescent="0.35">
      <c r="B220" t="s">
        <v>1207</v>
      </c>
      <c r="C220" t="s">
        <v>75</v>
      </c>
      <c r="D220" t="s">
        <v>75</v>
      </c>
      <c r="E220" t="s">
        <v>19</v>
      </c>
      <c r="F220" t="s">
        <v>20</v>
      </c>
    </row>
    <row r="221" spans="2:6" x14ac:dyDescent="0.35">
      <c r="B221" t="s">
        <v>965</v>
      </c>
      <c r="C221" t="s">
        <v>75</v>
      </c>
      <c r="D221" t="s">
        <v>20</v>
      </c>
      <c r="E221" t="s">
        <v>20</v>
      </c>
      <c r="F221" t="s">
        <v>27</v>
      </c>
    </row>
    <row r="222" spans="2:6" x14ac:dyDescent="0.35">
      <c r="B222" t="s">
        <v>1087</v>
      </c>
      <c r="C222" t="s">
        <v>20</v>
      </c>
      <c r="D222" t="s">
        <v>20</v>
      </c>
      <c r="E222" t="s">
        <v>27</v>
      </c>
      <c r="F222" t="s">
        <v>75</v>
      </c>
    </row>
    <row r="223" spans="2:6" x14ac:dyDescent="0.35">
      <c r="B223" t="s">
        <v>950</v>
      </c>
      <c r="C223" t="s">
        <v>75</v>
      </c>
      <c r="D223" t="s">
        <v>20</v>
      </c>
      <c r="E223" t="s">
        <v>27</v>
      </c>
      <c r="F223" t="s">
        <v>75</v>
      </c>
    </row>
    <row r="224" spans="2:6" x14ac:dyDescent="0.35">
      <c r="B224" t="s">
        <v>1167</v>
      </c>
      <c r="C224" t="s">
        <v>75</v>
      </c>
      <c r="D224" t="s">
        <v>75</v>
      </c>
      <c r="E224" t="s">
        <v>20</v>
      </c>
      <c r="F224" t="s">
        <v>20</v>
      </c>
    </row>
    <row r="225" spans="2:6" x14ac:dyDescent="0.35">
      <c r="B225" t="s">
        <v>1039</v>
      </c>
    </row>
    <row r="226" spans="2:6" x14ac:dyDescent="0.35">
      <c r="B226" t="s">
        <v>984</v>
      </c>
      <c r="C226" t="s">
        <v>75</v>
      </c>
      <c r="D226" t="s">
        <v>76</v>
      </c>
      <c r="E226" t="s">
        <v>20</v>
      </c>
      <c r="F226" t="s">
        <v>20</v>
      </c>
    </row>
    <row r="227" spans="2:6" x14ac:dyDescent="0.35">
      <c r="B227" t="s">
        <v>1013</v>
      </c>
      <c r="C227" t="s">
        <v>20</v>
      </c>
      <c r="D227" t="s">
        <v>20</v>
      </c>
      <c r="E227" t="s">
        <v>20</v>
      </c>
      <c r="F227" t="s">
        <v>75</v>
      </c>
    </row>
    <row r="228" spans="2:6" x14ac:dyDescent="0.35">
      <c r="B228" t="s">
        <v>1042</v>
      </c>
      <c r="C228" t="s">
        <v>75</v>
      </c>
      <c r="D228" t="s">
        <v>20</v>
      </c>
      <c r="E228" t="s">
        <v>20</v>
      </c>
      <c r="F228" t="s">
        <v>20</v>
      </c>
    </row>
    <row r="229" spans="2:6" x14ac:dyDescent="0.35">
      <c r="B229" t="s">
        <v>1415</v>
      </c>
      <c r="C229" t="s">
        <v>20</v>
      </c>
      <c r="D229" t="s">
        <v>75</v>
      </c>
      <c r="E229" t="s">
        <v>27</v>
      </c>
      <c r="F229" t="s">
        <v>20</v>
      </c>
    </row>
    <row r="230" spans="2:6" x14ac:dyDescent="0.35">
      <c r="B230" t="s">
        <v>1433</v>
      </c>
      <c r="C230" t="s">
        <v>27</v>
      </c>
      <c r="D230" t="s">
        <v>27</v>
      </c>
      <c r="E230" t="s">
        <v>20</v>
      </c>
      <c r="F230" t="s">
        <v>20</v>
      </c>
    </row>
    <row r="231" spans="2:6" x14ac:dyDescent="0.35">
      <c r="B231" t="s">
        <v>1524</v>
      </c>
      <c r="C231" t="s">
        <v>76</v>
      </c>
      <c r="D231" t="s">
        <v>20</v>
      </c>
      <c r="E231" t="s">
        <v>27</v>
      </c>
      <c r="F231" t="s">
        <v>27</v>
      </c>
    </row>
    <row r="232" spans="2:6" x14ac:dyDescent="0.35">
      <c r="B232" t="s">
        <v>1523</v>
      </c>
      <c r="C232" t="s">
        <v>27</v>
      </c>
      <c r="D232" t="s">
        <v>75</v>
      </c>
      <c r="E232" t="s">
        <v>20</v>
      </c>
      <c r="F232" t="s">
        <v>76</v>
      </c>
    </row>
    <row r="233" spans="2:6" x14ac:dyDescent="0.35">
      <c r="B233" t="s">
        <v>1089</v>
      </c>
      <c r="C233" t="s">
        <v>20</v>
      </c>
      <c r="D233" t="s">
        <v>75</v>
      </c>
      <c r="E233" t="s">
        <v>27</v>
      </c>
      <c r="F233" t="s">
        <v>75</v>
      </c>
    </row>
    <row r="234" spans="2:6" x14ac:dyDescent="0.35">
      <c r="B234" t="s">
        <v>1151</v>
      </c>
      <c r="C234" t="s">
        <v>75</v>
      </c>
      <c r="D234" t="s">
        <v>27</v>
      </c>
      <c r="E234" t="s">
        <v>27</v>
      </c>
      <c r="F234" t="s">
        <v>20</v>
      </c>
    </row>
    <row r="235" spans="2:6" x14ac:dyDescent="0.35">
      <c r="B235" t="s">
        <v>1125</v>
      </c>
      <c r="C235" t="s">
        <v>27</v>
      </c>
      <c r="D235" t="s">
        <v>20</v>
      </c>
      <c r="E235" t="s">
        <v>20</v>
      </c>
      <c r="F235" t="s">
        <v>27</v>
      </c>
    </row>
    <row r="236" spans="2:6" x14ac:dyDescent="0.35">
      <c r="B236" t="s">
        <v>1213</v>
      </c>
      <c r="C236" t="s">
        <v>75</v>
      </c>
      <c r="D236" t="s">
        <v>20</v>
      </c>
      <c r="E236" t="s">
        <v>27</v>
      </c>
      <c r="F236" t="s">
        <v>27</v>
      </c>
    </row>
    <row r="237" spans="2:6" x14ac:dyDescent="0.35">
      <c r="B237" t="s">
        <v>988</v>
      </c>
      <c r="C237" t="s">
        <v>75</v>
      </c>
      <c r="D237" t="s">
        <v>20</v>
      </c>
      <c r="E237" t="s">
        <v>27</v>
      </c>
      <c r="F237" t="s">
        <v>27</v>
      </c>
    </row>
    <row r="238" spans="2:6" x14ac:dyDescent="0.35">
      <c r="B238" t="s">
        <v>963</v>
      </c>
      <c r="C238" t="s">
        <v>27</v>
      </c>
      <c r="D238" t="s">
        <v>20</v>
      </c>
      <c r="E238" t="s">
        <v>20</v>
      </c>
      <c r="F238" t="s">
        <v>20</v>
      </c>
    </row>
    <row r="239" spans="2:6" x14ac:dyDescent="0.35">
      <c r="B239" t="s">
        <v>1153</v>
      </c>
      <c r="C239" t="s">
        <v>75</v>
      </c>
      <c r="D239" t="s">
        <v>27</v>
      </c>
      <c r="E239" t="s">
        <v>20</v>
      </c>
      <c r="F239" t="s">
        <v>19</v>
      </c>
    </row>
    <row r="240" spans="2:6" x14ac:dyDescent="0.35">
      <c r="B240" t="s">
        <v>1091</v>
      </c>
      <c r="C240" t="s">
        <v>27</v>
      </c>
      <c r="D240" t="s">
        <v>20</v>
      </c>
      <c r="E240" t="s">
        <v>27</v>
      </c>
      <c r="F240" t="s">
        <v>27</v>
      </c>
    </row>
    <row r="241" spans="2:6" x14ac:dyDescent="0.35">
      <c r="B241" t="s">
        <v>1093</v>
      </c>
      <c r="C241" t="s">
        <v>27</v>
      </c>
      <c r="D241" t="s">
        <v>20</v>
      </c>
      <c r="E241" t="s">
        <v>20</v>
      </c>
      <c r="F241" t="s">
        <v>20</v>
      </c>
    </row>
    <row r="242" spans="2:6" x14ac:dyDescent="0.35">
      <c r="B242" t="s">
        <v>921</v>
      </c>
      <c r="C242" t="s">
        <v>75</v>
      </c>
      <c r="D242" t="s">
        <v>75</v>
      </c>
      <c r="E242" t="s">
        <v>20</v>
      </c>
      <c r="F242" t="s">
        <v>27</v>
      </c>
    </row>
    <row r="243" spans="2:6" x14ac:dyDescent="0.35">
      <c r="B243" t="s">
        <v>1188</v>
      </c>
      <c r="C243" t="s">
        <v>27</v>
      </c>
      <c r="D243" t="s">
        <v>20</v>
      </c>
      <c r="E243" t="s">
        <v>27</v>
      </c>
      <c r="F243" t="s">
        <v>20</v>
      </c>
    </row>
    <row r="244" spans="2:6" x14ac:dyDescent="0.35">
      <c r="B244" t="s">
        <v>930</v>
      </c>
      <c r="C244" t="s">
        <v>27</v>
      </c>
      <c r="D244" t="s">
        <v>20</v>
      </c>
      <c r="E244" t="s">
        <v>27</v>
      </c>
      <c r="F244" t="s">
        <v>20</v>
      </c>
    </row>
    <row r="245" spans="2:6" x14ac:dyDescent="0.35">
      <c r="B245" t="s">
        <v>1200</v>
      </c>
      <c r="C245" t="s">
        <v>27</v>
      </c>
      <c r="D245" t="s">
        <v>20</v>
      </c>
      <c r="E245" t="s">
        <v>20</v>
      </c>
      <c r="F245" t="s">
        <v>27</v>
      </c>
    </row>
    <row r="246" spans="2:6" x14ac:dyDescent="0.35">
      <c r="B246" t="s">
        <v>938</v>
      </c>
      <c r="C246" t="s">
        <v>75</v>
      </c>
      <c r="D246" t="s">
        <v>27</v>
      </c>
      <c r="E246" t="s">
        <v>27</v>
      </c>
      <c r="F246" t="s">
        <v>19</v>
      </c>
    </row>
    <row r="247" spans="2:6" x14ac:dyDescent="0.35">
      <c r="B247" t="s">
        <v>1184</v>
      </c>
      <c r="C247" t="s">
        <v>27</v>
      </c>
      <c r="D247" t="s">
        <v>27</v>
      </c>
      <c r="E247" t="s">
        <v>27</v>
      </c>
      <c r="F247" t="s">
        <v>76</v>
      </c>
    </row>
    <row r="248" spans="2:6" x14ac:dyDescent="0.35">
      <c r="B248" t="s">
        <v>1129</v>
      </c>
      <c r="C248" t="s">
        <v>20</v>
      </c>
      <c r="D248" t="s">
        <v>20</v>
      </c>
      <c r="E248" t="s">
        <v>20</v>
      </c>
      <c r="F248" t="s">
        <v>76</v>
      </c>
    </row>
    <row r="249" spans="2:6" x14ac:dyDescent="0.35">
      <c r="B249" t="s">
        <v>1182</v>
      </c>
      <c r="C249" t="s">
        <v>20</v>
      </c>
      <c r="D249" t="s">
        <v>20</v>
      </c>
      <c r="E249" t="s">
        <v>20</v>
      </c>
      <c r="F249" t="s">
        <v>27</v>
      </c>
    </row>
    <row r="250" spans="2:6" x14ac:dyDescent="0.35">
      <c r="B250" t="s">
        <v>971</v>
      </c>
      <c r="C250" t="s">
        <v>75</v>
      </c>
      <c r="D250" t="s">
        <v>27</v>
      </c>
      <c r="E250" t="s">
        <v>27</v>
      </c>
      <c r="F250" t="s">
        <v>20</v>
      </c>
    </row>
    <row r="251" spans="2:6" x14ac:dyDescent="0.35">
      <c r="B251" t="s">
        <v>932</v>
      </c>
      <c r="C251" t="s">
        <v>20</v>
      </c>
      <c r="D251" t="s">
        <v>75</v>
      </c>
      <c r="E251" t="s">
        <v>19</v>
      </c>
      <c r="F251" t="s">
        <v>20</v>
      </c>
    </row>
    <row r="252" spans="2:6" x14ac:dyDescent="0.35">
      <c r="B252" t="s">
        <v>1131</v>
      </c>
      <c r="C252" t="s">
        <v>75</v>
      </c>
      <c r="D252" t="s">
        <v>20</v>
      </c>
      <c r="E252" t="s">
        <v>27</v>
      </c>
      <c r="F252" t="s">
        <v>19</v>
      </c>
    </row>
    <row r="253" spans="2:6" x14ac:dyDescent="0.35">
      <c r="B253" t="s">
        <v>973</v>
      </c>
      <c r="C253" t="s">
        <v>27</v>
      </c>
      <c r="D253" t="s">
        <v>27</v>
      </c>
      <c r="E253" t="s">
        <v>20</v>
      </c>
      <c r="F253" t="s">
        <v>20</v>
      </c>
    </row>
    <row r="254" spans="2:6" x14ac:dyDescent="0.35">
      <c r="B254" t="s">
        <v>1004</v>
      </c>
      <c r="C254" t="s">
        <v>27</v>
      </c>
      <c r="D254" t="s">
        <v>19</v>
      </c>
      <c r="E254" t="s">
        <v>27</v>
      </c>
      <c r="F254" t="s">
        <v>75</v>
      </c>
    </row>
    <row r="255" spans="2:6" x14ac:dyDescent="0.35">
      <c r="B255" t="s">
        <v>1073</v>
      </c>
    </row>
    <row r="256" spans="2:6" x14ac:dyDescent="0.35">
      <c r="B256" t="s">
        <v>934</v>
      </c>
      <c r="C256" t="s">
        <v>27</v>
      </c>
      <c r="D256" t="s">
        <v>20</v>
      </c>
      <c r="E256" t="s">
        <v>20</v>
      </c>
      <c r="F256" t="s">
        <v>20</v>
      </c>
    </row>
    <row r="257" spans="2:6" x14ac:dyDescent="0.35">
      <c r="B257" t="s">
        <v>1239</v>
      </c>
      <c r="C257" t="s">
        <v>19</v>
      </c>
      <c r="D257" t="s">
        <v>19</v>
      </c>
      <c r="E257" t="s">
        <v>27</v>
      </c>
      <c r="F257" t="s">
        <v>27</v>
      </c>
    </row>
    <row r="258" spans="2:6" x14ac:dyDescent="0.35">
      <c r="B258" t="s">
        <v>990</v>
      </c>
      <c r="C258" t="s">
        <v>27</v>
      </c>
      <c r="D258" t="s">
        <v>75</v>
      </c>
      <c r="E258" t="s">
        <v>27</v>
      </c>
      <c r="F258" t="s">
        <v>76</v>
      </c>
    </row>
    <row r="259" spans="2:6" x14ac:dyDescent="0.35">
      <c r="B259" t="s">
        <v>992</v>
      </c>
      <c r="C259" t="s">
        <v>20</v>
      </c>
      <c r="D259" t="s">
        <v>19</v>
      </c>
      <c r="E259" t="s">
        <v>20</v>
      </c>
      <c r="F259" t="s">
        <v>20</v>
      </c>
    </row>
    <row r="260" spans="2:6" x14ac:dyDescent="0.35">
      <c r="B260" t="s">
        <v>1156</v>
      </c>
      <c r="C260" t="s">
        <v>27</v>
      </c>
      <c r="D260" t="s">
        <v>19</v>
      </c>
      <c r="E260" t="s">
        <v>20</v>
      </c>
      <c r="F260" t="s">
        <v>20</v>
      </c>
    </row>
    <row r="261" spans="2:6" x14ac:dyDescent="0.35">
      <c r="B261" t="s">
        <v>940</v>
      </c>
      <c r="C261" t="s">
        <v>27</v>
      </c>
      <c r="D261" t="s">
        <v>75</v>
      </c>
      <c r="E261" t="s">
        <v>75</v>
      </c>
      <c r="F261" t="s">
        <v>27</v>
      </c>
    </row>
    <row r="262" spans="2:6" x14ac:dyDescent="0.35">
      <c r="B262" t="s">
        <v>1006</v>
      </c>
      <c r="C262" t="s">
        <v>75</v>
      </c>
      <c r="D262" t="s">
        <v>19</v>
      </c>
      <c r="E262" t="s">
        <v>19</v>
      </c>
      <c r="F262" t="s">
        <v>20</v>
      </c>
    </row>
    <row r="263" spans="2:6" x14ac:dyDescent="0.35">
      <c r="B263" t="s">
        <v>953</v>
      </c>
      <c r="C263" t="s">
        <v>75</v>
      </c>
      <c r="D263" t="s">
        <v>20</v>
      </c>
      <c r="E263" t="s">
        <v>27</v>
      </c>
      <c r="F263" t="s">
        <v>20</v>
      </c>
    </row>
    <row r="264" spans="2:6" x14ac:dyDescent="0.35">
      <c r="B264" t="s">
        <v>967</v>
      </c>
      <c r="C264" t="s">
        <v>75</v>
      </c>
      <c r="D264" t="s">
        <v>27</v>
      </c>
      <c r="E264" t="s">
        <v>20</v>
      </c>
      <c r="F264" t="s">
        <v>27</v>
      </c>
    </row>
    <row r="265" spans="2:6" x14ac:dyDescent="0.35">
      <c r="B265" t="s">
        <v>994</v>
      </c>
    </row>
    <row r="266" spans="2:6" x14ac:dyDescent="0.35">
      <c r="B266" t="s">
        <v>1022</v>
      </c>
      <c r="C266" t="s">
        <v>75</v>
      </c>
      <c r="D266" t="s">
        <v>19</v>
      </c>
      <c r="E266" t="s">
        <v>20</v>
      </c>
      <c r="F266" t="s">
        <v>27</v>
      </c>
    </row>
    <row r="267" spans="2:6" x14ac:dyDescent="0.35">
      <c r="B267" t="s">
        <v>1095</v>
      </c>
      <c r="C267" t="s">
        <v>75</v>
      </c>
      <c r="D267" t="s">
        <v>20</v>
      </c>
      <c r="E267" t="s">
        <v>20</v>
      </c>
      <c r="F267" t="s">
        <v>20</v>
      </c>
    </row>
    <row r="268" spans="2:6" x14ac:dyDescent="0.35">
      <c r="B268" t="s">
        <v>1243</v>
      </c>
      <c r="C268" t="s">
        <v>75</v>
      </c>
      <c r="D268" t="s">
        <v>20</v>
      </c>
      <c r="E268" t="s">
        <v>20</v>
      </c>
      <c r="F268" t="s">
        <v>20</v>
      </c>
    </row>
    <row r="269" spans="2:6" x14ac:dyDescent="0.35">
      <c r="B269" t="s">
        <v>996</v>
      </c>
      <c r="C269" t="s">
        <v>75</v>
      </c>
      <c r="D269" t="s">
        <v>20</v>
      </c>
      <c r="E269" t="s">
        <v>20</v>
      </c>
      <c r="F269" t="s">
        <v>27</v>
      </c>
    </row>
    <row r="270" spans="2:6" x14ac:dyDescent="0.35">
      <c r="B270" t="s">
        <v>975</v>
      </c>
      <c r="C270" t="s">
        <v>27</v>
      </c>
      <c r="D270" t="s">
        <v>20</v>
      </c>
      <c r="E270" t="s">
        <v>20</v>
      </c>
      <c r="F270" t="s">
        <v>75</v>
      </c>
    </row>
    <row r="271" spans="2:6" x14ac:dyDescent="0.35">
      <c r="B271" t="s">
        <v>1255</v>
      </c>
      <c r="C271" t="s">
        <v>75</v>
      </c>
      <c r="D271" t="s">
        <v>27</v>
      </c>
      <c r="E271" t="s">
        <v>27</v>
      </c>
      <c r="F271" t="s">
        <v>27</v>
      </c>
    </row>
    <row r="272" spans="2:6" x14ac:dyDescent="0.35">
      <c r="B272" t="s">
        <v>1133</v>
      </c>
      <c r="C272" t="s">
        <v>75</v>
      </c>
      <c r="D272" t="s">
        <v>20</v>
      </c>
      <c r="E272" t="s">
        <v>20</v>
      </c>
      <c r="F272" t="s">
        <v>20</v>
      </c>
    </row>
    <row r="273" spans="2:6" x14ac:dyDescent="0.35">
      <c r="B273" t="s">
        <v>969</v>
      </c>
      <c r="C273" t="s">
        <v>27</v>
      </c>
      <c r="D273" t="s">
        <v>20</v>
      </c>
      <c r="E273" t="s">
        <v>20</v>
      </c>
      <c r="F273" t="s">
        <v>27</v>
      </c>
    </row>
    <row r="274" spans="2:6" x14ac:dyDescent="0.35">
      <c r="B274" t="s">
        <v>1059</v>
      </c>
      <c r="C274" t="s">
        <v>75</v>
      </c>
      <c r="D274" t="s">
        <v>19</v>
      </c>
      <c r="E274" t="s">
        <v>20</v>
      </c>
      <c r="F274" t="s">
        <v>20</v>
      </c>
    </row>
    <row r="275" spans="2:6" x14ac:dyDescent="0.35">
      <c r="B275" t="s">
        <v>1061</v>
      </c>
      <c r="C275" t="s">
        <v>75</v>
      </c>
      <c r="D275" t="s">
        <v>20</v>
      </c>
      <c r="E275" t="s">
        <v>20</v>
      </c>
      <c r="F275" t="s">
        <v>20</v>
      </c>
    </row>
    <row r="276" spans="2:6" x14ac:dyDescent="0.35">
      <c r="B276" t="s">
        <v>1192</v>
      </c>
      <c r="C276" t="s">
        <v>27</v>
      </c>
      <c r="D276" t="s">
        <v>20</v>
      </c>
      <c r="E276" t="s">
        <v>19</v>
      </c>
      <c r="F276" t="s">
        <v>27</v>
      </c>
    </row>
    <row r="277" spans="2:6" x14ac:dyDescent="0.35">
      <c r="B277" t="s">
        <v>1044</v>
      </c>
      <c r="C277" t="s">
        <v>75</v>
      </c>
      <c r="D277" t="s">
        <v>27</v>
      </c>
      <c r="E277" t="s">
        <v>27</v>
      </c>
      <c r="F277" t="s">
        <v>20</v>
      </c>
    </row>
    <row r="278" spans="2:6" x14ac:dyDescent="0.35">
      <c r="B278" t="s">
        <v>1202</v>
      </c>
      <c r="C278" t="s">
        <v>75</v>
      </c>
      <c r="D278" t="s">
        <v>75</v>
      </c>
      <c r="E278" t="s">
        <v>27</v>
      </c>
      <c r="F278" t="s">
        <v>27</v>
      </c>
    </row>
    <row r="279" spans="2:6" x14ac:dyDescent="0.35">
      <c r="B279" t="s">
        <v>1249</v>
      </c>
      <c r="C279" t="s">
        <v>75</v>
      </c>
      <c r="D279" t="s">
        <v>19</v>
      </c>
      <c r="E279" t="s">
        <v>20</v>
      </c>
      <c r="F279" t="s">
        <v>20</v>
      </c>
    </row>
    <row r="280" spans="2:6" x14ac:dyDescent="0.35">
      <c r="B280" t="s">
        <v>1158</v>
      </c>
      <c r="C280" t="s">
        <v>75</v>
      </c>
      <c r="D280" t="s">
        <v>75</v>
      </c>
      <c r="E280" t="s">
        <v>20</v>
      </c>
      <c r="F280" t="s">
        <v>20</v>
      </c>
    </row>
    <row r="281" spans="2:6" x14ac:dyDescent="0.35">
      <c r="B281" t="s">
        <v>1474</v>
      </c>
      <c r="C281" t="s">
        <v>75</v>
      </c>
      <c r="D281" t="s">
        <v>27</v>
      </c>
      <c r="E281" t="s">
        <v>20</v>
      </c>
      <c r="F281" t="s">
        <v>27</v>
      </c>
    </row>
    <row r="282" spans="2:6" x14ac:dyDescent="0.35">
      <c r="B282" t="s">
        <v>1169</v>
      </c>
      <c r="C282" t="s">
        <v>20</v>
      </c>
      <c r="D282" t="s">
        <v>20</v>
      </c>
      <c r="E282" t="s">
        <v>20</v>
      </c>
      <c r="F282" t="s">
        <v>27</v>
      </c>
    </row>
    <row r="283" spans="2:6" x14ac:dyDescent="0.35">
      <c r="B283" t="s">
        <v>978</v>
      </c>
      <c r="C283" t="s">
        <v>75</v>
      </c>
      <c r="D283" t="s">
        <v>20</v>
      </c>
      <c r="E283" t="s">
        <v>20</v>
      </c>
      <c r="F283" t="s">
        <v>20</v>
      </c>
    </row>
    <row r="284" spans="2:6" x14ac:dyDescent="0.35">
      <c r="B284" t="s">
        <v>1175</v>
      </c>
      <c r="C284" t="s">
        <v>75</v>
      </c>
      <c r="D284" t="s">
        <v>20</v>
      </c>
      <c r="E284" t="s">
        <v>27</v>
      </c>
      <c r="F284" t="s">
        <v>75</v>
      </c>
    </row>
    <row r="285" spans="2:6" x14ac:dyDescent="0.35">
      <c r="B285" t="s">
        <v>998</v>
      </c>
      <c r="C285" t="s">
        <v>75</v>
      </c>
      <c r="D285" t="s">
        <v>20</v>
      </c>
      <c r="E285" t="s">
        <v>27</v>
      </c>
      <c r="F285" t="s">
        <v>20</v>
      </c>
    </row>
    <row r="286" spans="2:6" x14ac:dyDescent="0.35">
      <c r="B286" t="s">
        <v>1018</v>
      </c>
      <c r="C286" t="s">
        <v>75</v>
      </c>
      <c r="D286" t="s">
        <v>20</v>
      </c>
      <c r="E286" t="s">
        <v>20</v>
      </c>
      <c r="F286" t="s">
        <v>27</v>
      </c>
    </row>
    <row r="287" spans="2:6" x14ac:dyDescent="0.35">
      <c r="B287" t="s">
        <v>1178</v>
      </c>
      <c r="C287" t="s">
        <v>27</v>
      </c>
      <c r="D287" t="s">
        <v>20</v>
      </c>
      <c r="E287" t="s">
        <v>27</v>
      </c>
      <c r="F287" t="s">
        <v>27</v>
      </c>
    </row>
    <row r="288" spans="2:6" x14ac:dyDescent="0.35">
      <c r="B288" t="s">
        <v>1253</v>
      </c>
      <c r="C288" t="s">
        <v>75</v>
      </c>
      <c r="D288" t="s">
        <v>20</v>
      </c>
      <c r="E288" t="s">
        <v>20</v>
      </c>
      <c r="F288" t="s">
        <v>20</v>
      </c>
    </row>
    <row r="289" spans="2:6" x14ac:dyDescent="0.35">
      <c r="B289" t="s">
        <v>1136</v>
      </c>
      <c r="C289" t="s">
        <v>75</v>
      </c>
      <c r="D289" t="s">
        <v>19</v>
      </c>
      <c r="E289" t="s">
        <v>20</v>
      </c>
      <c r="F289" t="s">
        <v>20</v>
      </c>
    </row>
    <row r="290" spans="2:6" x14ac:dyDescent="0.35">
      <c r="B290" t="s">
        <v>1216</v>
      </c>
      <c r="C290" t="s">
        <v>27</v>
      </c>
      <c r="D290" t="s">
        <v>20</v>
      </c>
      <c r="E290" t="s">
        <v>20</v>
      </c>
      <c r="F290" t="s">
        <v>27</v>
      </c>
    </row>
    <row r="291" spans="2:6" x14ac:dyDescent="0.35">
      <c r="B291" t="s">
        <v>1171</v>
      </c>
      <c r="C291" t="s">
        <v>75</v>
      </c>
      <c r="D291" t="s">
        <v>19</v>
      </c>
      <c r="E291" t="s">
        <v>20</v>
      </c>
      <c r="F291" t="s">
        <v>27</v>
      </c>
    </row>
    <row r="292" spans="2:6" x14ac:dyDescent="0.35">
      <c r="B292" t="s">
        <v>924</v>
      </c>
      <c r="C292" t="s">
        <v>20</v>
      </c>
      <c r="D292" t="s">
        <v>19</v>
      </c>
      <c r="E292" t="s">
        <v>20</v>
      </c>
      <c r="F292" t="s">
        <v>75</v>
      </c>
    </row>
    <row r="293" spans="2:6" x14ac:dyDescent="0.35">
      <c r="B293" t="s">
        <v>1033</v>
      </c>
      <c r="C293" t="s">
        <v>75</v>
      </c>
      <c r="D293" t="s">
        <v>20</v>
      </c>
      <c r="E293" t="s">
        <v>20</v>
      </c>
      <c r="F293" t="s">
        <v>27</v>
      </c>
    </row>
    <row r="294" spans="2:6" x14ac:dyDescent="0.35">
      <c r="B294" t="s">
        <v>1138</v>
      </c>
      <c r="C294" t="s">
        <v>75</v>
      </c>
      <c r="D294" t="s">
        <v>20</v>
      </c>
      <c r="E294" t="s">
        <v>20</v>
      </c>
      <c r="F294" t="s">
        <v>27</v>
      </c>
    </row>
    <row r="295" spans="2:6" x14ac:dyDescent="0.35">
      <c r="B295" t="s">
        <v>1194</v>
      </c>
      <c r="C295" t="s">
        <v>75</v>
      </c>
      <c r="D295" t="s">
        <v>75</v>
      </c>
      <c r="E295" t="s">
        <v>27</v>
      </c>
      <c r="F295" t="s">
        <v>19</v>
      </c>
    </row>
    <row r="296" spans="2:6" x14ac:dyDescent="0.35">
      <c r="B296" t="s">
        <v>1196</v>
      </c>
      <c r="C296" t="s">
        <v>75</v>
      </c>
      <c r="D296" t="s">
        <v>20</v>
      </c>
      <c r="E296" t="s">
        <v>19</v>
      </c>
      <c r="F296" t="s">
        <v>20</v>
      </c>
    </row>
    <row r="297" spans="2:6" x14ac:dyDescent="0.35">
      <c r="B297" t="s">
        <v>1052</v>
      </c>
      <c r="C297" t="s">
        <v>75</v>
      </c>
      <c r="D297" t="s">
        <v>20</v>
      </c>
      <c r="E297" t="s">
        <v>20</v>
      </c>
      <c r="F297" t="s">
        <v>75</v>
      </c>
    </row>
    <row r="298" spans="2:6" x14ac:dyDescent="0.35">
      <c r="B298" t="s">
        <v>1140</v>
      </c>
      <c r="C298" t="s">
        <v>75</v>
      </c>
      <c r="D298" t="s">
        <v>20</v>
      </c>
      <c r="E298" t="s">
        <v>19</v>
      </c>
      <c r="F298" t="s">
        <v>20</v>
      </c>
    </row>
    <row r="299" spans="2:6" x14ac:dyDescent="0.35">
      <c r="B299" t="s">
        <v>1010</v>
      </c>
      <c r="C299" t="s">
        <v>75</v>
      </c>
      <c r="D299" t="s">
        <v>19</v>
      </c>
      <c r="E299" t="s">
        <v>20</v>
      </c>
      <c r="F299" t="s">
        <v>20</v>
      </c>
    </row>
    <row r="300" spans="2:6" x14ac:dyDescent="0.35">
      <c r="B300" t="s">
        <v>1180</v>
      </c>
      <c r="C300" t="s">
        <v>27</v>
      </c>
      <c r="D300" t="s">
        <v>75</v>
      </c>
      <c r="E300" t="s">
        <v>27</v>
      </c>
      <c r="F300" t="s">
        <v>27</v>
      </c>
    </row>
    <row r="301" spans="2:6" x14ac:dyDescent="0.35">
      <c r="B301" t="s">
        <v>1069</v>
      </c>
      <c r="C301" t="s">
        <v>75</v>
      </c>
      <c r="D301" t="s">
        <v>20</v>
      </c>
      <c r="E301" t="s">
        <v>20</v>
      </c>
      <c r="F301" t="s">
        <v>27</v>
      </c>
    </row>
    <row r="302" spans="2:6" x14ac:dyDescent="0.35">
      <c r="B302" t="s">
        <v>1097</v>
      </c>
      <c r="C302" t="s">
        <v>75</v>
      </c>
      <c r="D302" t="s">
        <v>75</v>
      </c>
      <c r="E302" t="s">
        <v>20</v>
      </c>
      <c r="F302" t="s">
        <v>27</v>
      </c>
    </row>
    <row r="303" spans="2:6" x14ac:dyDescent="0.35">
      <c r="B303" t="s">
        <v>1160</v>
      </c>
      <c r="C303" t="s">
        <v>75</v>
      </c>
      <c r="D303" t="s">
        <v>20</v>
      </c>
      <c r="E303" t="s">
        <v>20</v>
      </c>
      <c r="F303" t="s">
        <v>20</v>
      </c>
    </row>
    <row r="304" spans="2:6" x14ac:dyDescent="0.35">
      <c r="B304" t="s">
        <v>1057</v>
      </c>
      <c r="C304" t="s">
        <v>75</v>
      </c>
      <c r="D304" t="s">
        <v>27</v>
      </c>
      <c r="E304" t="s">
        <v>20</v>
      </c>
      <c r="F304" t="s">
        <v>20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3B256-B89F-4D75-ADF6-AEFDBC76E164}">
  <sheetPr codeName="Sheet7"/>
  <dimension ref="A1:F305"/>
  <sheetViews>
    <sheetView topLeftCell="A194" workbookViewId="0">
      <selection activeCell="B206" sqref="B206"/>
    </sheetView>
  </sheetViews>
  <sheetFormatPr defaultRowHeight="14.5" x14ac:dyDescent="0.35"/>
  <cols>
    <col min="1" max="1" width="8.26953125" customWidth="1"/>
    <col min="2" max="2" width="35.81640625" customWidth="1"/>
    <col min="3" max="3" width="12.7265625" style="97" customWidth="1"/>
    <col min="4" max="4" width="10.453125" style="98" bestFit="1" customWidth="1"/>
  </cols>
  <sheetData>
    <row r="1" spans="1:6" x14ac:dyDescent="0.35">
      <c r="A1" s="9" t="s">
        <v>1</v>
      </c>
      <c r="B1" s="9" t="s">
        <v>0</v>
      </c>
      <c r="C1" s="91" t="s">
        <v>40</v>
      </c>
      <c r="D1" s="99" t="s">
        <v>41</v>
      </c>
    </row>
    <row r="2" spans="1:6" x14ac:dyDescent="0.35">
      <c r="A2" s="92">
        <v>1</v>
      </c>
      <c r="B2" s="67" t="s">
        <v>322</v>
      </c>
      <c r="C2" s="92">
        <v>109</v>
      </c>
      <c r="D2" s="93" t="s">
        <v>78</v>
      </c>
      <c r="F2" s="52"/>
    </row>
    <row r="3" spans="1:6" x14ac:dyDescent="0.35">
      <c r="A3" s="92">
        <v>2</v>
      </c>
      <c r="B3" s="67" t="s">
        <v>701</v>
      </c>
      <c r="C3" s="92">
        <v>115</v>
      </c>
      <c r="D3" s="93" t="s">
        <v>1483</v>
      </c>
      <c r="F3" s="52"/>
    </row>
    <row r="4" spans="1:6" x14ac:dyDescent="0.35">
      <c r="A4" s="92">
        <v>3</v>
      </c>
      <c r="B4" s="67" t="s">
        <v>718</v>
      </c>
      <c r="C4" s="92">
        <v>115</v>
      </c>
      <c r="D4" s="93" t="s">
        <v>1483</v>
      </c>
      <c r="F4" s="52"/>
    </row>
    <row r="5" spans="1:6" x14ac:dyDescent="0.35">
      <c r="A5" s="92">
        <v>4</v>
      </c>
      <c r="B5" s="67" t="s">
        <v>345</v>
      </c>
      <c r="C5" s="92">
        <v>116</v>
      </c>
      <c r="D5" s="93" t="s">
        <v>1483</v>
      </c>
      <c r="F5" s="52"/>
    </row>
    <row r="6" spans="1:6" x14ac:dyDescent="0.35">
      <c r="A6" s="92">
        <v>5</v>
      </c>
      <c r="B6" s="67" t="s">
        <v>328</v>
      </c>
      <c r="C6" s="92">
        <v>125</v>
      </c>
      <c r="D6" s="93" t="s">
        <v>1484</v>
      </c>
      <c r="F6" s="52"/>
    </row>
    <row r="7" spans="1:6" x14ac:dyDescent="0.35">
      <c r="A7" s="92">
        <v>6</v>
      </c>
      <c r="B7" s="67" t="s">
        <v>879</v>
      </c>
      <c r="C7" s="92">
        <v>98</v>
      </c>
      <c r="D7" s="93" t="s">
        <v>78</v>
      </c>
      <c r="F7" s="52"/>
    </row>
    <row r="8" spans="1:6" x14ac:dyDescent="0.35">
      <c r="A8" s="92">
        <v>7</v>
      </c>
      <c r="B8" s="67" t="s">
        <v>353</v>
      </c>
      <c r="C8" s="92">
        <v>113</v>
      </c>
      <c r="D8" s="93" t="s">
        <v>1483</v>
      </c>
      <c r="F8" s="52"/>
    </row>
    <row r="9" spans="1:6" x14ac:dyDescent="0.35">
      <c r="A9" s="92">
        <v>8</v>
      </c>
      <c r="B9" s="67" t="s">
        <v>268</v>
      </c>
      <c r="C9" s="92">
        <v>120</v>
      </c>
      <c r="D9" s="93" t="s">
        <v>1484</v>
      </c>
      <c r="F9" s="52"/>
    </row>
    <row r="10" spans="1:6" x14ac:dyDescent="0.35">
      <c r="A10" s="92">
        <v>9</v>
      </c>
      <c r="B10" s="67" t="s">
        <v>699</v>
      </c>
      <c r="C10" s="92">
        <v>115</v>
      </c>
      <c r="D10" s="93" t="s">
        <v>1483</v>
      </c>
      <c r="F10" s="52"/>
    </row>
    <row r="11" spans="1:6" x14ac:dyDescent="0.35">
      <c r="A11" s="92">
        <v>10</v>
      </c>
      <c r="B11" s="67" t="s">
        <v>669</v>
      </c>
      <c r="C11" s="92">
        <v>116</v>
      </c>
      <c r="D11" s="93" t="s">
        <v>1483</v>
      </c>
      <c r="F11" s="52"/>
    </row>
    <row r="12" spans="1:6" x14ac:dyDescent="0.35">
      <c r="A12" s="92">
        <v>11</v>
      </c>
      <c r="B12" s="67" t="s">
        <v>708</v>
      </c>
      <c r="C12" s="92">
        <v>96</v>
      </c>
      <c r="D12" s="93" t="s">
        <v>78</v>
      </c>
      <c r="F12" s="52"/>
    </row>
    <row r="13" spans="1:6" x14ac:dyDescent="0.35">
      <c r="A13" s="92">
        <v>12</v>
      </c>
      <c r="B13" s="67" t="s">
        <v>664</v>
      </c>
      <c r="C13" s="92">
        <v>118</v>
      </c>
      <c r="D13" s="93" t="s">
        <v>1483</v>
      </c>
      <c r="F13" s="52"/>
    </row>
    <row r="14" spans="1:6" x14ac:dyDescent="0.35">
      <c r="A14" s="92">
        <v>13</v>
      </c>
      <c r="B14" s="67" t="s">
        <v>698</v>
      </c>
      <c r="C14" s="92">
        <v>118</v>
      </c>
      <c r="D14" s="93" t="s">
        <v>1483</v>
      </c>
      <c r="F14" s="52"/>
    </row>
    <row r="15" spans="1:6" x14ac:dyDescent="0.35">
      <c r="A15" s="92">
        <v>14</v>
      </c>
      <c r="B15" s="67" t="s">
        <v>655</v>
      </c>
      <c r="C15" s="92">
        <v>119</v>
      </c>
      <c r="D15" s="93" t="s">
        <v>1483</v>
      </c>
      <c r="F15" s="52"/>
    </row>
    <row r="16" spans="1:6" x14ac:dyDescent="0.35">
      <c r="A16" s="92">
        <v>15</v>
      </c>
      <c r="B16" s="67" t="s">
        <v>685</v>
      </c>
      <c r="C16" s="92">
        <v>115</v>
      </c>
      <c r="D16" s="93" t="s">
        <v>1483</v>
      </c>
      <c r="F16" s="52"/>
    </row>
    <row r="17" spans="1:6" x14ac:dyDescent="0.35">
      <c r="A17" s="92">
        <v>16</v>
      </c>
      <c r="B17" s="67" t="s">
        <v>275</v>
      </c>
      <c r="C17" s="92">
        <v>113</v>
      </c>
      <c r="D17" s="93" t="s">
        <v>1483</v>
      </c>
      <c r="F17" s="52"/>
    </row>
    <row r="18" spans="1:6" x14ac:dyDescent="0.35">
      <c r="A18" s="92">
        <v>17</v>
      </c>
      <c r="B18" s="67" t="s">
        <v>323</v>
      </c>
      <c r="C18" s="92">
        <v>120</v>
      </c>
      <c r="D18" s="93" t="s">
        <v>1484</v>
      </c>
      <c r="F18" s="52"/>
    </row>
    <row r="19" spans="1:6" x14ac:dyDescent="0.35">
      <c r="A19" s="92">
        <v>18</v>
      </c>
      <c r="B19" s="67" t="s">
        <v>359</v>
      </c>
      <c r="C19" s="92">
        <v>110</v>
      </c>
      <c r="D19" s="93" t="s">
        <v>1483</v>
      </c>
      <c r="F19" s="52"/>
    </row>
    <row r="20" spans="1:6" x14ac:dyDescent="0.35">
      <c r="A20" s="92">
        <v>19</v>
      </c>
      <c r="B20" s="67" t="s">
        <v>693</v>
      </c>
      <c r="C20" s="92">
        <v>119</v>
      </c>
      <c r="D20" s="93" t="s">
        <v>1483</v>
      </c>
      <c r="F20" s="52"/>
    </row>
    <row r="21" spans="1:6" x14ac:dyDescent="0.35">
      <c r="A21" s="92">
        <v>20</v>
      </c>
      <c r="B21" s="67" t="s">
        <v>378</v>
      </c>
      <c r="C21" s="92">
        <v>118</v>
      </c>
      <c r="D21" s="93" t="s">
        <v>1483</v>
      </c>
      <c r="F21" s="52"/>
    </row>
    <row r="22" spans="1:6" x14ac:dyDescent="0.35">
      <c r="A22" s="92">
        <v>21</v>
      </c>
      <c r="B22" s="67" t="s">
        <v>270</v>
      </c>
      <c r="C22" s="92">
        <v>118</v>
      </c>
      <c r="D22" s="93" t="s">
        <v>1483</v>
      </c>
      <c r="F22" s="52"/>
    </row>
    <row r="23" spans="1:6" x14ac:dyDescent="0.35">
      <c r="A23" s="92">
        <v>22</v>
      </c>
      <c r="B23" s="67" t="s">
        <v>665</v>
      </c>
      <c r="C23" s="92">
        <v>119</v>
      </c>
      <c r="D23" s="93" t="s">
        <v>1483</v>
      </c>
      <c r="F23" s="52"/>
    </row>
    <row r="24" spans="1:6" x14ac:dyDescent="0.35">
      <c r="A24" s="92">
        <v>23</v>
      </c>
      <c r="B24" s="67" t="s">
        <v>349</v>
      </c>
      <c r="C24" s="92">
        <v>119</v>
      </c>
      <c r="D24" s="93" t="s">
        <v>1483</v>
      </c>
      <c r="F24" s="52"/>
    </row>
    <row r="25" spans="1:6" x14ac:dyDescent="0.35">
      <c r="A25" s="92">
        <v>24</v>
      </c>
      <c r="B25" s="67" t="s">
        <v>705</v>
      </c>
      <c r="C25" s="92">
        <v>109</v>
      </c>
      <c r="D25" s="93" t="s">
        <v>78</v>
      </c>
      <c r="F25" s="52"/>
    </row>
    <row r="26" spans="1:6" x14ac:dyDescent="0.35">
      <c r="A26" s="92">
        <v>25</v>
      </c>
      <c r="B26" s="67" t="s">
        <v>311</v>
      </c>
      <c r="C26" s="92">
        <v>113</v>
      </c>
      <c r="D26" s="93" t="s">
        <v>1483</v>
      </c>
      <c r="F26" s="52"/>
    </row>
    <row r="27" spans="1:6" x14ac:dyDescent="0.35">
      <c r="A27" s="92">
        <v>26</v>
      </c>
      <c r="B27" s="67" t="s">
        <v>314</v>
      </c>
      <c r="C27" s="92">
        <v>114</v>
      </c>
      <c r="D27" s="93" t="s">
        <v>1483</v>
      </c>
      <c r="F27" s="52"/>
    </row>
    <row r="28" spans="1:6" x14ac:dyDescent="0.35">
      <c r="A28" s="92">
        <v>27</v>
      </c>
      <c r="B28" s="67" t="s">
        <v>673</v>
      </c>
      <c r="C28" s="92">
        <v>106</v>
      </c>
      <c r="D28" s="93" t="s">
        <v>78</v>
      </c>
      <c r="F28" s="52"/>
    </row>
    <row r="29" spans="1:6" x14ac:dyDescent="0.35">
      <c r="A29" s="92">
        <v>28</v>
      </c>
      <c r="B29" s="67" t="s">
        <v>289</v>
      </c>
      <c r="C29" s="92">
        <v>103</v>
      </c>
      <c r="D29" s="93" t="s">
        <v>78</v>
      </c>
      <c r="F29" s="52"/>
    </row>
    <row r="30" spans="1:6" x14ac:dyDescent="0.35">
      <c r="A30" s="92">
        <v>29</v>
      </c>
      <c r="B30" s="67" t="s">
        <v>667</v>
      </c>
      <c r="C30" s="92">
        <v>118</v>
      </c>
      <c r="D30" s="93" t="s">
        <v>1483</v>
      </c>
      <c r="F30" s="52"/>
    </row>
    <row r="31" spans="1:6" x14ac:dyDescent="0.35">
      <c r="A31" s="92">
        <v>30</v>
      </c>
      <c r="B31" s="67" t="s">
        <v>689</v>
      </c>
      <c r="C31" s="92">
        <v>121</v>
      </c>
      <c r="D31" s="93" t="s">
        <v>1484</v>
      </c>
      <c r="F31" s="52"/>
    </row>
    <row r="32" spans="1:6" x14ac:dyDescent="0.35">
      <c r="A32" s="92">
        <v>31</v>
      </c>
      <c r="B32" s="67" t="s">
        <v>250</v>
      </c>
      <c r="C32" s="92">
        <v>120</v>
      </c>
      <c r="D32" s="93" t="s">
        <v>1484</v>
      </c>
      <c r="F32" s="52"/>
    </row>
    <row r="33" spans="1:6" x14ac:dyDescent="0.35">
      <c r="A33" s="92">
        <v>32</v>
      </c>
      <c r="B33" s="67" t="s">
        <v>711</v>
      </c>
      <c r="C33" s="92">
        <v>121</v>
      </c>
      <c r="D33" s="93" t="s">
        <v>1484</v>
      </c>
      <c r="F33" s="52"/>
    </row>
    <row r="34" spans="1:6" x14ac:dyDescent="0.35">
      <c r="A34" s="92">
        <v>33</v>
      </c>
      <c r="B34" s="67" t="s">
        <v>295</v>
      </c>
      <c r="C34" s="92">
        <v>100</v>
      </c>
      <c r="D34" s="93" t="s">
        <v>78</v>
      </c>
      <c r="F34" s="52"/>
    </row>
    <row r="35" spans="1:6" x14ac:dyDescent="0.35">
      <c r="A35" s="92">
        <v>34</v>
      </c>
      <c r="B35" s="67" t="s">
        <v>352</v>
      </c>
      <c r="C35" s="92">
        <v>125</v>
      </c>
      <c r="D35" s="93" t="s">
        <v>1484</v>
      </c>
      <c r="F35" s="52"/>
    </row>
    <row r="36" spans="1:6" x14ac:dyDescent="0.35">
      <c r="A36" s="92">
        <v>35</v>
      </c>
      <c r="B36" s="67" t="s">
        <v>360</v>
      </c>
      <c r="C36" s="92">
        <v>113</v>
      </c>
      <c r="D36" s="93" t="s">
        <v>1483</v>
      </c>
      <c r="F36" s="52"/>
    </row>
    <row r="37" spans="1:6" x14ac:dyDescent="0.35">
      <c r="A37" s="92">
        <v>36</v>
      </c>
      <c r="B37" s="67" t="s">
        <v>692</v>
      </c>
      <c r="C37" s="92">
        <v>120</v>
      </c>
      <c r="D37" s="93" t="s">
        <v>1484</v>
      </c>
      <c r="F37" s="52"/>
    </row>
    <row r="38" spans="1:6" x14ac:dyDescent="0.35">
      <c r="A38" s="92">
        <v>37</v>
      </c>
      <c r="B38" s="67" t="s">
        <v>291</v>
      </c>
      <c r="C38" s="92">
        <v>93</v>
      </c>
      <c r="D38" s="93" t="s">
        <v>78</v>
      </c>
      <c r="F38" s="52"/>
    </row>
    <row r="39" spans="1:6" x14ac:dyDescent="0.35">
      <c r="A39" s="92">
        <v>38</v>
      </c>
      <c r="B39" s="67" t="s">
        <v>371</v>
      </c>
      <c r="C39" s="92">
        <v>119</v>
      </c>
      <c r="D39" s="93" t="s">
        <v>1483</v>
      </c>
      <c r="F39" s="52"/>
    </row>
    <row r="40" spans="1:6" x14ac:dyDescent="0.35">
      <c r="A40" s="92">
        <v>39</v>
      </c>
      <c r="B40" s="67" t="s">
        <v>280</v>
      </c>
      <c r="C40" s="92">
        <v>111</v>
      </c>
      <c r="D40" s="93" t="s">
        <v>1483</v>
      </c>
      <c r="F40" s="52"/>
    </row>
    <row r="41" spans="1:6" x14ac:dyDescent="0.35">
      <c r="A41" s="92">
        <v>40</v>
      </c>
      <c r="B41" s="67" t="s">
        <v>668</v>
      </c>
      <c r="C41" s="92">
        <v>111</v>
      </c>
      <c r="D41" s="93" t="s">
        <v>1483</v>
      </c>
      <c r="F41" s="52"/>
    </row>
    <row r="42" spans="1:6" x14ac:dyDescent="0.35">
      <c r="A42" s="92">
        <v>41</v>
      </c>
      <c r="B42" s="67" t="s">
        <v>687</v>
      </c>
      <c r="C42" s="92">
        <v>111</v>
      </c>
      <c r="D42" s="93" t="s">
        <v>1483</v>
      </c>
      <c r="F42" s="52"/>
    </row>
    <row r="43" spans="1:6" x14ac:dyDescent="0.35">
      <c r="A43" s="92">
        <v>42</v>
      </c>
      <c r="B43" s="67" t="s">
        <v>722</v>
      </c>
      <c r="C43" s="92">
        <v>100</v>
      </c>
      <c r="D43" s="93" t="s">
        <v>78</v>
      </c>
      <c r="F43" s="52"/>
    </row>
    <row r="44" spans="1:6" x14ac:dyDescent="0.35">
      <c r="A44" s="92">
        <v>43</v>
      </c>
      <c r="B44" s="67" t="s">
        <v>302</v>
      </c>
      <c r="C44" s="92">
        <v>119</v>
      </c>
      <c r="D44" s="93" t="s">
        <v>1483</v>
      </c>
      <c r="F44" s="52"/>
    </row>
    <row r="45" spans="1:6" x14ac:dyDescent="0.35">
      <c r="A45" s="92">
        <v>44</v>
      </c>
      <c r="B45" s="67" t="s">
        <v>656</v>
      </c>
      <c r="C45" s="92">
        <v>121</v>
      </c>
      <c r="D45" s="93" t="s">
        <v>1484</v>
      </c>
      <c r="F45" s="52"/>
    </row>
    <row r="46" spans="1:6" x14ac:dyDescent="0.35">
      <c r="A46" s="92">
        <v>45</v>
      </c>
      <c r="B46" s="67" t="s">
        <v>374</v>
      </c>
      <c r="C46" s="92">
        <v>89</v>
      </c>
      <c r="D46" s="93" t="s">
        <v>1485</v>
      </c>
      <c r="F46" s="52"/>
    </row>
    <row r="47" spans="1:6" x14ac:dyDescent="0.35">
      <c r="A47" s="92">
        <v>46</v>
      </c>
      <c r="B47" s="67" t="s">
        <v>306</v>
      </c>
      <c r="C47" s="92">
        <v>113</v>
      </c>
      <c r="D47" s="93" t="s">
        <v>1483</v>
      </c>
      <c r="F47" s="52"/>
    </row>
    <row r="48" spans="1:6" x14ac:dyDescent="0.35">
      <c r="A48" s="92">
        <v>47</v>
      </c>
      <c r="B48" s="67" t="s">
        <v>379</v>
      </c>
      <c r="C48" s="92">
        <v>116</v>
      </c>
      <c r="D48" s="93" t="s">
        <v>1483</v>
      </c>
      <c r="F48" s="52"/>
    </row>
    <row r="49" spans="1:6" x14ac:dyDescent="0.35">
      <c r="A49" s="92">
        <v>48</v>
      </c>
      <c r="B49" s="67" t="s">
        <v>700</v>
      </c>
      <c r="C49" s="92">
        <v>113</v>
      </c>
      <c r="D49" s="93" t="s">
        <v>1483</v>
      </c>
      <c r="F49" s="52"/>
    </row>
    <row r="50" spans="1:6" x14ac:dyDescent="0.35">
      <c r="A50" s="92">
        <v>49</v>
      </c>
      <c r="B50" s="67" t="s">
        <v>346</v>
      </c>
      <c r="C50" s="92">
        <v>106</v>
      </c>
      <c r="D50" s="93" t="s">
        <v>78</v>
      </c>
      <c r="F50" s="52"/>
    </row>
    <row r="51" spans="1:6" x14ac:dyDescent="0.35">
      <c r="A51" s="92">
        <v>50</v>
      </c>
      <c r="B51" s="67" t="s">
        <v>258</v>
      </c>
      <c r="C51" s="92">
        <v>100</v>
      </c>
      <c r="D51" s="93" t="s">
        <v>78</v>
      </c>
      <c r="F51" s="52"/>
    </row>
    <row r="52" spans="1:6" x14ac:dyDescent="0.35">
      <c r="A52" s="92">
        <v>51</v>
      </c>
      <c r="B52" s="67" t="s">
        <v>690</v>
      </c>
      <c r="C52" s="92">
        <v>110</v>
      </c>
      <c r="D52" s="93" t="s">
        <v>1483</v>
      </c>
      <c r="F52" s="52"/>
    </row>
    <row r="53" spans="1:6" x14ac:dyDescent="0.35">
      <c r="A53" s="92">
        <v>52</v>
      </c>
      <c r="B53" s="67" t="s">
        <v>324</v>
      </c>
      <c r="C53" s="92">
        <v>110</v>
      </c>
      <c r="D53" s="93" t="s">
        <v>1483</v>
      </c>
      <c r="F53" s="52"/>
    </row>
    <row r="54" spans="1:6" x14ac:dyDescent="0.35">
      <c r="A54" s="92">
        <v>53</v>
      </c>
      <c r="B54" s="67" t="s">
        <v>267</v>
      </c>
      <c r="C54" s="92">
        <v>115</v>
      </c>
      <c r="D54" s="93" t="s">
        <v>1483</v>
      </c>
      <c r="F54" s="52"/>
    </row>
    <row r="55" spans="1:6" x14ac:dyDescent="0.35">
      <c r="A55" s="92">
        <v>54</v>
      </c>
      <c r="B55" s="67" t="s">
        <v>674</v>
      </c>
      <c r="C55" s="92">
        <v>110</v>
      </c>
      <c r="D55" s="93" t="s">
        <v>1483</v>
      </c>
      <c r="F55" s="52"/>
    </row>
    <row r="56" spans="1:6" x14ac:dyDescent="0.35">
      <c r="A56" s="92">
        <v>55</v>
      </c>
      <c r="B56" s="67" t="s">
        <v>245</v>
      </c>
      <c r="C56" s="92">
        <v>114</v>
      </c>
      <c r="D56" s="93" t="s">
        <v>1483</v>
      </c>
      <c r="F56" s="52"/>
    </row>
    <row r="57" spans="1:6" x14ac:dyDescent="0.35">
      <c r="A57" s="92">
        <v>56</v>
      </c>
      <c r="B57" s="67" t="s">
        <v>691</v>
      </c>
      <c r="C57" s="92">
        <v>103</v>
      </c>
      <c r="D57" s="93" t="s">
        <v>78</v>
      </c>
      <c r="F57" s="52"/>
    </row>
    <row r="58" spans="1:6" x14ac:dyDescent="0.35">
      <c r="A58" s="92">
        <v>57</v>
      </c>
      <c r="B58" s="67" t="s">
        <v>684</v>
      </c>
      <c r="C58" s="92">
        <v>106</v>
      </c>
      <c r="D58" s="93" t="s">
        <v>78</v>
      </c>
      <c r="F58" s="52"/>
    </row>
    <row r="59" spans="1:6" x14ac:dyDescent="0.35">
      <c r="A59" s="92">
        <v>58</v>
      </c>
      <c r="B59" s="67" t="s">
        <v>372</v>
      </c>
      <c r="C59" s="92">
        <v>106</v>
      </c>
      <c r="D59" s="93" t="s">
        <v>78</v>
      </c>
      <c r="F59" s="52"/>
    </row>
    <row r="60" spans="1:6" x14ac:dyDescent="0.35">
      <c r="A60" s="92">
        <v>59</v>
      </c>
      <c r="B60" s="67" t="s">
        <v>240</v>
      </c>
      <c r="C60" s="92">
        <v>113</v>
      </c>
      <c r="D60" s="93" t="s">
        <v>1483</v>
      </c>
      <c r="F60" s="52"/>
    </row>
    <row r="61" spans="1:6" x14ac:dyDescent="0.35">
      <c r="A61" s="92">
        <v>60</v>
      </c>
      <c r="B61" s="67" t="s">
        <v>670</v>
      </c>
      <c r="C61" s="92">
        <v>110</v>
      </c>
      <c r="D61" s="93" t="s">
        <v>1483</v>
      </c>
      <c r="F61" s="52"/>
    </row>
    <row r="62" spans="1:6" x14ac:dyDescent="0.35">
      <c r="A62" s="92">
        <v>61</v>
      </c>
      <c r="B62" s="67" t="s">
        <v>320</v>
      </c>
      <c r="C62" s="92">
        <v>119</v>
      </c>
      <c r="D62" s="93" t="s">
        <v>1483</v>
      </c>
      <c r="F62" s="52"/>
    </row>
    <row r="63" spans="1:6" x14ac:dyDescent="0.35">
      <c r="A63" s="92">
        <v>62</v>
      </c>
      <c r="B63" s="67" t="s">
        <v>334</v>
      </c>
      <c r="C63" s="92">
        <v>110</v>
      </c>
      <c r="D63" s="93" t="s">
        <v>1483</v>
      </c>
      <c r="F63" s="52"/>
    </row>
    <row r="64" spans="1:6" x14ac:dyDescent="0.35">
      <c r="A64" s="92">
        <v>63</v>
      </c>
      <c r="B64" s="67" t="s">
        <v>375</v>
      </c>
      <c r="C64" s="92">
        <v>119</v>
      </c>
      <c r="D64" s="93" t="s">
        <v>1483</v>
      </c>
      <c r="F64" s="52"/>
    </row>
    <row r="65" spans="1:6" x14ac:dyDescent="0.35">
      <c r="A65" s="92">
        <v>64</v>
      </c>
      <c r="B65" s="67" t="s">
        <v>677</v>
      </c>
      <c r="C65" s="92">
        <v>124</v>
      </c>
      <c r="D65" s="93" t="s">
        <v>1484</v>
      </c>
      <c r="F65" s="52"/>
    </row>
    <row r="66" spans="1:6" x14ac:dyDescent="0.35">
      <c r="A66" s="92">
        <v>65</v>
      </c>
      <c r="B66" s="67" t="s">
        <v>277</v>
      </c>
      <c r="C66" s="92">
        <v>110</v>
      </c>
      <c r="D66" s="93" t="s">
        <v>1483</v>
      </c>
      <c r="F66" s="52"/>
    </row>
    <row r="67" spans="1:6" x14ac:dyDescent="0.35">
      <c r="A67" s="92">
        <v>66</v>
      </c>
      <c r="B67" s="67" t="s">
        <v>717</v>
      </c>
      <c r="C67" s="92">
        <v>115</v>
      </c>
      <c r="D67" s="93" t="s">
        <v>1483</v>
      </c>
      <c r="F67" s="52"/>
    </row>
    <row r="68" spans="1:6" x14ac:dyDescent="0.35">
      <c r="A68" s="92">
        <v>67</v>
      </c>
      <c r="B68" s="67" t="s">
        <v>659</v>
      </c>
      <c r="C68" s="92">
        <v>116</v>
      </c>
      <c r="D68" s="93" t="s">
        <v>1483</v>
      </c>
      <c r="F68" s="52"/>
    </row>
    <row r="69" spans="1:6" x14ac:dyDescent="0.35">
      <c r="A69" s="92">
        <v>68</v>
      </c>
      <c r="B69" s="67" t="s">
        <v>366</v>
      </c>
      <c r="C69" s="92">
        <v>118</v>
      </c>
      <c r="D69" s="93" t="s">
        <v>1483</v>
      </c>
      <c r="F69" s="52"/>
    </row>
    <row r="70" spans="1:6" x14ac:dyDescent="0.35">
      <c r="A70" s="92">
        <v>69</v>
      </c>
      <c r="B70" s="67" t="s">
        <v>269</v>
      </c>
      <c r="C70" s="92">
        <v>106</v>
      </c>
      <c r="D70" s="93" t="s">
        <v>78</v>
      </c>
      <c r="F70" s="52"/>
    </row>
    <row r="71" spans="1:6" x14ac:dyDescent="0.35">
      <c r="A71" s="92">
        <v>70</v>
      </c>
      <c r="B71" s="67" t="s">
        <v>301</v>
      </c>
      <c r="C71" s="92">
        <v>111</v>
      </c>
      <c r="D71" s="93" t="s">
        <v>1483</v>
      </c>
      <c r="F71" s="52"/>
    </row>
    <row r="72" spans="1:6" x14ac:dyDescent="0.35">
      <c r="A72" s="92">
        <v>71</v>
      </c>
      <c r="B72" s="67" t="s">
        <v>716</v>
      </c>
      <c r="C72" s="92">
        <v>98</v>
      </c>
      <c r="D72" s="93" t="s">
        <v>78</v>
      </c>
      <c r="F72" s="52"/>
    </row>
    <row r="73" spans="1:6" x14ac:dyDescent="0.35">
      <c r="A73" s="92">
        <v>72</v>
      </c>
      <c r="B73" s="67" t="s">
        <v>313</v>
      </c>
      <c r="C73" s="92">
        <v>86</v>
      </c>
      <c r="D73" s="93" t="s">
        <v>1485</v>
      </c>
      <c r="F73" s="52"/>
    </row>
    <row r="74" spans="1:6" x14ac:dyDescent="0.35">
      <c r="A74" s="92">
        <v>73</v>
      </c>
      <c r="B74" s="67" t="s">
        <v>251</v>
      </c>
      <c r="C74" s="92">
        <v>111</v>
      </c>
      <c r="D74" s="93" t="s">
        <v>1483</v>
      </c>
      <c r="F74" s="52"/>
    </row>
    <row r="75" spans="1:6" x14ac:dyDescent="0.35">
      <c r="A75" s="92">
        <v>74</v>
      </c>
      <c r="B75" s="67" t="s">
        <v>363</v>
      </c>
      <c r="C75" s="92">
        <v>106</v>
      </c>
      <c r="D75" s="93" t="s">
        <v>78</v>
      </c>
      <c r="F75" s="52"/>
    </row>
    <row r="76" spans="1:6" x14ac:dyDescent="0.35">
      <c r="A76" s="92">
        <v>75</v>
      </c>
      <c r="B76" s="67" t="s">
        <v>278</v>
      </c>
      <c r="C76" s="92">
        <v>115</v>
      </c>
      <c r="D76" s="93" t="s">
        <v>1483</v>
      </c>
      <c r="F76" s="52"/>
    </row>
    <row r="77" spans="1:6" x14ac:dyDescent="0.35">
      <c r="A77" s="92">
        <v>76</v>
      </c>
      <c r="B77" s="67" t="s">
        <v>660</v>
      </c>
      <c r="C77" s="92">
        <v>116</v>
      </c>
      <c r="D77" s="93" t="s">
        <v>1483</v>
      </c>
      <c r="F77" s="52"/>
    </row>
    <row r="78" spans="1:6" x14ac:dyDescent="0.35">
      <c r="A78" s="92">
        <v>77</v>
      </c>
      <c r="B78" s="67" t="s">
        <v>652</v>
      </c>
      <c r="C78" s="92">
        <v>116</v>
      </c>
      <c r="D78" s="93" t="s">
        <v>1483</v>
      </c>
      <c r="F78" s="52"/>
    </row>
    <row r="79" spans="1:6" x14ac:dyDescent="0.35">
      <c r="A79" s="92">
        <v>78</v>
      </c>
      <c r="B79" s="67" t="s">
        <v>675</v>
      </c>
      <c r="C79" s="92">
        <v>119</v>
      </c>
      <c r="D79" s="93" t="s">
        <v>1483</v>
      </c>
      <c r="F79" s="52"/>
    </row>
    <row r="80" spans="1:6" x14ac:dyDescent="0.35">
      <c r="A80" s="92">
        <v>79</v>
      </c>
      <c r="B80" s="67" t="s">
        <v>658</v>
      </c>
      <c r="C80" s="92">
        <v>100</v>
      </c>
      <c r="D80" s="93" t="s">
        <v>78</v>
      </c>
      <c r="F80" s="52"/>
    </row>
    <row r="81" spans="1:6" x14ac:dyDescent="0.35">
      <c r="A81" s="92">
        <v>80</v>
      </c>
      <c r="B81" s="67" t="s">
        <v>678</v>
      </c>
      <c r="C81" s="92">
        <v>118</v>
      </c>
      <c r="D81" s="93" t="s">
        <v>1483</v>
      </c>
      <c r="F81" s="52"/>
    </row>
    <row r="82" spans="1:6" x14ac:dyDescent="0.35">
      <c r="A82" s="92">
        <v>81</v>
      </c>
      <c r="B82" s="67" t="s">
        <v>271</v>
      </c>
      <c r="C82" s="92">
        <v>98</v>
      </c>
      <c r="D82" s="93" t="s">
        <v>78</v>
      </c>
      <c r="F82" s="52"/>
    </row>
    <row r="83" spans="1:6" x14ac:dyDescent="0.35">
      <c r="A83" s="92">
        <v>82</v>
      </c>
      <c r="B83" s="67" t="s">
        <v>337</v>
      </c>
      <c r="C83" s="92">
        <v>116</v>
      </c>
      <c r="D83" s="93" t="s">
        <v>1483</v>
      </c>
      <c r="F83" s="52"/>
    </row>
    <row r="84" spans="1:6" x14ac:dyDescent="0.35">
      <c r="A84" s="92">
        <v>83</v>
      </c>
      <c r="B84" s="52" t="s">
        <v>671</v>
      </c>
      <c r="C84" s="92">
        <v>115</v>
      </c>
      <c r="D84" s="93" t="s">
        <v>1483</v>
      </c>
      <c r="F84" s="52"/>
    </row>
    <row r="85" spans="1:6" x14ac:dyDescent="0.35">
      <c r="A85" s="92">
        <v>84</v>
      </c>
      <c r="B85" s="67" t="s">
        <v>350</v>
      </c>
      <c r="C85" s="92">
        <v>113</v>
      </c>
      <c r="D85" s="93" t="s">
        <v>1483</v>
      </c>
      <c r="F85" s="52"/>
    </row>
    <row r="86" spans="1:6" x14ac:dyDescent="0.35">
      <c r="A86" s="92">
        <v>85</v>
      </c>
      <c r="B86" s="67" t="s">
        <v>683</v>
      </c>
      <c r="C86" s="92">
        <v>113</v>
      </c>
      <c r="D86" s="93" t="s">
        <v>1483</v>
      </c>
      <c r="F86" s="52"/>
    </row>
    <row r="87" spans="1:6" x14ac:dyDescent="0.35">
      <c r="A87" s="92">
        <v>86</v>
      </c>
      <c r="B87" s="67" t="s">
        <v>704</v>
      </c>
      <c r="C87" s="92">
        <v>115</v>
      </c>
      <c r="D87" s="93" t="s">
        <v>1483</v>
      </c>
      <c r="F87" s="52"/>
    </row>
    <row r="88" spans="1:6" x14ac:dyDescent="0.35">
      <c r="A88" s="92">
        <v>87</v>
      </c>
      <c r="B88" s="67" t="s">
        <v>703</v>
      </c>
      <c r="C88" s="92">
        <v>120</v>
      </c>
      <c r="D88" s="93" t="s">
        <v>1484</v>
      </c>
      <c r="F88" s="52"/>
    </row>
    <row r="89" spans="1:6" x14ac:dyDescent="0.35">
      <c r="A89" s="92">
        <v>88</v>
      </c>
      <c r="B89" s="67" t="s">
        <v>365</v>
      </c>
      <c r="C89" s="92">
        <v>111</v>
      </c>
      <c r="D89" s="93" t="s">
        <v>1483</v>
      </c>
      <c r="F89" s="52"/>
    </row>
    <row r="90" spans="1:6" x14ac:dyDescent="0.35">
      <c r="A90" s="92">
        <v>89</v>
      </c>
      <c r="B90" s="67" t="s">
        <v>721</v>
      </c>
      <c r="C90" s="92">
        <v>120</v>
      </c>
      <c r="D90" s="93" t="s">
        <v>1484</v>
      </c>
      <c r="F90" s="52"/>
    </row>
    <row r="91" spans="1:6" x14ac:dyDescent="0.35">
      <c r="A91" s="92">
        <v>90</v>
      </c>
      <c r="B91" s="67" t="s">
        <v>681</v>
      </c>
      <c r="C91" s="92">
        <v>106</v>
      </c>
      <c r="D91" s="93" t="s">
        <v>78</v>
      </c>
      <c r="F91" s="52"/>
    </row>
    <row r="92" spans="1:6" x14ac:dyDescent="0.35">
      <c r="A92" s="92">
        <v>91</v>
      </c>
      <c r="B92" s="67" t="s">
        <v>657</v>
      </c>
      <c r="C92" s="92">
        <v>120</v>
      </c>
      <c r="D92" s="93" t="s">
        <v>1484</v>
      </c>
      <c r="F92" s="52"/>
    </row>
    <row r="93" spans="1:6" x14ac:dyDescent="0.35">
      <c r="A93" s="92">
        <v>92</v>
      </c>
      <c r="B93" s="67" t="s">
        <v>713</v>
      </c>
      <c r="C93" s="92">
        <v>116</v>
      </c>
      <c r="D93" s="93" t="s">
        <v>1483</v>
      </c>
      <c r="F93" s="52"/>
    </row>
    <row r="94" spans="1:6" x14ac:dyDescent="0.35">
      <c r="A94" s="92">
        <v>93</v>
      </c>
      <c r="B94" s="67" t="s">
        <v>709</v>
      </c>
      <c r="C94" s="92">
        <v>98</v>
      </c>
      <c r="D94" s="93" t="s">
        <v>78</v>
      </c>
      <c r="F94" s="52"/>
    </row>
    <row r="95" spans="1:6" x14ac:dyDescent="0.35">
      <c r="A95" s="92">
        <v>94</v>
      </c>
      <c r="B95" s="67" t="s">
        <v>662</v>
      </c>
      <c r="C95" s="92">
        <v>114</v>
      </c>
      <c r="D95" s="93" t="s">
        <v>1483</v>
      </c>
      <c r="F95" s="52"/>
    </row>
    <row r="96" spans="1:6" x14ac:dyDescent="0.35">
      <c r="A96" s="92">
        <v>95</v>
      </c>
      <c r="B96" s="67" t="s">
        <v>299</v>
      </c>
      <c r="C96" s="92">
        <v>124</v>
      </c>
      <c r="D96" s="93" t="s">
        <v>1484</v>
      </c>
      <c r="F96" s="52"/>
    </row>
    <row r="97" spans="1:6" x14ac:dyDescent="0.35">
      <c r="A97" s="92">
        <v>96</v>
      </c>
      <c r="B97" s="67" t="s">
        <v>714</v>
      </c>
      <c r="C97" s="92">
        <v>96</v>
      </c>
      <c r="D97" s="93" t="s">
        <v>78</v>
      </c>
      <c r="F97" s="52"/>
    </row>
    <row r="98" spans="1:6" x14ac:dyDescent="0.35">
      <c r="A98" s="92">
        <v>97</v>
      </c>
      <c r="B98" s="67" t="s">
        <v>276</v>
      </c>
      <c r="C98" s="92">
        <v>110</v>
      </c>
      <c r="D98" s="93" t="s">
        <v>1483</v>
      </c>
      <c r="F98" s="52"/>
    </row>
    <row r="99" spans="1:6" x14ac:dyDescent="0.35">
      <c r="A99" s="92">
        <v>98</v>
      </c>
      <c r="B99" s="67" t="s">
        <v>247</v>
      </c>
      <c r="C99" s="92">
        <v>111</v>
      </c>
      <c r="D99" s="93" t="s">
        <v>1483</v>
      </c>
      <c r="F99" s="52"/>
    </row>
    <row r="100" spans="1:6" x14ac:dyDescent="0.35">
      <c r="A100" s="92">
        <v>99</v>
      </c>
      <c r="B100" s="67" t="s">
        <v>266</v>
      </c>
      <c r="C100" s="92">
        <v>118</v>
      </c>
      <c r="D100" s="93" t="s">
        <v>1483</v>
      </c>
      <c r="F100" s="52"/>
    </row>
    <row r="101" spans="1:6" x14ac:dyDescent="0.35">
      <c r="A101" s="92">
        <v>100</v>
      </c>
      <c r="B101" s="52" t="s">
        <v>1486</v>
      </c>
      <c r="C101" s="92">
        <v>126</v>
      </c>
      <c r="D101" s="93" t="s">
        <v>1484</v>
      </c>
      <c r="F101" s="52"/>
    </row>
    <row r="102" spans="1:6" x14ac:dyDescent="0.35">
      <c r="A102" s="92">
        <v>101</v>
      </c>
      <c r="B102" s="67" t="s">
        <v>702</v>
      </c>
      <c r="C102" s="92">
        <v>88</v>
      </c>
      <c r="D102" s="93" t="s">
        <v>1485</v>
      </c>
      <c r="F102" s="52"/>
    </row>
    <row r="103" spans="1:6" x14ac:dyDescent="0.35">
      <c r="A103" s="92">
        <v>102</v>
      </c>
      <c r="B103" s="67" t="s">
        <v>297</v>
      </c>
      <c r="C103" s="92">
        <v>113</v>
      </c>
      <c r="D103" s="93" t="s">
        <v>1483</v>
      </c>
      <c r="F103" s="52"/>
    </row>
    <row r="104" spans="1:6" x14ac:dyDescent="0.35">
      <c r="A104" s="92">
        <v>103</v>
      </c>
      <c r="B104" s="67" t="s">
        <v>336</v>
      </c>
      <c r="C104" s="92">
        <v>96</v>
      </c>
      <c r="D104" s="93" t="s">
        <v>78</v>
      </c>
      <c r="F104" s="52"/>
    </row>
    <row r="105" spans="1:6" x14ac:dyDescent="0.35">
      <c r="A105" s="92">
        <v>104</v>
      </c>
      <c r="B105" s="67" t="s">
        <v>680</v>
      </c>
      <c r="C105" s="92">
        <v>114</v>
      </c>
      <c r="D105" s="93" t="s">
        <v>1483</v>
      </c>
      <c r="F105" s="52"/>
    </row>
    <row r="106" spans="1:6" x14ac:dyDescent="0.35">
      <c r="A106" s="92">
        <v>105</v>
      </c>
      <c r="B106" s="67" t="s">
        <v>356</v>
      </c>
      <c r="C106" s="92">
        <v>113</v>
      </c>
      <c r="D106" s="93" t="s">
        <v>1483</v>
      </c>
      <c r="F106" s="52"/>
    </row>
    <row r="107" spans="1:6" x14ac:dyDescent="0.35">
      <c r="A107" s="92">
        <v>106</v>
      </c>
      <c r="B107" s="67" t="s">
        <v>255</v>
      </c>
      <c r="C107" s="92">
        <v>111</v>
      </c>
      <c r="D107" s="93" t="s">
        <v>1483</v>
      </c>
      <c r="F107" s="52"/>
    </row>
    <row r="108" spans="1:6" x14ac:dyDescent="0.35">
      <c r="A108" s="92">
        <v>107</v>
      </c>
      <c r="B108" s="67" t="s">
        <v>666</v>
      </c>
      <c r="C108" s="92">
        <v>115</v>
      </c>
      <c r="D108" s="93" t="s">
        <v>1483</v>
      </c>
      <c r="F108" s="52"/>
    </row>
    <row r="109" spans="1:6" x14ac:dyDescent="0.35">
      <c r="A109" s="92">
        <v>108</v>
      </c>
      <c r="B109" s="67" t="s">
        <v>344</v>
      </c>
      <c r="C109" s="92">
        <v>120</v>
      </c>
      <c r="D109" s="93" t="s">
        <v>1484</v>
      </c>
      <c r="F109" s="52"/>
    </row>
    <row r="110" spans="1:6" x14ac:dyDescent="0.35">
      <c r="A110" s="92">
        <v>109</v>
      </c>
      <c r="B110" s="67" t="s">
        <v>661</v>
      </c>
      <c r="C110" s="92">
        <v>114</v>
      </c>
      <c r="D110" s="93" t="s">
        <v>1483</v>
      </c>
      <c r="F110" s="52"/>
    </row>
    <row r="111" spans="1:6" x14ac:dyDescent="0.35">
      <c r="A111" s="92">
        <v>110</v>
      </c>
      <c r="B111" s="67" t="s">
        <v>242</v>
      </c>
      <c r="C111" s="92">
        <v>103</v>
      </c>
      <c r="D111" s="93" t="s">
        <v>78</v>
      </c>
      <c r="F111" s="52"/>
    </row>
    <row r="112" spans="1:6" x14ac:dyDescent="0.35">
      <c r="A112" s="92">
        <v>111</v>
      </c>
      <c r="B112" s="67" t="s">
        <v>354</v>
      </c>
      <c r="C112" s="92">
        <v>113</v>
      </c>
      <c r="D112" s="93" t="s">
        <v>1483</v>
      </c>
      <c r="F112" s="52"/>
    </row>
    <row r="113" spans="1:6" x14ac:dyDescent="0.35">
      <c r="A113" s="92">
        <v>112</v>
      </c>
      <c r="B113" s="67" t="s">
        <v>273</v>
      </c>
      <c r="C113" s="92">
        <v>110</v>
      </c>
      <c r="D113" s="93" t="s">
        <v>1483</v>
      </c>
      <c r="F113" s="52"/>
    </row>
    <row r="114" spans="1:6" x14ac:dyDescent="0.35">
      <c r="A114" s="92">
        <v>113</v>
      </c>
      <c r="B114" s="67" t="s">
        <v>257</v>
      </c>
      <c r="C114" s="92">
        <v>125</v>
      </c>
      <c r="D114" s="93" t="s">
        <v>1484</v>
      </c>
      <c r="F114" s="52"/>
    </row>
    <row r="115" spans="1:6" x14ac:dyDescent="0.35">
      <c r="A115" s="92">
        <v>114</v>
      </c>
      <c r="B115" s="67" t="s">
        <v>719</v>
      </c>
      <c r="C115" s="92">
        <v>118</v>
      </c>
      <c r="D115" s="93" t="s">
        <v>1483</v>
      </c>
      <c r="F115" s="52"/>
    </row>
    <row r="116" spans="1:6" x14ac:dyDescent="0.35">
      <c r="A116" s="92">
        <v>115</v>
      </c>
      <c r="B116" s="67" t="s">
        <v>695</v>
      </c>
      <c r="C116" s="92">
        <v>121</v>
      </c>
      <c r="D116" s="93" t="s">
        <v>1484</v>
      </c>
      <c r="F116" s="52"/>
    </row>
    <row r="117" spans="1:6" x14ac:dyDescent="0.35">
      <c r="A117" s="92">
        <v>116</v>
      </c>
      <c r="B117" s="67" t="s">
        <v>282</v>
      </c>
      <c r="C117" s="92">
        <v>118</v>
      </c>
      <c r="D117" s="93" t="s">
        <v>1483</v>
      </c>
      <c r="F117" s="52"/>
    </row>
    <row r="118" spans="1:6" x14ac:dyDescent="0.35">
      <c r="A118" s="92">
        <v>117</v>
      </c>
      <c r="B118" s="67" t="s">
        <v>653</v>
      </c>
      <c r="C118" s="92">
        <v>116</v>
      </c>
      <c r="D118" s="93" t="s">
        <v>1483</v>
      </c>
      <c r="F118" s="52"/>
    </row>
    <row r="119" spans="1:6" x14ac:dyDescent="0.35">
      <c r="A119" s="92">
        <v>118</v>
      </c>
      <c r="B119" s="67" t="s">
        <v>720</v>
      </c>
      <c r="C119" s="92">
        <v>98</v>
      </c>
      <c r="D119" s="93" t="s">
        <v>78</v>
      </c>
      <c r="F119" s="52"/>
    </row>
    <row r="120" spans="1:6" x14ac:dyDescent="0.35">
      <c r="A120" s="92">
        <v>119</v>
      </c>
      <c r="B120" s="67" t="s">
        <v>712</v>
      </c>
      <c r="C120" s="92">
        <v>125</v>
      </c>
      <c r="D120" s="93" t="s">
        <v>1484</v>
      </c>
      <c r="F120" s="52"/>
    </row>
    <row r="121" spans="1:6" x14ac:dyDescent="0.35">
      <c r="A121" s="92">
        <v>120</v>
      </c>
      <c r="B121" s="67" t="s">
        <v>342</v>
      </c>
      <c r="C121" s="92">
        <v>124</v>
      </c>
      <c r="D121" s="93" t="s">
        <v>1484</v>
      </c>
      <c r="F121" s="52"/>
    </row>
    <row r="122" spans="1:6" x14ac:dyDescent="0.35">
      <c r="A122" s="92">
        <v>121</v>
      </c>
      <c r="B122" s="67" t="s">
        <v>682</v>
      </c>
      <c r="C122" s="92">
        <v>126</v>
      </c>
      <c r="D122" s="93" t="s">
        <v>1484</v>
      </c>
      <c r="F122" s="52"/>
    </row>
    <row r="123" spans="1:6" x14ac:dyDescent="0.35">
      <c r="A123" s="92">
        <v>122</v>
      </c>
      <c r="B123" s="67" t="s">
        <v>694</v>
      </c>
      <c r="C123" s="92">
        <v>110</v>
      </c>
      <c r="D123" s="93" t="s">
        <v>1483</v>
      </c>
      <c r="F123" s="52"/>
    </row>
    <row r="124" spans="1:6" x14ac:dyDescent="0.35">
      <c r="A124" s="92">
        <v>123</v>
      </c>
      <c r="B124" s="67" t="s">
        <v>715</v>
      </c>
      <c r="C124" s="92">
        <v>118</v>
      </c>
      <c r="D124" s="93" t="s">
        <v>1483</v>
      </c>
      <c r="F124" s="52"/>
    </row>
    <row r="125" spans="1:6" ht="25" x14ac:dyDescent="0.35">
      <c r="A125" s="92">
        <v>124</v>
      </c>
      <c r="B125" s="67" t="s">
        <v>686</v>
      </c>
      <c r="C125" s="92">
        <v>86</v>
      </c>
      <c r="D125" s="93" t="s">
        <v>1485</v>
      </c>
      <c r="F125" s="52"/>
    </row>
    <row r="126" spans="1:6" x14ac:dyDescent="0.35">
      <c r="A126" s="92">
        <v>125</v>
      </c>
      <c r="B126" s="67" t="s">
        <v>583</v>
      </c>
      <c r="C126" s="92">
        <v>116</v>
      </c>
      <c r="D126" s="93" t="s">
        <v>1483</v>
      </c>
      <c r="F126" s="52"/>
    </row>
    <row r="127" spans="1:6" x14ac:dyDescent="0.35">
      <c r="A127" s="92">
        <v>126</v>
      </c>
      <c r="B127" s="67" t="s">
        <v>676</v>
      </c>
      <c r="C127" s="92">
        <v>110</v>
      </c>
      <c r="D127" s="93" t="s">
        <v>1483</v>
      </c>
      <c r="F127" s="52"/>
    </row>
    <row r="128" spans="1:6" x14ac:dyDescent="0.35">
      <c r="A128" s="92">
        <v>127</v>
      </c>
      <c r="B128" s="67" t="s">
        <v>697</v>
      </c>
      <c r="C128" s="92">
        <v>115</v>
      </c>
      <c r="D128" s="93" t="s">
        <v>1483</v>
      </c>
      <c r="F128" s="52"/>
    </row>
    <row r="129" spans="1:6" x14ac:dyDescent="0.35">
      <c r="A129" s="92">
        <v>128</v>
      </c>
      <c r="B129" s="67" t="s">
        <v>696</v>
      </c>
      <c r="C129" s="92">
        <v>125</v>
      </c>
      <c r="D129" s="93" t="s">
        <v>1484</v>
      </c>
      <c r="F129" s="52"/>
    </row>
    <row r="130" spans="1:6" x14ac:dyDescent="0.35">
      <c r="A130" s="92">
        <v>129</v>
      </c>
      <c r="B130" s="67" t="s">
        <v>710</v>
      </c>
      <c r="C130" s="92">
        <v>116</v>
      </c>
      <c r="D130" s="93" t="s">
        <v>1483</v>
      </c>
      <c r="F130" s="52"/>
    </row>
    <row r="131" spans="1:6" x14ac:dyDescent="0.35">
      <c r="A131" s="92">
        <v>130</v>
      </c>
      <c r="B131" s="67" t="s">
        <v>329</v>
      </c>
      <c r="C131" s="92">
        <v>114</v>
      </c>
      <c r="D131" s="93" t="s">
        <v>1483</v>
      </c>
      <c r="F131" s="52"/>
    </row>
    <row r="132" spans="1:6" x14ac:dyDescent="0.35">
      <c r="A132" s="92">
        <v>131</v>
      </c>
      <c r="B132" s="67" t="s">
        <v>581</v>
      </c>
      <c r="C132" s="92">
        <v>109</v>
      </c>
      <c r="D132" s="93" t="s">
        <v>78</v>
      </c>
      <c r="F132" s="52"/>
    </row>
    <row r="133" spans="1:6" x14ac:dyDescent="0.35">
      <c r="A133" s="92">
        <v>132</v>
      </c>
      <c r="B133" s="67" t="s">
        <v>706</v>
      </c>
      <c r="C133" s="92">
        <v>115</v>
      </c>
      <c r="D133" s="93" t="s">
        <v>1483</v>
      </c>
      <c r="F133" s="52"/>
    </row>
    <row r="134" spans="1:6" x14ac:dyDescent="0.35">
      <c r="A134" s="92">
        <v>133</v>
      </c>
      <c r="B134" s="67" t="s">
        <v>663</v>
      </c>
      <c r="C134" s="92">
        <v>114</v>
      </c>
      <c r="D134" s="93" t="s">
        <v>1483</v>
      </c>
      <c r="F134" s="52"/>
    </row>
    <row r="135" spans="1:6" x14ac:dyDescent="0.35">
      <c r="A135" s="92">
        <v>134</v>
      </c>
      <c r="B135" s="67" t="s">
        <v>650</v>
      </c>
      <c r="C135" s="92">
        <v>116</v>
      </c>
      <c r="D135" s="93" t="s">
        <v>1483</v>
      </c>
      <c r="F135" s="52"/>
    </row>
    <row r="136" spans="1:6" x14ac:dyDescent="0.35">
      <c r="A136" s="92">
        <v>135</v>
      </c>
      <c r="B136" s="67" t="s">
        <v>318</v>
      </c>
      <c r="C136" s="92">
        <v>123</v>
      </c>
      <c r="D136" s="93" t="s">
        <v>1484</v>
      </c>
      <c r="F136" s="52"/>
    </row>
    <row r="137" spans="1:6" x14ac:dyDescent="0.35">
      <c r="A137" s="92">
        <v>136</v>
      </c>
      <c r="B137" s="93" t="s">
        <v>688</v>
      </c>
      <c r="C137" s="92">
        <v>119</v>
      </c>
      <c r="D137" s="93" t="s">
        <v>1483</v>
      </c>
      <c r="F137" s="52"/>
    </row>
    <row r="138" spans="1:6" x14ac:dyDescent="0.35">
      <c r="A138" s="92">
        <v>137</v>
      </c>
      <c r="B138" s="67" t="s">
        <v>284</v>
      </c>
      <c r="C138" s="92">
        <v>125</v>
      </c>
      <c r="D138" s="93" t="s">
        <v>1484</v>
      </c>
      <c r="F138" s="52"/>
    </row>
    <row r="139" spans="1:6" x14ac:dyDescent="0.35">
      <c r="A139" s="92">
        <v>138</v>
      </c>
      <c r="B139" s="67" t="s">
        <v>303</v>
      </c>
      <c r="C139" s="92">
        <v>98</v>
      </c>
      <c r="D139" s="93" t="s">
        <v>78</v>
      </c>
      <c r="F139" s="52"/>
    </row>
    <row r="140" spans="1:6" x14ac:dyDescent="0.35">
      <c r="A140" s="92">
        <v>139</v>
      </c>
      <c r="B140" s="67" t="s">
        <v>679</v>
      </c>
      <c r="C140" s="92">
        <v>113</v>
      </c>
      <c r="D140" s="93" t="s">
        <v>1483</v>
      </c>
      <c r="F140" s="52"/>
    </row>
    <row r="141" spans="1:6" x14ac:dyDescent="0.35">
      <c r="A141" s="92">
        <v>140</v>
      </c>
      <c r="B141" s="67" t="s">
        <v>672</v>
      </c>
      <c r="C141" s="92">
        <v>103</v>
      </c>
      <c r="D141" s="93" t="s">
        <v>78</v>
      </c>
      <c r="F141" s="52"/>
    </row>
    <row r="142" spans="1:6" x14ac:dyDescent="0.35">
      <c r="A142" s="92">
        <v>141</v>
      </c>
      <c r="B142" s="67" t="s">
        <v>340</v>
      </c>
      <c r="C142" s="92">
        <v>125</v>
      </c>
      <c r="D142" s="93" t="s">
        <v>1484</v>
      </c>
      <c r="F142" s="52"/>
    </row>
    <row r="143" spans="1:6" x14ac:dyDescent="0.35">
      <c r="A143" s="92">
        <v>142</v>
      </c>
      <c r="B143" s="67" t="s">
        <v>654</v>
      </c>
      <c r="C143" s="92">
        <v>123</v>
      </c>
      <c r="D143" s="93" t="s">
        <v>1484</v>
      </c>
      <c r="F143" s="52"/>
    </row>
    <row r="144" spans="1:6" x14ac:dyDescent="0.35">
      <c r="A144" s="92">
        <v>143</v>
      </c>
      <c r="B144" s="67" t="s">
        <v>309</v>
      </c>
      <c r="C144" s="92">
        <v>120</v>
      </c>
      <c r="D144" s="93" t="s">
        <v>1484</v>
      </c>
      <c r="F144" s="52"/>
    </row>
    <row r="145" spans="1:6" x14ac:dyDescent="0.35">
      <c r="A145" s="92">
        <v>144</v>
      </c>
      <c r="B145" s="67" t="s">
        <v>707</v>
      </c>
      <c r="C145" s="92">
        <v>126</v>
      </c>
      <c r="D145" s="93" t="s">
        <v>1484</v>
      </c>
      <c r="F145" s="52"/>
    </row>
    <row r="146" spans="1:6" x14ac:dyDescent="0.35">
      <c r="A146" s="92">
        <v>145</v>
      </c>
      <c r="B146" s="67" t="s">
        <v>292</v>
      </c>
      <c r="C146" s="92">
        <v>116</v>
      </c>
      <c r="D146" s="93" t="s">
        <v>1483</v>
      </c>
      <c r="F146" s="52"/>
    </row>
    <row r="147" spans="1:6" x14ac:dyDescent="0.35">
      <c r="A147" s="92">
        <v>146</v>
      </c>
      <c r="B147" s="67" t="s">
        <v>241</v>
      </c>
      <c r="C147" s="92">
        <v>116</v>
      </c>
      <c r="D147" s="93" t="s">
        <v>1483</v>
      </c>
      <c r="F147" s="52"/>
    </row>
    <row r="148" spans="1:6" x14ac:dyDescent="0.35">
      <c r="A148" s="92">
        <v>147</v>
      </c>
      <c r="B148" s="67" t="s">
        <v>307</v>
      </c>
      <c r="C148" s="92">
        <v>111</v>
      </c>
      <c r="D148" s="93" t="s">
        <v>1483</v>
      </c>
      <c r="F148" s="52"/>
    </row>
    <row r="149" spans="1:6" x14ac:dyDescent="0.35">
      <c r="A149" s="92">
        <v>148</v>
      </c>
      <c r="B149" s="67" t="s">
        <v>651</v>
      </c>
      <c r="C149" s="92">
        <v>116</v>
      </c>
      <c r="D149" s="93" t="s">
        <v>1483</v>
      </c>
      <c r="F149" s="52"/>
    </row>
    <row r="150" spans="1:6" x14ac:dyDescent="0.35">
      <c r="A150" s="92">
        <v>149</v>
      </c>
      <c r="B150" s="67" t="s">
        <v>294</v>
      </c>
      <c r="C150" s="92">
        <v>103</v>
      </c>
      <c r="D150" s="93" t="s">
        <v>78</v>
      </c>
      <c r="F150" s="52"/>
    </row>
    <row r="151" spans="1:6" x14ac:dyDescent="0.35">
      <c r="A151" s="92">
        <v>150</v>
      </c>
      <c r="B151" s="100" t="s">
        <v>1055</v>
      </c>
      <c r="C151" s="92">
        <v>114</v>
      </c>
      <c r="D151" s="93" t="s">
        <v>1483</v>
      </c>
      <c r="F151" s="52"/>
    </row>
    <row r="152" spans="1:6" x14ac:dyDescent="0.35">
      <c r="A152" s="92">
        <v>151</v>
      </c>
      <c r="B152" s="100" t="s">
        <v>1198</v>
      </c>
      <c r="C152" s="92">
        <v>111</v>
      </c>
      <c r="D152" s="93" t="s">
        <v>1483</v>
      </c>
      <c r="F152" s="52"/>
    </row>
    <row r="153" spans="1:6" x14ac:dyDescent="0.35">
      <c r="A153" s="92">
        <v>152</v>
      </c>
      <c r="B153" s="100" t="s">
        <v>1241</v>
      </c>
      <c r="C153" s="92">
        <v>111</v>
      </c>
      <c r="D153" s="93" t="s">
        <v>1483</v>
      </c>
      <c r="F153" s="52"/>
    </row>
    <row r="154" spans="1:6" x14ac:dyDescent="0.35">
      <c r="A154" s="92">
        <v>153</v>
      </c>
      <c r="B154" s="100" t="s">
        <v>1142</v>
      </c>
      <c r="C154" s="92">
        <v>123</v>
      </c>
      <c r="D154" s="93" t="s">
        <v>1484</v>
      </c>
      <c r="F154" s="52"/>
    </row>
    <row r="155" spans="1:6" x14ac:dyDescent="0.35">
      <c r="A155" s="92">
        <v>154</v>
      </c>
      <c r="B155" s="100" t="s">
        <v>1162</v>
      </c>
      <c r="C155" s="92">
        <v>110</v>
      </c>
      <c r="D155" s="93" t="s">
        <v>1483</v>
      </c>
      <c r="F155" s="52"/>
    </row>
    <row r="156" spans="1:6" x14ac:dyDescent="0.35">
      <c r="A156" s="92">
        <v>155</v>
      </c>
      <c r="B156" s="100" t="s">
        <v>1225</v>
      </c>
      <c r="C156" s="92">
        <v>88</v>
      </c>
      <c r="D156" s="93" t="s">
        <v>1485</v>
      </c>
      <c r="F156" s="52"/>
    </row>
    <row r="157" spans="1:6" x14ac:dyDescent="0.35">
      <c r="A157" s="92">
        <v>156</v>
      </c>
      <c r="B157" s="100" t="s">
        <v>1064</v>
      </c>
      <c r="C157" s="92">
        <v>103</v>
      </c>
      <c r="D157" s="93" t="s">
        <v>78</v>
      </c>
      <c r="F157" s="52"/>
    </row>
    <row r="158" spans="1:6" x14ac:dyDescent="0.35">
      <c r="A158" s="92">
        <v>157</v>
      </c>
      <c r="B158" s="100" t="s">
        <v>1099</v>
      </c>
      <c r="C158" s="92">
        <v>109</v>
      </c>
      <c r="D158" s="93" t="s">
        <v>78</v>
      </c>
      <c r="F158" s="52"/>
    </row>
    <row r="159" spans="1:6" x14ac:dyDescent="0.35">
      <c r="A159" s="92">
        <v>158</v>
      </c>
      <c r="B159" s="100" t="s">
        <v>1037</v>
      </c>
      <c r="C159" s="92">
        <v>121</v>
      </c>
      <c r="D159" s="93" t="s">
        <v>1484</v>
      </c>
      <c r="F159" s="52"/>
    </row>
    <row r="160" spans="1:6" x14ac:dyDescent="0.35">
      <c r="A160" s="92">
        <v>159</v>
      </c>
      <c r="B160" s="100" t="s">
        <v>1079</v>
      </c>
      <c r="C160" s="92">
        <v>118</v>
      </c>
      <c r="D160" s="93" t="s">
        <v>1483</v>
      </c>
      <c r="F160" s="52"/>
    </row>
    <row r="161" spans="1:6" x14ac:dyDescent="0.35">
      <c r="A161" s="92">
        <v>160</v>
      </c>
      <c r="B161" s="100" t="s">
        <v>1035</v>
      </c>
      <c r="C161" s="92">
        <v>120</v>
      </c>
      <c r="D161" s="93" t="s">
        <v>1484</v>
      </c>
      <c r="F161" s="52"/>
    </row>
    <row r="162" spans="1:6" x14ac:dyDescent="0.35">
      <c r="A162" s="92">
        <v>161</v>
      </c>
      <c r="B162" s="100" t="s">
        <v>1144</v>
      </c>
      <c r="C162" s="92">
        <v>100</v>
      </c>
      <c r="D162" s="93" t="s">
        <v>78</v>
      </c>
      <c r="F162" s="52"/>
    </row>
    <row r="163" spans="1:6" x14ac:dyDescent="0.35">
      <c r="A163" s="92">
        <v>162</v>
      </c>
      <c r="B163" s="100" t="s">
        <v>1102</v>
      </c>
      <c r="C163" s="92">
        <v>110</v>
      </c>
      <c r="D163" s="93" t="s">
        <v>1483</v>
      </c>
      <c r="F163" s="52"/>
    </row>
    <row r="164" spans="1:6" x14ac:dyDescent="0.35">
      <c r="A164" s="92">
        <v>163</v>
      </c>
      <c r="B164" s="100" t="s">
        <v>1071</v>
      </c>
      <c r="C164" s="92">
        <v>110</v>
      </c>
      <c r="D164" s="93" t="s">
        <v>1483</v>
      </c>
      <c r="F164" s="52"/>
    </row>
    <row r="165" spans="1:6" x14ac:dyDescent="0.35">
      <c r="A165" s="92">
        <v>164</v>
      </c>
      <c r="B165" s="100" t="s">
        <v>980</v>
      </c>
      <c r="C165" s="92">
        <v>109</v>
      </c>
      <c r="D165" s="93" t="s">
        <v>78</v>
      </c>
      <c r="F165" s="52"/>
    </row>
    <row r="166" spans="1:6" x14ac:dyDescent="0.35">
      <c r="A166" s="92">
        <v>165</v>
      </c>
      <c r="B166" s="100" t="s">
        <v>1105</v>
      </c>
      <c r="C166" s="92">
        <v>119</v>
      </c>
      <c r="D166" s="93" t="s">
        <v>1483</v>
      </c>
      <c r="F166" s="52"/>
    </row>
    <row r="167" spans="1:6" x14ac:dyDescent="0.35">
      <c r="A167" s="92">
        <v>166</v>
      </c>
      <c r="B167" s="100" t="s">
        <v>1165</v>
      </c>
      <c r="C167" s="92">
        <v>119</v>
      </c>
      <c r="D167" s="93" t="s">
        <v>1483</v>
      </c>
      <c r="F167" s="52"/>
    </row>
    <row r="168" spans="1:6" x14ac:dyDescent="0.35">
      <c r="A168" s="92">
        <v>167</v>
      </c>
      <c r="B168" s="100" t="s">
        <v>1011</v>
      </c>
      <c r="C168" s="92">
        <v>110</v>
      </c>
      <c r="D168" s="93" t="s">
        <v>1483</v>
      </c>
      <c r="F168" s="52"/>
    </row>
    <row r="169" spans="1:6" x14ac:dyDescent="0.35">
      <c r="A169" s="92">
        <v>168</v>
      </c>
      <c r="B169" s="100" t="s">
        <v>1227</v>
      </c>
      <c r="C169" s="92">
        <v>111</v>
      </c>
      <c r="D169" s="93" t="s">
        <v>1483</v>
      </c>
      <c r="F169" s="52"/>
    </row>
    <row r="170" spans="1:6" x14ac:dyDescent="0.35">
      <c r="A170" s="92">
        <v>169</v>
      </c>
      <c r="B170" s="100" t="s">
        <v>1173</v>
      </c>
      <c r="C170" s="92">
        <v>123</v>
      </c>
      <c r="D170" s="93" t="s">
        <v>1484</v>
      </c>
      <c r="F170" s="52"/>
    </row>
    <row r="171" spans="1:6" x14ac:dyDescent="0.35">
      <c r="A171" s="92">
        <v>170</v>
      </c>
      <c r="B171" s="100" t="s">
        <v>956</v>
      </c>
      <c r="C171" s="92">
        <v>123</v>
      </c>
      <c r="D171" s="93" t="s">
        <v>1484</v>
      </c>
      <c r="F171" s="52"/>
    </row>
    <row r="172" spans="1:6" x14ac:dyDescent="0.35">
      <c r="A172" s="92">
        <v>171</v>
      </c>
      <c r="B172" s="100" t="s">
        <v>1247</v>
      </c>
      <c r="C172" s="92">
        <v>103</v>
      </c>
      <c r="D172" s="93" t="s">
        <v>78</v>
      </c>
      <c r="F172" s="52"/>
    </row>
    <row r="173" spans="1:6" x14ac:dyDescent="0.35">
      <c r="A173" s="92">
        <v>172</v>
      </c>
      <c r="B173" s="100" t="s">
        <v>1081</v>
      </c>
      <c r="C173" s="92">
        <v>118</v>
      </c>
      <c r="D173" s="93" t="s">
        <v>1483</v>
      </c>
      <c r="F173" s="52"/>
    </row>
    <row r="174" spans="1:6" x14ac:dyDescent="0.35">
      <c r="A174" s="92">
        <v>173</v>
      </c>
      <c r="B174" s="100" t="s">
        <v>958</v>
      </c>
      <c r="C174" s="92">
        <v>128</v>
      </c>
      <c r="D174" s="93" t="s">
        <v>1484</v>
      </c>
      <c r="F174" s="52"/>
    </row>
    <row r="175" spans="1:6" x14ac:dyDescent="0.35">
      <c r="A175" s="92">
        <v>174</v>
      </c>
      <c r="B175" s="100" t="s">
        <v>1024</v>
      </c>
      <c r="C175" s="92">
        <v>115</v>
      </c>
      <c r="D175" s="93" t="s">
        <v>1483</v>
      </c>
      <c r="F175" s="52"/>
    </row>
    <row r="176" spans="1:6" x14ac:dyDescent="0.35">
      <c r="A176" s="92">
        <v>175</v>
      </c>
      <c r="B176" s="100" t="s">
        <v>1046</v>
      </c>
      <c r="C176" s="92">
        <v>118</v>
      </c>
      <c r="D176" s="93" t="s">
        <v>1483</v>
      </c>
      <c r="F176" s="52"/>
    </row>
    <row r="177" spans="1:6" x14ac:dyDescent="0.35">
      <c r="A177" s="92">
        <v>176</v>
      </c>
      <c r="B177" s="100" t="s">
        <v>943</v>
      </c>
      <c r="C177" s="92">
        <v>116</v>
      </c>
      <c r="D177" s="93" t="s">
        <v>1483</v>
      </c>
      <c r="F177" s="52"/>
    </row>
    <row r="178" spans="1:6" x14ac:dyDescent="0.35">
      <c r="A178" s="92">
        <v>177</v>
      </c>
      <c r="B178" s="100" t="s">
        <v>1075</v>
      </c>
      <c r="C178" s="92">
        <v>114</v>
      </c>
      <c r="D178" s="93" t="s">
        <v>1483</v>
      </c>
      <c r="F178" s="52"/>
    </row>
    <row r="179" spans="1:6" x14ac:dyDescent="0.35">
      <c r="A179" s="92">
        <v>178</v>
      </c>
      <c r="B179" s="100" t="s">
        <v>1230</v>
      </c>
      <c r="C179" s="92">
        <v>98</v>
      </c>
      <c r="D179" s="93" t="s">
        <v>78</v>
      </c>
      <c r="F179" s="52"/>
    </row>
    <row r="180" spans="1:6" x14ac:dyDescent="0.35">
      <c r="A180" s="92">
        <v>179</v>
      </c>
      <c r="B180" s="100" t="s">
        <v>1232</v>
      </c>
      <c r="C180" s="92">
        <v>114</v>
      </c>
      <c r="D180" s="93" t="s">
        <v>1483</v>
      </c>
      <c r="F180" s="52"/>
    </row>
    <row r="181" spans="1:6" x14ac:dyDescent="0.35">
      <c r="A181" s="92">
        <v>180</v>
      </c>
      <c r="B181" s="100" t="s">
        <v>1204</v>
      </c>
      <c r="C181" s="92">
        <v>103</v>
      </c>
      <c r="D181" s="93" t="s">
        <v>78</v>
      </c>
      <c r="F181" s="52"/>
    </row>
    <row r="182" spans="1:6" x14ac:dyDescent="0.35">
      <c r="A182" s="92">
        <v>181</v>
      </c>
      <c r="B182" s="100" t="s">
        <v>1048</v>
      </c>
      <c r="C182" s="92">
        <v>109</v>
      </c>
      <c r="D182" s="93" t="s">
        <v>78</v>
      </c>
      <c r="F182" s="52"/>
    </row>
    <row r="183" spans="1:6" x14ac:dyDescent="0.35">
      <c r="A183" s="92">
        <v>182</v>
      </c>
      <c r="B183" s="100" t="s">
        <v>1107</v>
      </c>
      <c r="C183" s="92">
        <v>90</v>
      </c>
      <c r="D183" s="93" t="s">
        <v>78</v>
      </c>
      <c r="F183" s="52"/>
    </row>
    <row r="184" spans="1:6" x14ac:dyDescent="0.35">
      <c r="A184" s="92">
        <v>183</v>
      </c>
      <c r="B184" s="100" t="s">
        <v>1050</v>
      </c>
      <c r="C184" s="92">
        <v>120</v>
      </c>
      <c r="D184" s="93" t="s">
        <v>1484</v>
      </c>
      <c r="F184" s="52"/>
    </row>
    <row r="185" spans="1:6" x14ac:dyDescent="0.35">
      <c r="A185" s="92">
        <v>184</v>
      </c>
      <c r="B185" s="100" t="s">
        <v>1109</v>
      </c>
      <c r="C185" s="92">
        <v>123</v>
      </c>
      <c r="D185" s="93" t="s">
        <v>1484</v>
      </c>
      <c r="F185" s="52"/>
    </row>
    <row r="186" spans="1:6" x14ac:dyDescent="0.35">
      <c r="A186" s="92">
        <v>185</v>
      </c>
      <c r="B186" s="100" t="s">
        <v>1219</v>
      </c>
      <c r="C186" s="92">
        <v>114</v>
      </c>
      <c r="D186" s="93" t="s">
        <v>1483</v>
      </c>
      <c r="F186" s="52"/>
    </row>
    <row r="187" spans="1:6" x14ac:dyDescent="0.35">
      <c r="A187" s="92">
        <v>186</v>
      </c>
      <c r="B187" s="100" t="s">
        <v>1209</v>
      </c>
      <c r="C187" s="92">
        <v>116</v>
      </c>
      <c r="D187" s="93" t="s">
        <v>1483</v>
      </c>
      <c r="F187" s="52"/>
    </row>
    <row r="188" spans="1:6" x14ac:dyDescent="0.35">
      <c r="A188" s="92">
        <v>187</v>
      </c>
      <c r="B188" s="100" t="s">
        <v>1221</v>
      </c>
      <c r="C188" s="92">
        <v>111</v>
      </c>
      <c r="D188" s="93" t="s">
        <v>1483</v>
      </c>
      <c r="F188" s="52"/>
    </row>
    <row r="189" spans="1:6" x14ac:dyDescent="0.35">
      <c r="A189" s="92">
        <v>188</v>
      </c>
      <c r="B189" s="100" t="s">
        <v>1026</v>
      </c>
      <c r="C189" s="92">
        <v>100</v>
      </c>
      <c r="D189" s="93" t="s">
        <v>78</v>
      </c>
      <c r="F189" s="52"/>
    </row>
    <row r="190" spans="1:6" x14ac:dyDescent="0.35">
      <c r="A190" s="92">
        <v>189</v>
      </c>
      <c r="B190" s="100" t="s">
        <v>1111</v>
      </c>
      <c r="C190" s="92">
        <v>118</v>
      </c>
      <c r="D190" s="93" t="s">
        <v>1483</v>
      </c>
      <c r="F190" s="52"/>
    </row>
    <row r="191" spans="1:6" x14ac:dyDescent="0.35">
      <c r="A191" s="92">
        <v>190</v>
      </c>
      <c r="B191" s="100" t="s">
        <v>1029</v>
      </c>
      <c r="C191" s="92">
        <v>111</v>
      </c>
      <c r="D191" s="93" t="s">
        <v>1483</v>
      </c>
      <c r="F191" s="52"/>
    </row>
    <row r="192" spans="1:6" x14ac:dyDescent="0.35">
      <c r="A192" s="92">
        <v>191</v>
      </c>
      <c r="B192" s="100" t="s">
        <v>1114</v>
      </c>
      <c r="C192" s="92">
        <v>121</v>
      </c>
      <c r="D192" s="93" t="s">
        <v>1484</v>
      </c>
      <c r="F192" s="52"/>
    </row>
    <row r="193" spans="1:6" x14ac:dyDescent="0.35">
      <c r="A193" s="92">
        <v>192</v>
      </c>
      <c r="B193" s="100" t="s">
        <v>1116</v>
      </c>
      <c r="C193" s="92">
        <v>113</v>
      </c>
      <c r="D193" s="93" t="s">
        <v>1483</v>
      </c>
      <c r="F193" s="52"/>
    </row>
    <row r="194" spans="1:6" x14ac:dyDescent="0.35">
      <c r="A194" s="92">
        <v>193</v>
      </c>
      <c r="B194" s="100" t="s">
        <v>926</v>
      </c>
      <c r="C194" s="92">
        <v>121</v>
      </c>
      <c r="D194" s="93" t="s">
        <v>1484</v>
      </c>
      <c r="F194" s="52"/>
    </row>
    <row r="195" spans="1:6" x14ac:dyDescent="0.35">
      <c r="A195" s="92">
        <v>194</v>
      </c>
      <c r="B195" s="100" t="s">
        <v>1000</v>
      </c>
      <c r="C195" s="92">
        <v>125</v>
      </c>
      <c r="D195" s="93" t="s">
        <v>1484</v>
      </c>
      <c r="F195" s="52"/>
    </row>
    <row r="196" spans="1:6" x14ac:dyDescent="0.35">
      <c r="A196" s="92">
        <v>195</v>
      </c>
      <c r="B196" s="100" t="s">
        <v>1008</v>
      </c>
      <c r="C196" s="92">
        <v>115</v>
      </c>
      <c r="D196" s="93" t="s">
        <v>1483</v>
      </c>
      <c r="F196" s="52"/>
    </row>
    <row r="197" spans="1:6" x14ac:dyDescent="0.35">
      <c r="A197" s="92">
        <v>196</v>
      </c>
      <c r="B197" s="100" t="s">
        <v>1085</v>
      </c>
      <c r="C197" s="92">
        <v>106</v>
      </c>
      <c r="D197" s="93" t="s">
        <v>78</v>
      </c>
      <c r="F197" s="52"/>
    </row>
    <row r="198" spans="1:6" x14ac:dyDescent="0.35">
      <c r="A198" s="92">
        <v>197</v>
      </c>
      <c r="B198" s="100" t="s">
        <v>1016</v>
      </c>
      <c r="C198" s="92">
        <v>120</v>
      </c>
      <c r="D198" s="93" t="s">
        <v>1484</v>
      </c>
      <c r="F198" s="52"/>
    </row>
    <row r="199" spans="1:6" x14ac:dyDescent="0.35">
      <c r="A199" s="92">
        <v>198</v>
      </c>
      <c r="B199" s="100" t="s">
        <v>1066</v>
      </c>
      <c r="C199" s="92">
        <v>111</v>
      </c>
      <c r="D199" s="93" t="s">
        <v>1483</v>
      </c>
      <c r="F199" s="52"/>
    </row>
    <row r="200" spans="1:6" x14ac:dyDescent="0.35">
      <c r="A200" s="92">
        <v>199</v>
      </c>
      <c r="B200" s="100" t="s">
        <v>1251</v>
      </c>
      <c r="C200" s="92">
        <v>109</v>
      </c>
      <c r="D200" s="93" t="s">
        <v>78</v>
      </c>
      <c r="F200" s="52"/>
    </row>
    <row r="201" spans="1:6" x14ac:dyDescent="0.35">
      <c r="A201" s="92">
        <v>200</v>
      </c>
      <c r="B201" s="100" t="s">
        <v>1119</v>
      </c>
      <c r="C201" s="92">
        <v>109</v>
      </c>
      <c r="D201" s="93" t="s">
        <v>78</v>
      </c>
      <c r="F201" s="52"/>
    </row>
    <row r="202" spans="1:6" x14ac:dyDescent="0.35">
      <c r="A202" s="92">
        <v>201</v>
      </c>
      <c r="B202" s="100" t="s">
        <v>1146</v>
      </c>
      <c r="C202" s="92">
        <v>106</v>
      </c>
      <c r="D202" s="93" t="s">
        <v>78</v>
      </c>
      <c r="F202" s="52"/>
    </row>
    <row r="203" spans="1:6" x14ac:dyDescent="0.35">
      <c r="A203" s="92">
        <v>202</v>
      </c>
      <c r="B203" s="100" t="s">
        <v>1237</v>
      </c>
      <c r="C203" s="92">
        <v>109</v>
      </c>
      <c r="D203" s="93" t="s">
        <v>78</v>
      </c>
      <c r="F203" s="52"/>
    </row>
    <row r="204" spans="1:6" x14ac:dyDescent="0.35">
      <c r="A204" s="92">
        <v>203</v>
      </c>
      <c r="B204" s="100" t="s">
        <v>1245</v>
      </c>
      <c r="C204" s="92">
        <v>96</v>
      </c>
      <c r="D204" s="93" t="s">
        <v>78</v>
      </c>
      <c r="F204" s="52"/>
    </row>
    <row r="205" spans="1:6" x14ac:dyDescent="0.35">
      <c r="A205" s="92">
        <v>204</v>
      </c>
      <c r="B205" s="100" t="s">
        <v>1444</v>
      </c>
      <c r="C205" s="92">
        <v>86</v>
      </c>
      <c r="D205" s="93" t="s">
        <v>1485</v>
      </c>
      <c r="F205" s="52"/>
    </row>
    <row r="206" spans="1:6" x14ac:dyDescent="0.35">
      <c r="A206" s="92">
        <v>205</v>
      </c>
      <c r="B206" s="100" t="s">
        <v>936</v>
      </c>
      <c r="C206" s="92">
        <v>115</v>
      </c>
      <c r="D206" s="93" t="s">
        <v>1483</v>
      </c>
      <c r="F206" s="52"/>
    </row>
    <row r="207" spans="1:6" x14ac:dyDescent="0.35">
      <c r="A207" s="92">
        <v>206</v>
      </c>
      <c r="B207" s="100" t="s">
        <v>1186</v>
      </c>
      <c r="C207" s="92">
        <v>123</v>
      </c>
      <c r="D207" s="93" t="s">
        <v>1484</v>
      </c>
      <c r="F207" s="52"/>
    </row>
    <row r="208" spans="1:6" x14ac:dyDescent="0.35">
      <c r="A208" s="92">
        <v>207</v>
      </c>
      <c r="B208" s="100" t="s">
        <v>1190</v>
      </c>
      <c r="C208" s="92">
        <v>115</v>
      </c>
      <c r="D208" s="93" t="s">
        <v>1483</v>
      </c>
      <c r="F208" s="52"/>
    </row>
    <row r="209" spans="1:6" x14ac:dyDescent="0.35">
      <c r="A209" s="92">
        <v>208</v>
      </c>
      <c r="B209" s="100" t="s">
        <v>947</v>
      </c>
      <c r="C209" s="92">
        <v>88</v>
      </c>
      <c r="D209" s="93" t="s">
        <v>1485</v>
      </c>
      <c r="F209" s="52"/>
    </row>
    <row r="210" spans="1:6" x14ac:dyDescent="0.35">
      <c r="A210" s="92">
        <v>209</v>
      </c>
      <c r="B210" s="100" t="s">
        <v>1223</v>
      </c>
      <c r="C210" s="92">
        <v>115</v>
      </c>
      <c r="D210" s="93" t="s">
        <v>1483</v>
      </c>
      <c r="F210" s="52"/>
    </row>
    <row r="211" spans="1:6" x14ac:dyDescent="0.35">
      <c r="A211" s="92">
        <v>210</v>
      </c>
      <c r="B211" s="100" t="s">
        <v>1002</v>
      </c>
      <c r="C211" s="92">
        <v>113</v>
      </c>
      <c r="D211" s="93" t="s">
        <v>1483</v>
      </c>
      <c r="F211" s="52"/>
    </row>
    <row r="212" spans="1:6" x14ac:dyDescent="0.35">
      <c r="A212" s="92">
        <v>211</v>
      </c>
      <c r="B212" s="100" t="s">
        <v>1121</v>
      </c>
      <c r="C212" s="92">
        <v>113</v>
      </c>
      <c r="D212" s="93" t="s">
        <v>1483</v>
      </c>
      <c r="F212" s="52"/>
    </row>
    <row r="213" spans="1:6" x14ac:dyDescent="0.35">
      <c r="A213" s="92">
        <v>212</v>
      </c>
      <c r="B213" s="100" t="s">
        <v>982</v>
      </c>
      <c r="C213" s="92">
        <v>93</v>
      </c>
      <c r="D213" s="93" t="s">
        <v>78</v>
      </c>
      <c r="F213" s="52"/>
    </row>
    <row r="214" spans="1:6" x14ac:dyDescent="0.35">
      <c r="A214" s="92">
        <v>213</v>
      </c>
      <c r="B214" s="100" t="s">
        <v>1211</v>
      </c>
      <c r="C214" s="92">
        <v>109</v>
      </c>
      <c r="D214" s="93" t="s">
        <v>78</v>
      </c>
      <c r="F214" s="52"/>
    </row>
    <row r="215" spans="1:6" x14ac:dyDescent="0.35">
      <c r="A215" s="92">
        <v>214</v>
      </c>
      <c r="B215" s="100" t="s">
        <v>1020</v>
      </c>
      <c r="C215" s="92">
        <v>113</v>
      </c>
      <c r="D215" s="93" t="s">
        <v>1483</v>
      </c>
      <c r="F215" s="52"/>
    </row>
    <row r="216" spans="1:6" x14ac:dyDescent="0.35">
      <c r="A216" s="92">
        <v>215</v>
      </c>
      <c r="B216" s="100" t="s">
        <v>1031</v>
      </c>
      <c r="C216" s="92">
        <v>115</v>
      </c>
      <c r="D216" s="93" t="s">
        <v>1483</v>
      </c>
      <c r="F216" s="52"/>
    </row>
    <row r="217" spans="1:6" x14ac:dyDescent="0.35">
      <c r="A217" s="92">
        <v>216</v>
      </c>
      <c r="B217" s="100" t="s">
        <v>960</v>
      </c>
      <c r="C217" s="92">
        <v>115</v>
      </c>
      <c r="D217" s="93" t="s">
        <v>1483</v>
      </c>
      <c r="F217" s="52"/>
    </row>
    <row r="218" spans="1:6" x14ac:dyDescent="0.35">
      <c r="A218" s="92">
        <v>217</v>
      </c>
      <c r="B218" s="100" t="s">
        <v>1123</v>
      </c>
      <c r="C218" s="92">
        <v>96</v>
      </c>
      <c r="D218" s="93" t="s">
        <v>78</v>
      </c>
      <c r="F218" s="52"/>
    </row>
    <row r="219" spans="1:6" x14ac:dyDescent="0.35">
      <c r="A219" s="92">
        <v>218</v>
      </c>
      <c r="B219" s="100" t="s">
        <v>1077</v>
      </c>
      <c r="C219" s="92">
        <v>96</v>
      </c>
      <c r="D219" s="93" t="s">
        <v>78</v>
      </c>
      <c r="F219" s="52"/>
    </row>
    <row r="220" spans="1:6" x14ac:dyDescent="0.35">
      <c r="A220" s="92">
        <v>219</v>
      </c>
      <c r="B220" s="100" t="s">
        <v>1207</v>
      </c>
      <c r="C220" s="92">
        <v>113</v>
      </c>
      <c r="D220" s="93" t="s">
        <v>1483</v>
      </c>
      <c r="F220" s="52"/>
    </row>
    <row r="221" spans="1:6" x14ac:dyDescent="0.35">
      <c r="A221" s="92">
        <v>220</v>
      </c>
      <c r="B221" s="100" t="s">
        <v>965</v>
      </c>
      <c r="C221" s="92">
        <v>114</v>
      </c>
      <c r="D221" s="93" t="s">
        <v>1483</v>
      </c>
      <c r="F221" s="52"/>
    </row>
    <row r="222" spans="1:6" x14ac:dyDescent="0.35">
      <c r="A222" s="92">
        <v>221</v>
      </c>
      <c r="B222" s="100" t="s">
        <v>1087</v>
      </c>
      <c r="C222" s="92">
        <v>120</v>
      </c>
      <c r="D222" s="93" t="s">
        <v>1484</v>
      </c>
      <c r="F222" s="52"/>
    </row>
    <row r="223" spans="1:6" x14ac:dyDescent="0.35">
      <c r="A223" s="92">
        <v>222</v>
      </c>
      <c r="B223" s="100" t="s">
        <v>950</v>
      </c>
      <c r="C223" s="92">
        <v>109</v>
      </c>
      <c r="D223" s="93" t="s">
        <v>78</v>
      </c>
      <c r="F223" s="52"/>
    </row>
    <row r="224" spans="1:6" x14ac:dyDescent="0.35">
      <c r="A224" s="92">
        <v>223</v>
      </c>
      <c r="B224" s="100" t="s">
        <v>1167</v>
      </c>
      <c r="C224" s="92">
        <v>88</v>
      </c>
      <c r="D224" s="93" t="s">
        <v>1485</v>
      </c>
      <c r="F224" s="52"/>
    </row>
    <row r="225" spans="1:6" x14ac:dyDescent="0.35">
      <c r="A225" s="92">
        <v>224</v>
      </c>
      <c r="B225" s="100" t="s">
        <v>1039</v>
      </c>
      <c r="C225" s="92">
        <v>115</v>
      </c>
      <c r="D225" s="93" t="s">
        <v>1483</v>
      </c>
      <c r="F225" s="52"/>
    </row>
    <row r="226" spans="1:6" x14ac:dyDescent="0.35">
      <c r="A226" s="92">
        <v>225</v>
      </c>
      <c r="B226" s="100" t="s">
        <v>984</v>
      </c>
      <c r="C226" s="92">
        <v>119</v>
      </c>
      <c r="D226" s="93" t="s">
        <v>1483</v>
      </c>
      <c r="F226" s="52"/>
    </row>
    <row r="227" spans="1:6" x14ac:dyDescent="0.35">
      <c r="A227" s="92">
        <v>226</v>
      </c>
      <c r="B227" s="100" t="s">
        <v>1013</v>
      </c>
      <c r="C227" s="92">
        <v>119</v>
      </c>
      <c r="D227" s="93" t="s">
        <v>1483</v>
      </c>
      <c r="F227" s="52"/>
    </row>
    <row r="228" spans="1:6" x14ac:dyDescent="0.35">
      <c r="A228" s="92">
        <v>227</v>
      </c>
      <c r="B228" s="100" t="s">
        <v>1042</v>
      </c>
      <c r="C228" s="92">
        <v>111</v>
      </c>
      <c r="D228" s="93" t="s">
        <v>1483</v>
      </c>
      <c r="F228" s="52"/>
    </row>
    <row r="229" spans="1:6" x14ac:dyDescent="0.35">
      <c r="A229" s="92">
        <v>228</v>
      </c>
      <c r="B229" s="100" t="s">
        <v>1415</v>
      </c>
      <c r="C229" s="92">
        <v>128</v>
      </c>
      <c r="D229" s="93" t="s">
        <v>1484</v>
      </c>
      <c r="F229" s="52"/>
    </row>
    <row r="230" spans="1:6" x14ac:dyDescent="0.35">
      <c r="A230" s="92">
        <v>229</v>
      </c>
      <c r="B230" s="100" t="s">
        <v>1433</v>
      </c>
      <c r="C230" s="92">
        <v>103</v>
      </c>
      <c r="D230" s="93" t="s">
        <v>78</v>
      </c>
      <c r="F230" s="52"/>
    </row>
    <row r="231" spans="1:6" x14ac:dyDescent="0.35">
      <c r="A231" s="92">
        <v>230</v>
      </c>
      <c r="B231" s="100" t="s">
        <v>1524</v>
      </c>
      <c r="C231" s="92">
        <v>116</v>
      </c>
      <c r="D231" s="93" t="s">
        <v>1483</v>
      </c>
      <c r="F231" s="52"/>
    </row>
    <row r="232" spans="1:6" x14ac:dyDescent="0.35">
      <c r="A232" s="92">
        <v>231</v>
      </c>
      <c r="B232" s="100" t="s">
        <v>1523</v>
      </c>
      <c r="C232" s="92">
        <v>126</v>
      </c>
      <c r="D232" s="93" t="s">
        <v>1484</v>
      </c>
      <c r="F232" s="52"/>
    </row>
    <row r="233" spans="1:6" x14ac:dyDescent="0.35">
      <c r="A233" s="92">
        <v>232</v>
      </c>
      <c r="B233" s="100" t="s">
        <v>1089</v>
      </c>
      <c r="C233" s="92">
        <v>96</v>
      </c>
      <c r="D233" s="93" t="s">
        <v>78</v>
      </c>
      <c r="F233" s="52"/>
    </row>
    <row r="234" spans="1:6" x14ac:dyDescent="0.35">
      <c r="A234" s="92">
        <v>233</v>
      </c>
      <c r="B234" s="100" t="s">
        <v>1151</v>
      </c>
      <c r="C234" s="92">
        <v>88</v>
      </c>
      <c r="D234" s="93" t="s">
        <v>1485</v>
      </c>
      <c r="F234" s="52"/>
    </row>
    <row r="235" spans="1:6" x14ac:dyDescent="0.35">
      <c r="A235" s="92">
        <v>234</v>
      </c>
      <c r="B235" s="100" t="s">
        <v>1125</v>
      </c>
      <c r="C235" s="92">
        <v>110</v>
      </c>
      <c r="D235" s="93" t="s">
        <v>1483</v>
      </c>
      <c r="F235" s="52"/>
    </row>
    <row r="236" spans="1:6" x14ac:dyDescent="0.35">
      <c r="A236" s="92">
        <v>235</v>
      </c>
      <c r="B236" s="100" t="s">
        <v>1213</v>
      </c>
      <c r="C236" s="92">
        <v>114</v>
      </c>
      <c r="D236" s="93" t="s">
        <v>1483</v>
      </c>
      <c r="F236" s="52"/>
    </row>
    <row r="237" spans="1:6" x14ac:dyDescent="0.35">
      <c r="A237" s="92">
        <v>236</v>
      </c>
      <c r="B237" s="100" t="s">
        <v>988</v>
      </c>
      <c r="C237" s="92">
        <v>85</v>
      </c>
      <c r="D237" s="93" t="s">
        <v>1485</v>
      </c>
      <c r="F237" s="52"/>
    </row>
    <row r="238" spans="1:6" x14ac:dyDescent="0.35">
      <c r="A238" s="92">
        <v>237</v>
      </c>
      <c r="B238" s="100" t="s">
        <v>963</v>
      </c>
      <c r="C238" s="92">
        <v>114</v>
      </c>
      <c r="D238" s="93" t="s">
        <v>1483</v>
      </c>
      <c r="F238" s="52"/>
    </row>
    <row r="239" spans="1:6" x14ac:dyDescent="0.35">
      <c r="A239" s="92">
        <v>238</v>
      </c>
      <c r="B239" s="100" t="s">
        <v>1153</v>
      </c>
      <c r="C239" s="92">
        <v>115</v>
      </c>
      <c r="D239" s="93" t="s">
        <v>1483</v>
      </c>
      <c r="F239" s="52"/>
    </row>
    <row r="240" spans="1:6" x14ac:dyDescent="0.35">
      <c r="A240" s="92">
        <v>239</v>
      </c>
      <c r="B240" s="100" t="s">
        <v>1091</v>
      </c>
      <c r="C240" s="92">
        <v>103</v>
      </c>
      <c r="D240" s="93" t="s">
        <v>78</v>
      </c>
      <c r="F240" s="52"/>
    </row>
    <row r="241" spans="1:6" x14ac:dyDescent="0.35">
      <c r="A241" s="92">
        <v>240</v>
      </c>
      <c r="B241" s="100" t="s">
        <v>1093</v>
      </c>
      <c r="C241" s="92">
        <v>116</v>
      </c>
      <c r="D241" s="93" t="s">
        <v>1483</v>
      </c>
      <c r="F241" s="52"/>
    </row>
    <row r="242" spans="1:6" x14ac:dyDescent="0.35">
      <c r="A242" s="92">
        <v>241</v>
      </c>
      <c r="B242" s="100" t="s">
        <v>921</v>
      </c>
      <c r="C242" s="92">
        <v>113</v>
      </c>
      <c r="D242" s="93" t="s">
        <v>1483</v>
      </c>
      <c r="F242" s="52"/>
    </row>
    <row r="243" spans="1:6" x14ac:dyDescent="0.35">
      <c r="A243" s="92">
        <v>242</v>
      </c>
      <c r="B243" s="100" t="s">
        <v>1188</v>
      </c>
      <c r="C243" s="92">
        <v>114</v>
      </c>
      <c r="D243" s="93" t="s">
        <v>1483</v>
      </c>
      <c r="F243" s="52"/>
    </row>
    <row r="244" spans="1:6" x14ac:dyDescent="0.35">
      <c r="A244" s="92">
        <v>243</v>
      </c>
      <c r="B244" s="100" t="s">
        <v>930</v>
      </c>
      <c r="C244" s="92">
        <v>111</v>
      </c>
      <c r="D244" s="93" t="s">
        <v>1483</v>
      </c>
      <c r="F244" s="52"/>
    </row>
    <row r="245" spans="1:6" x14ac:dyDescent="0.35">
      <c r="A245" s="92">
        <v>244</v>
      </c>
      <c r="B245" s="100" t="s">
        <v>1200</v>
      </c>
      <c r="C245" s="92">
        <v>110</v>
      </c>
      <c r="D245" s="93" t="s">
        <v>1483</v>
      </c>
      <c r="F245" s="52"/>
    </row>
    <row r="246" spans="1:6" x14ac:dyDescent="0.35">
      <c r="A246" s="92">
        <v>245</v>
      </c>
      <c r="B246" s="100" t="s">
        <v>938</v>
      </c>
      <c r="C246" s="92">
        <v>118</v>
      </c>
      <c r="D246" s="93" t="s">
        <v>1483</v>
      </c>
      <c r="F246" s="52"/>
    </row>
    <row r="247" spans="1:6" x14ac:dyDescent="0.35">
      <c r="A247" s="92">
        <v>246</v>
      </c>
      <c r="B247" s="100" t="s">
        <v>1184</v>
      </c>
      <c r="C247" s="92">
        <v>109</v>
      </c>
      <c r="D247" s="93" t="s">
        <v>78</v>
      </c>
      <c r="F247" s="52"/>
    </row>
    <row r="248" spans="1:6" x14ac:dyDescent="0.35">
      <c r="A248" s="92">
        <v>247</v>
      </c>
      <c r="B248" s="100" t="s">
        <v>1129</v>
      </c>
      <c r="C248" s="92">
        <v>118</v>
      </c>
      <c r="D248" s="93" t="s">
        <v>1483</v>
      </c>
      <c r="F248" s="52"/>
    </row>
    <row r="249" spans="1:6" x14ac:dyDescent="0.35">
      <c r="A249" s="92">
        <v>248</v>
      </c>
      <c r="B249" s="100" t="s">
        <v>1182</v>
      </c>
      <c r="C249" s="92">
        <v>119</v>
      </c>
      <c r="D249" s="93" t="s">
        <v>1483</v>
      </c>
      <c r="F249" s="52"/>
    </row>
    <row r="250" spans="1:6" x14ac:dyDescent="0.35">
      <c r="A250" s="92">
        <v>249</v>
      </c>
      <c r="B250" s="100" t="s">
        <v>971</v>
      </c>
      <c r="C250" s="92">
        <v>118</v>
      </c>
      <c r="D250" s="93" t="s">
        <v>1483</v>
      </c>
      <c r="F250" s="52"/>
    </row>
    <row r="251" spans="1:6" x14ac:dyDescent="0.35">
      <c r="A251" s="92">
        <v>250</v>
      </c>
      <c r="B251" s="100" t="s">
        <v>932</v>
      </c>
      <c r="C251" s="92">
        <v>114</v>
      </c>
      <c r="D251" s="93" t="s">
        <v>1483</v>
      </c>
      <c r="F251" s="52"/>
    </row>
    <row r="252" spans="1:6" x14ac:dyDescent="0.35">
      <c r="A252" s="92">
        <v>251</v>
      </c>
      <c r="B252" s="100" t="s">
        <v>1131</v>
      </c>
      <c r="C252" s="92">
        <v>113</v>
      </c>
      <c r="D252" s="93" t="s">
        <v>1483</v>
      </c>
      <c r="F252" s="52"/>
    </row>
    <row r="253" spans="1:6" x14ac:dyDescent="0.35">
      <c r="A253" s="92">
        <v>252</v>
      </c>
      <c r="B253" s="100" t="s">
        <v>973</v>
      </c>
      <c r="C253" s="92">
        <v>121</v>
      </c>
      <c r="D253" s="93" t="s">
        <v>1484</v>
      </c>
      <c r="F253" s="52"/>
    </row>
    <row r="254" spans="1:6" x14ac:dyDescent="0.35">
      <c r="A254" s="92">
        <v>253</v>
      </c>
      <c r="B254" s="100" t="s">
        <v>1004</v>
      </c>
      <c r="C254" s="92">
        <v>110</v>
      </c>
      <c r="D254" s="93" t="s">
        <v>1483</v>
      </c>
      <c r="F254" s="52"/>
    </row>
    <row r="255" spans="1:6" x14ac:dyDescent="0.35">
      <c r="A255" s="92">
        <v>254</v>
      </c>
      <c r="B255" s="100" t="s">
        <v>1073</v>
      </c>
      <c r="C255" s="92">
        <v>106</v>
      </c>
      <c r="D255" s="93" t="s">
        <v>78</v>
      </c>
      <c r="F255" s="52"/>
    </row>
    <row r="256" spans="1:6" x14ac:dyDescent="0.35">
      <c r="A256" s="92">
        <v>255</v>
      </c>
      <c r="B256" s="100" t="s">
        <v>934</v>
      </c>
      <c r="C256" s="92">
        <v>121</v>
      </c>
      <c r="D256" s="93" t="s">
        <v>1484</v>
      </c>
      <c r="F256" s="52"/>
    </row>
    <row r="257" spans="1:6" x14ac:dyDescent="0.35">
      <c r="A257" s="92">
        <v>256</v>
      </c>
      <c r="B257" s="100" t="s">
        <v>1239</v>
      </c>
      <c r="C257" s="92">
        <v>121</v>
      </c>
      <c r="D257" s="93" t="s">
        <v>1484</v>
      </c>
      <c r="F257" s="52"/>
    </row>
    <row r="258" spans="1:6" x14ac:dyDescent="0.35">
      <c r="A258" s="92">
        <v>257</v>
      </c>
      <c r="B258" s="100" t="s">
        <v>990</v>
      </c>
      <c r="C258" s="92">
        <v>111</v>
      </c>
      <c r="D258" s="93" t="s">
        <v>1483</v>
      </c>
      <c r="F258" s="52"/>
    </row>
    <row r="259" spans="1:6" x14ac:dyDescent="0.35">
      <c r="A259" s="92">
        <v>258</v>
      </c>
      <c r="B259" s="100" t="s">
        <v>992</v>
      </c>
      <c r="C259" s="92">
        <v>120</v>
      </c>
      <c r="D259" s="93" t="s">
        <v>1484</v>
      </c>
      <c r="F259" s="52"/>
    </row>
    <row r="260" spans="1:6" x14ac:dyDescent="0.35">
      <c r="A260" s="92">
        <v>259</v>
      </c>
      <c r="B260" s="100" t="s">
        <v>1156</v>
      </c>
      <c r="C260" s="92">
        <v>113</v>
      </c>
      <c r="D260" s="93" t="s">
        <v>1483</v>
      </c>
      <c r="F260" s="52"/>
    </row>
    <row r="261" spans="1:6" x14ac:dyDescent="0.35">
      <c r="A261" s="92">
        <v>260</v>
      </c>
      <c r="B261" s="100" t="s">
        <v>940</v>
      </c>
      <c r="C261" s="92">
        <v>123</v>
      </c>
      <c r="D261" s="93" t="s">
        <v>1484</v>
      </c>
      <c r="F261" s="52"/>
    </row>
    <row r="262" spans="1:6" x14ac:dyDescent="0.35">
      <c r="A262" s="92">
        <v>261</v>
      </c>
      <c r="B262" s="100" t="s">
        <v>1006</v>
      </c>
      <c r="C262" s="92">
        <v>98</v>
      </c>
      <c r="D262" s="93" t="s">
        <v>78</v>
      </c>
      <c r="F262" s="52"/>
    </row>
    <row r="263" spans="1:6" x14ac:dyDescent="0.35">
      <c r="A263" s="92">
        <v>262</v>
      </c>
      <c r="B263" s="100" t="s">
        <v>953</v>
      </c>
      <c r="C263" s="92">
        <v>114</v>
      </c>
      <c r="D263" s="93" t="s">
        <v>1483</v>
      </c>
      <c r="F263" s="52"/>
    </row>
    <row r="264" spans="1:6" x14ac:dyDescent="0.35">
      <c r="A264" s="92">
        <v>263</v>
      </c>
      <c r="B264" s="100" t="s">
        <v>967</v>
      </c>
      <c r="C264" s="92">
        <v>121</v>
      </c>
      <c r="D264" s="93" t="s">
        <v>1484</v>
      </c>
      <c r="F264" s="52"/>
    </row>
    <row r="265" spans="1:6" x14ac:dyDescent="0.35">
      <c r="A265" s="92">
        <v>264</v>
      </c>
      <c r="B265" s="100" t="s">
        <v>994</v>
      </c>
      <c r="C265" s="92">
        <v>118</v>
      </c>
      <c r="D265" s="93" t="s">
        <v>1483</v>
      </c>
      <c r="F265" s="52"/>
    </row>
    <row r="266" spans="1:6" x14ac:dyDescent="0.35">
      <c r="A266" s="92">
        <v>265</v>
      </c>
      <c r="B266" s="100" t="s">
        <v>1022</v>
      </c>
      <c r="C266" s="92">
        <v>115</v>
      </c>
      <c r="D266" s="93" t="s">
        <v>1483</v>
      </c>
      <c r="F266" s="52"/>
    </row>
    <row r="267" spans="1:6" x14ac:dyDescent="0.35">
      <c r="A267" s="92">
        <v>266</v>
      </c>
      <c r="B267" s="100" t="s">
        <v>1095</v>
      </c>
      <c r="C267" s="92">
        <v>113</v>
      </c>
      <c r="D267" s="93" t="s">
        <v>1483</v>
      </c>
      <c r="F267" s="52"/>
    </row>
    <row r="268" spans="1:6" x14ac:dyDescent="0.35">
      <c r="A268" s="92">
        <v>267</v>
      </c>
      <c r="B268" s="100" t="s">
        <v>1243</v>
      </c>
      <c r="C268" s="92">
        <v>114</v>
      </c>
      <c r="D268" s="93" t="s">
        <v>1483</v>
      </c>
      <c r="F268" s="52"/>
    </row>
    <row r="269" spans="1:6" x14ac:dyDescent="0.35">
      <c r="A269" s="92">
        <v>268</v>
      </c>
      <c r="B269" s="100" t="s">
        <v>996</v>
      </c>
      <c r="C269" s="92">
        <v>116</v>
      </c>
      <c r="D269" s="93" t="s">
        <v>1483</v>
      </c>
      <c r="F269" s="52"/>
    </row>
    <row r="270" spans="1:6" x14ac:dyDescent="0.35">
      <c r="A270" s="92">
        <v>269</v>
      </c>
      <c r="B270" s="100" t="s">
        <v>975</v>
      </c>
      <c r="C270" s="92">
        <v>114</v>
      </c>
      <c r="D270" s="93" t="s">
        <v>1483</v>
      </c>
      <c r="F270" s="52"/>
    </row>
    <row r="271" spans="1:6" x14ac:dyDescent="0.35">
      <c r="A271" s="92">
        <v>270</v>
      </c>
      <c r="B271" s="100" t="s">
        <v>1255</v>
      </c>
      <c r="C271" s="92">
        <v>120</v>
      </c>
      <c r="D271" s="93" t="s">
        <v>1484</v>
      </c>
      <c r="F271" s="52"/>
    </row>
    <row r="272" spans="1:6" x14ac:dyDescent="0.35">
      <c r="A272" s="92">
        <v>271</v>
      </c>
      <c r="B272" s="100" t="s">
        <v>1133</v>
      </c>
      <c r="C272" s="92">
        <v>121</v>
      </c>
      <c r="D272" s="93" t="s">
        <v>1484</v>
      </c>
      <c r="F272" s="52"/>
    </row>
    <row r="273" spans="1:6" x14ac:dyDescent="0.35">
      <c r="A273" s="92">
        <v>272</v>
      </c>
      <c r="B273" s="100" t="s">
        <v>969</v>
      </c>
      <c r="C273" s="92">
        <v>103</v>
      </c>
      <c r="D273" s="93" t="s">
        <v>78</v>
      </c>
      <c r="F273" s="52"/>
    </row>
    <row r="274" spans="1:6" x14ac:dyDescent="0.35">
      <c r="A274" s="92">
        <v>273</v>
      </c>
      <c r="B274" s="100" t="s">
        <v>1059</v>
      </c>
      <c r="C274" s="92">
        <v>98</v>
      </c>
      <c r="D274" s="93" t="s">
        <v>78</v>
      </c>
      <c r="F274" s="52"/>
    </row>
    <row r="275" spans="1:6" x14ac:dyDescent="0.35">
      <c r="A275" s="92">
        <v>274</v>
      </c>
      <c r="B275" s="100" t="s">
        <v>1061</v>
      </c>
      <c r="C275" s="92">
        <v>109</v>
      </c>
      <c r="D275" s="93" t="s">
        <v>78</v>
      </c>
      <c r="F275" s="52"/>
    </row>
    <row r="276" spans="1:6" x14ac:dyDescent="0.35">
      <c r="A276" s="92">
        <v>275</v>
      </c>
      <c r="B276" s="100" t="s">
        <v>1192</v>
      </c>
      <c r="C276" s="92">
        <v>106</v>
      </c>
      <c r="D276" s="93" t="s">
        <v>78</v>
      </c>
      <c r="F276" s="52"/>
    </row>
    <row r="277" spans="1:6" x14ac:dyDescent="0.35">
      <c r="A277" s="92">
        <v>276</v>
      </c>
      <c r="B277" s="100" t="s">
        <v>1044</v>
      </c>
      <c r="C277" s="92">
        <v>100</v>
      </c>
      <c r="D277" s="93" t="s">
        <v>78</v>
      </c>
      <c r="F277" s="52"/>
    </row>
    <row r="278" spans="1:6" x14ac:dyDescent="0.35">
      <c r="A278" s="92">
        <v>277</v>
      </c>
      <c r="B278" s="100" t="s">
        <v>1202</v>
      </c>
      <c r="C278" s="92">
        <v>111</v>
      </c>
      <c r="D278" s="93" t="s">
        <v>1483</v>
      </c>
      <c r="F278" s="52"/>
    </row>
    <row r="279" spans="1:6" x14ac:dyDescent="0.35">
      <c r="A279" s="92">
        <v>278</v>
      </c>
      <c r="B279" s="100" t="s">
        <v>1249</v>
      </c>
      <c r="C279" s="92">
        <v>103</v>
      </c>
      <c r="D279" s="93" t="s">
        <v>78</v>
      </c>
      <c r="F279" s="52"/>
    </row>
    <row r="280" spans="1:6" x14ac:dyDescent="0.35">
      <c r="A280" s="92">
        <v>279</v>
      </c>
      <c r="B280" s="100" t="s">
        <v>1158</v>
      </c>
      <c r="C280" s="92">
        <v>109</v>
      </c>
      <c r="D280" s="93" t="s">
        <v>78</v>
      </c>
      <c r="F280" s="52"/>
    </row>
    <row r="281" spans="1:6" x14ac:dyDescent="0.35">
      <c r="A281" s="92">
        <v>280</v>
      </c>
      <c r="B281" s="100" t="s">
        <v>1474</v>
      </c>
      <c r="C281" s="92">
        <v>103</v>
      </c>
      <c r="D281" s="93" t="s">
        <v>78</v>
      </c>
      <c r="F281" s="52"/>
    </row>
    <row r="282" spans="1:6" x14ac:dyDescent="0.35">
      <c r="A282" s="92">
        <v>281</v>
      </c>
      <c r="B282" s="100" t="s">
        <v>1169</v>
      </c>
      <c r="C282" s="92">
        <v>114</v>
      </c>
      <c r="D282" s="93" t="s">
        <v>1483</v>
      </c>
      <c r="F282" s="52"/>
    </row>
    <row r="283" spans="1:6" x14ac:dyDescent="0.35">
      <c r="A283" s="92">
        <v>282</v>
      </c>
      <c r="B283" s="100" t="s">
        <v>978</v>
      </c>
      <c r="C283" s="92">
        <v>111</v>
      </c>
      <c r="D283" s="93" t="s">
        <v>1483</v>
      </c>
      <c r="F283" s="52"/>
    </row>
    <row r="284" spans="1:6" x14ac:dyDescent="0.35">
      <c r="A284" s="92">
        <v>283</v>
      </c>
      <c r="B284" s="100" t="s">
        <v>1175</v>
      </c>
      <c r="C284" s="92">
        <v>109</v>
      </c>
      <c r="D284" s="93" t="s">
        <v>78</v>
      </c>
      <c r="F284" s="52"/>
    </row>
    <row r="285" spans="1:6" x14ac:dyDescent="0.35">
      <c r="A285" s="92">
        <v>284</v>
      </c>
      <c r="B285" s="100" t="s">
        <v>998</v>
      </c>
      <c r="C285" s="92">
        <v>124</v>
      </c>
      <c r="D285" s="93" t="s">
        <v>1484</v>
      </c>
      <c r="F285" s="52"/>
    </row>
    <row r="286" spans="1:6" x14ac:dyDescent="0.35">
      <c r="A286" s="92">
        <v>285</v>
      </c>
      <c r="B286" s="100" t="s">
        <v>1018</v>
      </c>
      <c r="C286" s="92">
        <v>115</v>
      </c>
      <c r="D286" s="93" t="s">
        <v>1483</v>
      </c>
      <c r="F286" s="52"/>
    </row>
    <row r="287" spans="1:6" x14ac:dyDescent="0.35">
      <c r="A287" s="92">
        <v>286</v>
      </c>
      <c r="B287" s="100" t="s">
        <v>1178</v>
      </c>
      <c r="C287" s="92">
        <v>119</v>
      </c>
      <c r="D287" s="93" t="s">
        <v>1483</v>
      </c>
      <c r="F287" s="52"/>
    </row>
    <row r="288" spans="1:6" x14ac:dyDescent="0.35">
      <c r="A288" s="92">
        <v>287</v>
      </c>
      <c r="B288" s="100" t="s">
        <v>1253</v>
      </c>
      <c r="C288" s="92">
        <v>89</v>
      </c>
      <c r="D288" s="93" t="s">
        <v>1485</v>
      </c>
      <c r="F288" s="52"/>
    </row>
    <row r="289" spans="1:6" x14ac:dyDescent="0.35">
      <c r="A289" s="92">
        <v>288</v>
      </c>
      <c r="B289" s="100" t="s">
        <v>1136</v>
      </c>
      <c r="C289" s="92">
        <v>126</v>
      </c>
      <c r="D289" s="93" t="s">
        <v>1484</v>
      </c>
      <c r="F289" s="52"/>
    </row>
    <row r="290" spans="1:6" x14ac:dyDescent="0.35">
      <c r="A290" s="92">
        <v>289</v>
      </c>
      <c r="B290" s="100" t="s">
        <v>1216</v>
      </c>
      <c r="C290" s="92">
        <v>113</v>
      </c>
      <c r="D290" s="93" t="s">
        <v>1483</v>
      </c>
      <c r="F290" s="52"/>
    </row>
    <row r="291" spans="1:6" x14ac:dyDescent="0.35">
      <c r="A291" s="92">
        <v>290</v>
      </c>
      <c r="B291" s="100" t="s">
        <v>1171</v>
      </c>
      <c r="C291" s="92">
        <v>111</v>
      </c>
      <c r="D291" s="93" t="s">
        <v>1483</v>
      </c>
      <c r="F291" s="52"/>
    </row>
    <row r="292" spans="1:6" x14ac:dyDescent="0.35">
      <c r="A292" s="92">
        <v>291</v>
      </c>
      <c r="B292" s="100" t="s">
        <v>924</v>
      </c>
      <c r="C292" s="92">
        <v>100</v>
      </c>
      <c r="D292" s="93" t="s">
        <v>78</v>
      </c>
      <c r="F292" s="52"/>
    </row>
    <row r="293" spans="1:6" x14ac:dyDescent="0.35">
      <c r="A293" s="92">
        <v>292</v>
      </c>
      <c r="B293" s="100" t="s">
        <v>1033</v>
      </c>
      <c r="C293" s="92">
        <v>116</v>
      </c>
      <c r="D293" s="93" t="s">
        <v>1483</v>
      </c>
      <c r="F293" s="52"/>
    </row>
    <row r="294" spans="1:6" x14ac:dyDescent="0.35">
      <c r="A294" s="92">
        <v>293</v>
      </c>
      <c r="B294" s="100" t="s">
        <v>1138</v>
      </c>
      <c r="C294" s="92">
        <v>100</v>
      </c>
      <c r="D294" s="93" t="s">
        <v>78</v>
      </c>
      <c r="F294" s="52"/>
    </row>
    <row r="295" spans="1:6" x14ac:dyDescent="0.35">
      <c r="A295" s="92">
        <v>294</v>
      </c>
      <c r="B295" s="100" t="s">
        <v>1194</v>
      </c>
      <c r="C295" s="92">
        <v>111</v>
      </c>
      <c r="D295" s="93" t="s">
        <v>1483</v>
      </c>
      <c r="F295" s="52"/>
    </row>
    <row r="296" spans="1:6" x14ac:dyDescent="0.35">
      <c r="A296" s="92">
        <v>295</v>
      </c>
      <c r="B296" s="100" t="s">
        <v>1196</v>
      </c>
      <c r="C296" s="92">
        <v>110</v>
      </c>
      <c r="D296" s="93" t="s">
        <v>1483</v>
      </c>
      <c r="F296" s="52"/>
    </row>
    <row r="297" spans="1:6" x14ac:dyDescent="0.35">
      <c r="A297" s="92">
        <v>296</v>
      </c>
      <c r="B297" s="100" t="s">
        <v>1052</v>
      </c>
      <c r="C297" s="92">
        <v>103</v>
      </c>
      <c r="D297" s="93" t="s">
        <v>78</v>
      </c>
      <c r="F297" s="52"/>
    </row>
    <row r="298" spans="1:6" x14ac:dyDescent="0.35">
      <c r="A298" s="92">
        <v>297</v>
      </c>
      <c r="B298" s="100" t="s">
        <v>1140</v>
      </c>
      <c r="C298" s="92">
        <v>125</v>
      </c>
      <c r="D298" s="93" t="s">
        <v>1484</v>
      </c>
      <c r="F298" s="52"/>
    </row>
    <row r="299" spans="1:6" x14ac:dyDescent="0.35">
      <c r="A299" s="92">
        <v>298</v>
      </c>
      <c r="B299" s="100" t="s">
        <v>1010</v>
      </c>
      <c r="C299" s="92">
        <v>111</v>
      </c>
      <c r="D299" s="93" t="s">
        <v>1483</v>
      </c>
      <c r="F299" s="52"/>
    </row>
    <row r="300" spans="1:6" x14ac:dyDescent="0.35">
      <c r="A300" s="92">
        <v>299</v>
      </c>
      <c r="B300" s="100" t="s">
        <v>1180</v>
      </c>
      <c r="C300" s="92">
        <v>100</v>
      </c>
      <c r="D300" s="93" t="s">
        <v>78</v>
      </c>
      <c r="F300" s="52"/>
    </row>
    <row r="301" spans="1:6" x14ac:dyDescent="0.35">
      <c r="A301" s="92">
        <v>300</v>
      </c>
      <c r="B301" s="100" t="s">
        <v>1069</v>
      </c>
      <c r="C301" s="92">
        <v>90</v>
      </c>
      <c r="D301" s="93" t="s">
        <v>78</v>
      </c>
      <c r="F301" s="52"/>
    </row>
    <row r="302" spans="1:6" x14ac:dyDescent="0.35">
      <c r="A302" s="92">
        <v>301</v>
      </c>
      <c r="B302" s="100" t="s">
        <v>1097</v>
      </c>
      <c r="C302" s="92">
        <v>111</v>
      </c>
      <c r="D302" s="93" t="s">
        <v>1483</v>
      </c>
      <c r="F302" s="52"/>
    </row>
    <row r="303" spans="1:6" x14ac:dyDescent="0.35">
      <c r="A303" s="92">
        <v>302</v>
      </c>
      <c r="B303" s="100" t="s">
        <v>1160</v>
      </c>
      <c r="C303" s="92">
        <v>119</v>
      </c>
      <c r="D303" s="93" t="s">
        <v>1483</v>
      </c>
      <c r="F303" s="52"/>
    </row>
    <row r="304" spans="1:6" x14ac:dyDescent="0.35">
      <c r="A304" s="92">
        <v>303</v>
      </c>
      <c r="B304" s="100" t="s">
        <v>1057</v>
      </c>
      <c r="C304" s="92">
        <v>110</v>
      </c>
      <c r="D304" s="93" t="s">
        <v>1483</v>
      </c>
      <c r="F304" s="52"/>
    </row>
    <row r="305" spans="6:6" x14ac:dyDescent="0.35">
      <c r="F305" s="5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9286-1324-4B40-94F8-CA034C317321}">
  <sheetPr codeName="Sheet12"/>
  <dimension ref="A1:N545"/>
  <sheetViews>
    <sheetView topLeftCell="A257" workbookViewId="0">
      <selection activeCell="B264" sqref="B264"/>
    </sheetView>
  </sheetViews>
  <sheetFormatPr defaultColWidth="9.1796875" defaultRowHeight="14.5" x14ac:dyDescent="0.35"/>
  <cols>
    <col min="1" max="1" width="3.7265625" style="38" customWidth="1"/>
    <col min="2" max="2" width="31.26953125" style="38" customWidth="1"/>
    <col min="3" max="3" width="19.7265625" style="38" bestFit="1" customWidth="1"/>
    <col min="4" max="5" width="23.7265625" style="38" customWidth="1"/>
    <col min="6" max="6" width="17.54296875" style="38" bestFit="1" customWidth="1"/>
    <col min="7" max="10" width="9.1796875" style="38"/>
    <col min="11" max="11" width="12.1796875" style="38" bestFit="1" customWidth="1"/>
    <col min="12" max="16384" width="9.1796875" style="38"/>
  </cols>
  <sheetData>
    <row r="1" spans="1:14" x14ac:dyDescent="0.35">
      <c r="A1" s="111" t="s">
        <v>231</v>
      </c>
      <c r="B1" s="111" t="s">
        <v>0</v>
      </c>
      <c r="C1" s="111" t="s">
        <v>724</v>
      </c>
      <c r="D1" s="111" t="s">
        <v>725</v>
      </c>
      <c r="E1" s="111" t="s">
        <v>726</v>
      </c>
      <c r="F1" s="111" t="s">
        <v>189</v>
      </c>
      <c r="H1" s="112"/>
      <c r="J1" s="111"/>
      <c r="K1" s="111"/>
      <c r="L1" s="111"/>
      <c r="N1" s="111"/>
    </row>
    <row r="2" spans="1:14" x14ac:dyDescent="0.35">
      <c r="A2" s="22">
        <v>1</v>
      </c>
      <c r="B2" s="114" t="s">
        <v>1055</v>
      </c>
      <c r="C2" s="114" t="s">
        <v>1319</v>
      </c>
      <c r="D2" s="114" t="s">
        <v>1056</v>
      </c>
      <c r="E2" s="114" t="s">
        <v>882</v>
      </c>
      <c r="F2" s="115">
        <v>45238</v>
      </c>
    </row>
    <row r="3" spans="1:14" ht="25" x14ac:dyDescent="0.35">
      <c r="A3" s="22">
        <v>2</v>
      </c>
      <c r="B3" s="114" t="s">
        <v>322</v>
      </c>
      <c r="C3" s="114" t="s">
        <v>727</v>
      </c>
      <c r="D3" s="114" t="s">
        <v>479</v>
      </c>
      <c r="E3" s="114" t="s">
        <v>882</v>
      </c>
      <c r="F3" s="115">
        <v>45237</v>
      </c>
      <c r="G3" s="112"/>
    </row>
    <row r="4" spans="1:14" ht="25" x14ac:dyDescent="0.35">
      <c r="A4" s="22">
        <v>3</v>
      </c>
      <c r="B4" s="114" t="s">
        <v>1198</v>
      </c>
      <c r="C4" s="114" t="s">
        <v>1385</v>
      </c>
      <c r="D4" s="114" t="s">
        <v>1199</v>
      </c>
      <c r="E4" s="114" t="s">
        <v>881</v>
      </c>
      <c r="F4" s="115">
        <v>45238</v>
      </c>
    </row>
    <row r="5" spans="1:14" x14ac:dyDescent="0.35">
      <c r="A5" s="22">
        <v>4</v>
      </c>
      <c r="B5" s="114" t="s">
        <v>1241</v>
      </c>
      <c r="C5" s="114" t="s">
        <v>1404</v>
      </c>
      <c r="D5" s="114" t="s">
        <v>1242</v>
      </c>
      <c r="E5" s="114" t="s">
        <v>899</v>
      </c>
      <c r="F5" s="115">
        <v>45238</v>
      </c>
    </row>
    <row r="6" spans="1:14" x14ac:dyDescent="0.35">
      <c r="A6" s="22">
        <v>5</v>
      </c>
      <c r="B6" s="114" t="s">
        <v>1142</v>
      </c>
      <c r="C6" s="114" t="s">
        <v>1359</v>
      </c>
      <c r="D6" s="114" t="s">
        <v>1143</v>
      </c>
      <c r="E6" s="114" t="s">
        <v>912</v>
      </c>
      <c r="F6" s="115">
        <v>45238</v>
      </c>
    </row>
    <row r="7" spans="1:14" ht="25" x14ac:dyDescent="0.35">
      <c r="A7" s="22">
        <v>6</v>
      </c>
      <c r="B7" s="114" t="s">
        <v>701</v>
      </c>
      <c r="C7" s="114" t="s">
        <v>850</v>
      </c>
      <c r="D7" s="114" t="s">
        <v>400</v>
      </c>
      <c r="E7" s="114" t="s">
        <v>881</v>
      </c>
      <c r="F7" s="115">
        <v>45237</v>
      </c>
      <c r="G7" s="112"/>
    </row>
    <row r="8" spans="1:14" ht="25" x14ac:dyDescent="0.35">
      <c r="A8" s="22">
        <v>7</v>
      </c>
      <c r="B8" s="114" t="s">
        <v>718</v>
      </c>
      <c r="C8" s="114" t="s">
        <v>801</v>
      </c>
      <c r="D8" s="114" t="s">
        <v>424</v>
      </c>
      <c r="E8" s="114" t="s">
        <v>881</v>
      </c>
      <c r="F8" s="115">
        <v>45237</v>
      </c>
      <c r="G8" s="112"/>
    </row>
    <row r="9" spans="1:14" ht="25" x14ac:dyDescent="0.35">
      <c r="A9" s="22">
        <v>8</v>
      </c>
      <c r="B9" s="114" t="s">
        <v>345</v>
      </c>
      <c r="C9" s="114" t="s">
        <v>728</v>
      </c>
      <c r="D9" s="114" t="s">
        <v>494</v>
      </c>
      <c r="E9" s="114" t="s">
        <v>1488</v>
      </c>
      <c r="F9" s="115">
        <v>45237</v>
      </c>
      <c r="G9" s="112"/>
    </row>
    <row r="10" spans="1:14" ht="25" x14ac:dyDescent="0.35">
      <c r="A10" s="22">
        <v>9</v>
      </c>
      <c r="B10" s="114" t="s">
        <v>328</v>
      </c>
      <c r="C10" s="114" t="s">
        <v>809</v>
      </c>
      <c r="D10" s="114" t="s">
        <v>484</v>
      </c>
      <c r="E10" s="114" t="s">
        <v>882</v>
      </c>
      <c r="F10" s="115">
        <v>45237</v>
      </c>
      <c r="G10" s="112"/>
    </row>
    <row r="11" spans="1:14" ht="25" x14ac:dyDescent="0.35">
      <c r="A11" s="22">
        <v>10</v>
      </c>
      <c r="B11" s="114" t="s">
        <v>879</v>
      </c>
      <c r="C11" s="114" t="s">
        <v>729</v>
      </c>
      <c r="D11" s="114" t="s">
        <v>425</v>
      </c>
      <c r="E11" s="114" t="s">
        <v>883</v>
      </c>
      <c r="F11" s="115">
        <v>45237</v>
      </c>
      <c r="G11" s="112"/>
    </row>
    <row r="12" spans="1:14" x14ac:dyDescent="0.35">
      <c r="A12" s="22">
        <v>11</v>
      </c>
      <c r="B12" s="114" t="s">
        <v>1162</v>
      </c>
      <c r="C12" s="114" t="s">
        <v>1368</v>
      </c>
      <c r="D12" s="114" t="s">
        <v>1163</v>
      </c>
      <c r="E12" s="114" t="s">
        <v>1164</v>
      </c>
      <c r="F12" s="115">
        <v>45238</v>
      </c>
    </row>
    <row r="13" spans="1:14" ht="25" x14ac:dyDescent="0.35">
      <c r="A13" s="22">
        <v>12</v>
      </c>
      <c r="B13" s="114" t="s">
        <v>353</v>
      </c>
      <c r="C13" s="114" t="s">
        <v>841</v>
      </c>
      <c r="D13" s="114" t="s">
        <v>499</v>
      </c>
      <c r="E13" s="114" t="s">
        <v>884</v>
      </c>
      <c r="F13" s="115">
        <v>45237</v>
      </c>
      <c r="G13" s="112"/>
    </row>
    <row r="14" spans="1:14" ht="25" x14ac:dyDescent="0.35">
      <c r="A14" s="22">
        <v>13</v>
      </c>
      <c r="B14" s="114" t="s">
        <v>1225</v>
      </c>
      <c r="C14" s="114" t="s">
        <v>1397</v>
      </c>
      <c r="D14" s="114" t="s">
        <v>1226</v>
      </c>
      <c r="E14" s="114" t="s">
        <v>896</v>
      </c>
      <c r="F14" s="115">
        <v>45238</v>
      </c>
    </row>
    <row r="15" spans="1:14" x14ac:dyDescent="0.35">
      <c r="A15" s="22">
        <v>14</v>
      </c>
      <c r="B15" s="114" t="s">
        <v>1064</v>
      </c>
      <c r="C15" s="114" t="s">
        <v>1323</v>
      </c>
      <c r="D15" s="114" t="s">
        <v>1065</v>
      </c>
      <c r="E15" s="114" t="s">
        <v>889</v>
      </c>
      <c r="F15" s="115">
        <v>45238</v>
      </c>
    </row>
    <row r="16" spans="1:14" x14ac:dyDescent="0.35">
      <c r="A16" s="22">
        <v>15</v>
      </c>
      <c r="B16" s="114" t="s">
        <v>268</v>
      </c>
      <c r="C16" s="114" t="s">
        <v>821</v>
      </c>
      <c r="D16" s="114" t="s">
        <v>445</v>
      </c>
      <c r="E16" s="114" t="s">
        <v>881</v>
      </c>
      <c r="F16" s="115">
        <v>45237</v>
      </c>
      <c r="G16" s="112"/>
    </row>
    <row r="17" spans="1:7" ht="25" x14ac:dyDescent="0.35">
      <c r="A17" s="22">
        <v>16</v>
      </c>
      <c r="B17" s="114" t="s">
        <v>1099</v>
      </c>
      <c r="C17" s="114" t="s">
        <v>1340</v>
      </c>
      <c r="D17" s="114" t="s">
        <v>1100</v>
      </c>
      <c r="E17" s="114" t="s">
        <v>1101</v>
      </c>
      <c r="F17" s="115">
        <v>45238</v>
      </c>
    </row>
    <row r="18" spans="1:7" ht="25" x14ac:dyDescent="0.35">
      <c r="A18" s="22">
        <v>17</v>
      </c>
      <c r="B18" s="114" t="s">
        <v>699</v>
      </c>
      <c r="C18" s="114" t="s">
        <v>826</v>
      </c>
      <c r="D18" s="114" t="s">
        <v>477</v>
      </c>
      <c r="E18" s="114" t="s">
        <v>885</v>
      </c>
      <c r="F18" s="115">
        <v>45237</v>
      </c>
      <c r="G18" s="112"/>
    </row>
    <row r="19" spans="1:7" x14ac:dyDescent="0.35">
      <c r="A19" s="22">
        <v>18</v>
      </c>
      <c r="B19" s="114" t="s">
        <v>1037</v>
      </c>
      <c r="C19" s="114" t="s">
        <v>1311</v>
      </c>
      <c r="D19" s="114" t="s">
        <v>1038</v>
      </c>
      <c r="E19" s="114" t="s">
        <v>886</v>
      </c>
      <c r="F19" s="115">
        <v>45238</v>
      </c>
    </row>
    <row r="20" spans="1:7" ht="25" x14ac:dyDescent="0.35">
      <c r="A20" s="22">
        <v>19</v>
      </c>
      <c r="B20" s="114" t="s">
        <v>1079</v>
      </c>
      <c r="C20" s="114" t="s">
        <v>1330</v>
      </c>
      <c r="D20" s="114" t="s">
        <v>1080</v>
      </c>
      <c r="E20" s="114" t="s">
        <v>887</v>
      </c>
      <c r="F20" s="115">
        <v>45238</v>
      </c>
    </row>
    <row r="21" spans="1:7" ht="25" x14ac:dyDescent="0.35">
      <c r="A21" s="22">
        <v>20</v>
      </c>
      <c r="B21" s="114" t="s">
        <v>1035</v>
      </c>
      <c r="C21" s="114" t="s">
        <v>1310</v>
      </c>
      <c r="D21" s="114" t="s">
        <v>1036</v>
      </c>
      <c r="E21" s="114" t="s">
        <v>882</v>
      </c>
      <c r="F21" s="115">
        <v>45238</v>
      </c>
    </row>
    <row r="22" spans="1:7" ht="25" x14ac:dyDescent="0.35">
      <c r="A22" s="22">
        <v>21</v>
      </c>
      <c r="B22" s="114" t="s">
        <v>1144</v>
      </c>
      <c r="C22" s="114" t="s">
        <v>1360</v>
      </c>
      <c r="D22" s="114" t="s">
        <v>1145</v>
      </c>
      <c r="E22" s="114" t="s">
        <v>955</v>
      </c>
      <c r="F22" s="115">
        <v>45238</v>
      </c>
    </row>
    <row r="23" spans="1:7" ht="25" x14ac:dyDescent="0.35">
      <c r="A23" s="22">
        <v>22</v>
      </c>
      <c r="B23" s="114" t="s">
        <v>1102</v>
      </c>
      <c r="C23" s="114" t="s">
        <v>1341</v>
      </c>
      <c r="D23" s="114" t="s">
        <v>1103</v>
      </c>
      <c r="E23" s="114" t="s">
        <v>1104</v>
      </c>
      <c r="F23" s="115">
        <v>45238</v>
      </c>
    </row>
    <row r="24" spans="1:7" ht="25" x14ac:dyDescent="0.35">
      <c r="A24" s="22">
        <v>23</v>
      </c>
      <c r="B24" s="114" t="s">
        <v>669</v>
      </c>
      <c r="C24" s="114" t="s">
        <v>806</v>
      </c>
      <c r="D24" s="114" t="s">
        <v>437</v>
      </c>
      <c r="E24" s="114" t="s">
        <v>886</v>
      </c>
      <c r="F24" s="115">
        <v>45237</v>
      </c>
      <c r="G24" s="112"/>
    </row>
    <row r="25" spans="1:7" ht="25" x14ac:dyDescent="0.35">
      <c r="A25" s="22">
        <v>24</v>
      </c>
      <c r="B25" s="114" t="s">
        <v>1071</v>
      </c>
      <c r="C25" s="114" t="s">
        <v>1326</v>
      </c>
      <c r="D25" s="114" t="s">
        <v>1072</v>
      </c>
      <c r="E25" s="114" t="s">
        <v>910</v>
      </c>
      <c r="F25" s="115">
        <v>45238</v>
      </c>
    </row>
    <row r="26" spans="1:7" ht="25" x14ac:dyDescent="0.35">
      <c r="A26" s="22">
        <v>25</v>
      </c>
      <c r="B26" s="114" t="s">
        <v>708</v>
      </c>
      <c r="C26" s="114" t="s">
        <v>730</v>
      </c>
      <c r="D26" s="114" t="s">
        <v>490</v>
      </c>
      <c r="E26" s="114" t="s">
        <v>887</v>
      </c>
      <c r="F26" s="115">
        <v>45237</v>
      </c>
      <c r="G26" s="112"/>
    </row>
    <row r="27" spans="1:7" x14ac:dyDescent="0.35">
      <c r="A27" s="22">
        <v>26</v>
      </c>
      <c r="B27" s="114" t="s">
        <v>664</v>
      </c>
      <c r="C27" s="114" t="s">
        <v>731</v>
      </c>
      <c r="D27" s="114" t="s">
        <v>426</v>
      </c>
      <c r="E27" s="114" t="s">
        <v>888</v>
      </c>
      <c r="F27" s="115">
        <v>45237</v>
      </c>
      <c r="G27" s="112"/>
    </row>
    <row r="28" spans="1:7" ht="25" x14ac:dyDescent="0.35">
      <c r="A28" s="22">
        <v>27</v>
      </c>
      <c r="B28" s="114" t="s">
        <v>698</v>
      </c>
      <c r="C28" s="114" t="s">
        <v>810</v>
      </c>
      <c r="D28" s="114" t="s">
        <v>420</v>
      </c>
      <c r="E28" s="114" t="s">
        <v>889</v>
      </c>
      <c r="F28" s="115">
        <v>45237</v>
      </c>
      <c r="G28" s="112"/>
    </row>
    <row r="29" spans="1:7" ht="25" x14ac:dyDescent="0.35">
      <c r="A29" s="22">
        <v>28</v>
      </c>
      <c r="B29" s="114" t="s">
        <v>655</v>
      </c>
      <c r="C29" s="114" t="s">
        <v>859</v>
      </c>
      <c r="D29" s="114" t="s">
        <v>1511</v>
      </c>
      <c r="E29" s="114" t="s">
        <v>887</v>
      </c>
      <c r="F29" s="115">
        <v>45237</v>
      </c>
      <c r="G29" s="112"/>
    </row>
    <row r="30" spans="1:7" x14ac:dyDescent="0.35">
      <c r="A30" s="22">
        <v>29</v>
      </c>
      <c r="B30" s="114" t="s">
        <v>980</v>
      </c>
      <c r="C30" s="114" t="s">
        <v>1283</v>
      </c>
      <c r="D30" s="114" t="s">
        <v>981</v>
      </c>
      <c r="E30" s="114" t="s">
        <v>889</v>
      </c>
      <c r="F30" s="115">
        <v>45238</v>
      </c>
    </row>
    <row r="31" spans="1:7" x14ac:dyDescent="0.35">
      <c r="A31" s="22">
        <v>30</v>
      </c>
      <c r="B31" s="114" t="s">
        <v>685</v>
      </c>
      <c r="C31" s="114" t="s">
        <v>732</v>
      </c>
      <c r="D31" s="114" t="s">
        <v>476</v>
      </c>
      <c r="E31" s="114" t="s">
        <v>890</v>
      </c>
      <c r="F31" s="115">
        <v>45237</v>
      </c>
      <c r="G31" s="112"/>
    </row>
    <row r="32" spans="1:7" x14ac:dyDescent="0.35">
      <c r="A32" s="22">
        <v>31</v>
      </c>
      <c r="B32" s="114" t="s">
        <v>275</v>
      </c>
      <c r="C32" s="114" t="s">
        <v>811</v>
      </c>
      <c r="D32" s="114" t="s">
        <v>399</v>
      </c>
      <c r="E32" s="114" t="s">
        <v>891</v>
      </c>
      <c r="F32" s="115">
        <v>45237</v>
      </c>
      <c r="G32" s="112"/>
    </row>
    <row r="33" spans="1:7" x14ac:dyDescent="0.35">
      <c r="A33" s="22">
        <v>32</v>
      </c>
      <c r="B33" s="114" t="s">
        <v>1105</v>
      </c>
      <c r="C33" s="114" t="s">
        <v>1342</v>
      </c>
      <c r="D33" s="114" t="s">
        <v>1106</v>
      </c>
      <c r="E33" s="114" t="s">
        <v>890</v>
      </c>
      <c r="F33" s="115">
        <v>45238</v>
      </c>
    </row>
    <row r="34" spans="1:7" x14ac:dyDescent="0.35">
      <c r="A34" s="22">
        <v>33</v>
      </c>
      <c r="B34" s="114" t="s">
        <v>323</v>
      </c>
      <c r="C34" s="114" t="s">
        <v>733</v>
      </c>
      <c r="D34" s="114" t="s">
        <v>480</v>
      </c>
      <c r="E34" s="114" t="s">
        <v>1489</v>
      </c>
      <c r="F34" s="115">
        <v>45237</v>
      </c>
      <c r="G34" s="112"/>
    </row>
    <row r="35" spans="1:7" ht="25" x14ac:dyDescent="0.35">
      <c r="A35" s="22">
        <v>34</v>
      </c>
      <c r="B35" s="114" t="s">
        <v>359</v>
      </c>
      <c r="C35" s="114" t="s">
        <v>734</v>
      </c>
      <c r="D35" s="114" t="s">
        <v>422</v>
      </c>
      <c r="E35" s="114" t="s">
        <v>892</v>
      </c>
      <c r="F35" s="115">
        <v>45237</v>
      </c>
      <c r="G35" s="112"/>
    </row>
    <row r="36" spans="1:7" ht="25" x14ac:dyDescent="0.35">
      <c r="A36" s="22">
        <v>35</v>
      </c>
      <c r="B36" s="114" t="s">
        <v>693</v>
      </c>
      <c r="C36" s="114" t="s">
        <v>804</v>
      </c>
      <c r="D36" s="114" t="s">
        <v>471</v>
      </c>
      <c r="E36" s="114" t="s">
        <v>883</v>
      </c>
      <c r="F36" s="115">
        <v>45237</v>
      </c>
      <c r="G36" s="112"/>
    </row>
    <row r="37" spans="1:7" ht="25" x14ac:dyDescent="0.35">
      <c r="A37" s="22">
        <v>36</v>
      </c>
      <c r="B37" s="114" t="s">
        <v>378</v>
      </c>
      <c r="C37" s="114" t="s">
        <v>735</v>
      </c>
      <c r="D37" s="114" t="s">
        <v>515</v>
      </c>
      <c r="E37" s="114" t="s">
        <v>892</v>
      </c>
      <c r="F37" s="115">
        <v>45237</v>
      </c>
      <c r="G37" s="112"/>
    </row>
    <row r="38" spans="1:7" ht="25" x14ac:dyDescent="0.35">
      <c r="A38" s="22">
        <v>37</v>
      </c>
      <c r="B38" s="114" t="s">
        <v>1165</v>
      </c>
      <c r="C38" s="114" t="s">
        <v>1369</v>
      </c>
      <c r="D38" s="114" t="s">
        <v>1166</v>
      </c>
      <c r="E38" s="114" t="s">
        <v>896</v>
      </c>
      <c r="F38" s="115">
        <v>45238</v>
      </c>
    </row>
    <row r="39" spans="1:7" ht="25" x14ac:dyDescent="0.35">
      <c r="A39" s="22">
        <v>38</v>
      </c>
      <c r="B39" s="114" t="s">
        <v>1011</v>
      </c>
      <c r="C39" s="114" t="s">
        <v>1299</v>
      </c>
      <c r="D39" s="114" t="s">
        <v>1012</v>
      </c>
      <c r="E39" s="114" t="s">
        <v>894</v>
      </c>
      <c r="F39" s="115">
        <v>45238</v>
      </c>
    </row>
    <row r="40" spans="1:7" ht="25" x14ac:dyDescent="0.35">
      <c r="A40" s="22">
        <v>39</v>
      </c>
      <c r="B40" s="114" t="s">
        <v>270</v>
      </c>
      <c r="C40" s="114" t="s">
        <v>860</v>
      </c>
      <c r="D40" s="114" t="s">
        <v>397</v>
      </c>
      <c r="E40" s="114" t="s">
        <v>892</v>
      </c>
      <c r="F40" s="115">
        <v>45237</v>
      </c>
      <c r="G40" s="112"/>
    </row>
    <row r="41" spans="1:7" ht="25" x14ac:dyDescent="0.35">
      <c r="A41" s="22">
        <v>40</v>
      </c>
      <c r="B41" s="114" t="s">
        <v>1227</v>
      </c>
      <c r="C41" s="114" t="s">
        <v>1398</v>
      </c>
      <c r="D41" s="114" t="s">
        <v>1228</v>
      </c>
      <c r="E41" s="114" t="s">
        <v>1229</v>
      </c>
      <c r="F41" s="115">
        <v>45238</v>
      </c>
    </row>
    <row r="42" spans="1:7" x14ac:dyDescent="0.35">
      <c r="A42" s="22">
        <v>41</v>
      </c>
      <c r="B42" s="114" t="s">
        <v>665</v>
      </c>
      <c r="C42" s="114" t="s">
        <v>736</v>
      </c>
      <c r="D42" s="114" t="s">
        <v>1520</v>
      </c>
      <c r="E42" s="114" t="s">
        <v>893</v>
      </c>
      <c r="F42" s="115">
        <v>45237</v>
      </c>
      <c r="G42" s="112"/>
    </row>
    <row r="43" spans="1:7" ht="25" x14ac:dyDescent="0.35">
      <c r="A43" s="22">
        <v>42</v>
      </c>
      <c r="B43" s="114" t="s">
        <v>1173</v>
      </c>
      <c r="C43" s="114" t="s">
        <v>1373</v>
      </c>
      <c r="D43" s="114" t="s">
        <v>1174</v>
      </c>
      <c r="E43" s="114" t="s">
        <v>901</v>
      </c>
      <c r="F43" s="115">
        <v>45238</v>
      </c>
    </row>
    <row r="44" spans="1:7" x14ac:dyDescent="0.35">
      <c r="A44" s="22">
        <v>43</v>
      </c>
      <c r="B44" s="114" t="s">
        <v>956</v>
      </c>
      <c r="C44" s="114" t="s">
        <v>1272</v>
      </c>
      <c r="D44" s="114" t="s">
        <v>957</v>
      </c>
      <c r="E44" s="114" t="s">
        <v>896</v>
      </c>
      <c r="F44" s="115">
        <v>45238</v>
      </c>
    </row>
    <row r="45" spans="1:7" ht="25" x14ac:dyDescent="0.35">
      <c r="A45" s="22">
        <v>44</v>
      </c>
      <c r="B45" s="114" t="s">
        <v>1247</v>
      </c>
      <c r="C45" s="114" t="s">
        <v>1407</v>
      </c>
      <c r="D45" s="114" t="s">
        <v>1248</v>
      </c>
      <c r="E45" s="114" t="s">
        <v>899</v>
      </c>
      <c r="F45" s="115">
        <v>45238</v>
      </c>
    </row>
    <row r="46" spans="1:7" ht="25" x14ac:dyDescent="0.35">
      <c r="A46" s="22">
        <v>45</v>
      </c>
      <c r="B46" s="114" t="s">
        <v>349</v>
      </c>
      <c r="C46" s="114" t="s">
        <v>737</v>
      </c>
      <c r="D46" s="114" t="s">
        <v>418</v>
      </c>
      <c r="E46" s="114" t="s">
        <v>882</v>
      </c>
      <c r="F46" s="115">
        <v>45237</v>
      </c>
      <c r="G46" s="112"/>
    </row>
    <row r="47" spans="1:7" x14ac:dyDescent="0.35">
      <c r="A47" s="22">
        <v>46</v>
      </c>
      <c r="B47" s="114" t="s">
        <v>1081</v>
      </c>
      <c r="C47" s="114" t="s">
        <v>1331</v>
      </c>
      <c r="D47" s="114" t="s">
        <v>1082</v>
      </c>
      <c r="E47" s="114" t="s">
        <v>899</v>
      </c>
      <c r="F47" s="115">
        <v>45238</v>
      </c>
    </row>
    <row r="48" spans="1:7" x14ac:dyDescent="0.35">
      <c r="A48" s="22">
        <v>47</v>
      </c>
      <c r="B48" s="114" t="s">
        <v>958</v>
      </c>
      <c r="C48" s="114" t="s">
        <v>1273</v>
      </c>
      <c r="D48" s="114" t="s">
        <v>959</v>
      </c>
      <c r="E48" s="114" t="s">
        <v>882</v>
      </c>
      <c r="F48" s="115">
        <v>45238</v>
      </c>
    </row>
    <row r="49" spans="1:7" x14ac:dyDescent="0.35">
      <c r="A49" s="22">
        <v>48</v>
      </c>
      <c r="B49" s="114" t="s">
        <v>705</v>
      </c>
      <c r="C49" s="114" t="s">
        <v>861</v>
      </c>
      <c r="D49" s="114" t="s">
        <v>486</v>
      </c>
      <c r="E49" s="114" t="s">
        <v>881</v>
      </c>
      <c r="F49" s="115">
        <v>45237</v>
      </c>
      <c r="G49" s="112"/>
    </row>
    <row r="50" spans="1:7" ht="25" x14ac:dyDescent="0.35">
      <c r="A50" s="22">
        <v>49</v>
      </c>
      <c r="B50" s="114" t="s">
        <v>1083</v>
      </c>
      <c r="C50" s="114" t="s">
        <v>1332</v>
      </c>
      <c r="D50" s="114" t="s">
        <v>1084</v>
      </c>
      <c r="E50" s="114" t="s">
        <v>908</v>
      </c>
      <c r="F50" s="115">
        <v>45238</v>
      </c>
    </row>
    <row r="51" spans="1:7" ht="25" x14ac:dyDescent="0.35">
      <c r="A51" s="22">
        <v>50</v>
      </c>
      <c r="B51" s="114" t="s">
        <v>311</v>
      </c>
      <c r="C51" s="114" t="s">
        <v>738</v>
      </c>
      <c r="D51" s="114" t="s">
        <v>472</v>
      </c>
      <c r="E51" s="114" t="s">
        <v>894</v>
      </c>
      <c r="F51" s="115">
        <v>45237</v>
      </c>
      <c r="G51" s="112"/>
    </row>
    <row r="52" spans="1:7" ht="25" x14ac:dyDescent="0.35">
      <c r="A52" s="22">
        <v>51</v>
      </c>
      <c r="B52" s="114" t="s">
        <v>1024</v>
      </c>
      <c r="C52" s="114" t="s">
        <v>1305</v>
      </c>
      <c r="D52" s="114" t="s">
        <v>1025</v>
      </c>
      <c r="E52" s="114" t="s">
        <v>889</v>
      </c>
      <c r="F52" s="115">
        <v>45238</v>
      </c>
    </row>
    <row r="53" spans="1:7" x14ac:dyDescent="0.35">
      <c r="A53" s="22">
        <v>52</v>
      </c>
      <c r="B53" s="114" t="s">
        <v>314</v>
      </c>
      <c r="C53" s="114" t="s">
        <v>739</v>
      </c>
      <c r="D53" s="114" t="s">
        <v>475</v>
      </c>
      <c r="E53" s="114" t="s">
        <v>895</v>
      </c>
      <c r="F53" s="115">
        <v>45237</v>
      </c>
      <c r="G53" s="112"/>
    </row>
    <row r="54" spans="1:7" ht="25" x14ac:dyDescent="0.35">
      <c r="A54" s="22">
        <v>53</v>
      </c>
      <c r="B54" s="114" t="s">
        <v>1046</v>
      </c>
      <c r="C54" s="114" t="s">
        <v>1315</v>
      </c>
      <c r="D54" s="114" t="s">
        <v>1047</v>
      </c>
      <c r="E54" s="114" t="s">
        <v>889</v>
      </c>
      <c r="F54" s="115">
        <v>45238</v>
      </c>
    </row>
    <row r="55" spans="1:7" ht="25" x14ac:dyDescent="0.35">
      <c r="A55" s="22">
        <v>54</v>
      </c>
      <c r="B55" s="114" t="s">
        <v>943</v>
      </c>
      <c r="C55" s="114" t="s">
        <v>1267</v>
      </c>
      <c r="D55" s="114" t="s">
        <v>944</v>
      </c>
      <c r="E55" s="114" t="s">
        <v>945</v>
      </c>
      <c r="F55" s="115">
        <v>45238</v>
      </c>
    </row>
    <row r="56" spans="1:7" x14ac:dyDescent="0.35">
      <c r="A56" s="22">
        <v>55</v>
      </c>
      <c r="B56" s="114" t="s">
        <v>943</v>
      </c>
      <c r="C56" s="114" t="s">
        <v>1268</v>
      </c>
      <c r="D56" s="114" t="s">
        <v>946</v>
      </c>
      <c r="E56" s="114" t="s">
        <v>882</v>
      </c>
      <c r="F56" s="115">
        <v>45238</v>
      </c>
    </row>
    <row r="57" spans="1:7" x14ac:dyDescent="0.35">
      <c r="A57" s="22">
        <v>56</v>
      </c>
      <c r="B57" s="114" t="s">
        <v>673</v>
      </c>
      <c r="C57" s="114" t="s">
        <v>740</v>
      </c>
      <c r="D57" s="114" t="s">
        <v>434</v>
      </c>
      <c r="E57" s="114" t="s">
        <v>896</v>
      </c>
      <c r="F57" s="115">
        <v>45237</v>
      </c>
      <c r="G57" s="112"/>
    </row>
    <row r="58" spans="1:7" ht="25" x14ac:dyDescent="0.35">
      <c r="A58" s="22">
        <v>57</v>
      </c>
      <c r="B58" s="114" t="s">
        <v>1075</v>
      </c>
      <c r="C58" s="114" t="s">
        <v>1328</v>
      </c>
      <c r="D58" s="114" t="s">
        <v>1076</v>
      </c>
      <c r="E58" s="114" t="s">
        <v>908</v>
      </c>
      <c r="F58" s="115">
        <v>45238</v>
      </c>
    </row>
    <row r="59" spans="1:7" x14ac:dyDescent="0.35">
      <c r="A59" s="22">
        <v>58</v>
      </c>
      <c r="B59" s="114" t="s">
        <v>289</v>
      </c>
      <c r="C59" s="114" t="s">
        <v>741</v>
      </c>
      <c r="D59" s="114" t="s">
        <v>458</v>
      </c>
      <c r="E59" s="114" t="s">
        <v>1490</v>
      </c>
      <c r="F59" s="115">
        <v>45237</v>
      </c>
      <c r="G59" s="112"/>
    </row>
    <row r="60" spans="1:7" ht="25" x14ac:dyDescent="0.35">
      <c r="A60" s="22">
        <v>59</v>
      </c>
      <c r="B60" s="114" t="s">
        <v>1230</v>
      </c>
      <c r="C60" s="114" t="s">
        <v>1399</v>
      </c>
      <c r="D60" s="114" t="s">
        <v>1231</v>
      </c>
      <c r="E60" s="114" t="s">
        <v>908</v>
      </c>
      <c r="F60" s="115">
        <v>45238</v>
      </c>
    </row>
    <row r="61" spans="1:7" ht="25" x14ac:dyDescent="0.35">
      <c r="A61" s="22">
        <v>60</v>
      </c>
      <c r="B61" s="114" t="s">
        <v>1232</v>
      </c>
      <c r="C61" s="114" t="s">
        <v>1400</v>
      </c>
      <c r="D61" s="114" t="s">
        <v>1233</v>
      </c>
      <c r="E61" s="114" t="s">
        <v>886</v>
      </c>
      <c r="F61" s="115">
        <v>45238</v>
      </c>
    </row>
    <row r="62" spans="1:7" x14ac:dyDescent="0.35">
      <c r="A62" s="22">
        <v>61</v>
      </c>
      <c r="B62" s="114" t="s">
        <v>667</v>
      </c>
      <c r="C62" s="114" t="s">
        <v>742</v>
      </c>
      <c r="D62" s="114" t="s">
        <v>442</v>
      </c>
      <c r="E62" s="114" t="s">
        <v>1009</v>
      </c>
      <c r="F62" s="115">
        <v>45237</v>
      </c>
      <c r="G62" s="112"/>
    </row>
    <row r="63" spans="1:7" ht="25" x14ac:dyDescent="0.35">
      <c r="A63" s="22">
        <v>62</v>
      </c>
      <c r="B63" s="114" t="s">
        <v>689</v>
      </c>
      <c r="C63" s="114" t="s">
        <v>807</v>
      </c>
      <c r="D63" s="114" t="s">
        <v>473</v>
      </c>
      <c r="E63" s="114" t="s">
        <v>1501</v>
      </c>
      <c r="F63" s="115">
        <v>45237</v>
      </c>
      <c r="G63" s="112"/>
    </row>
    <row r="64" spans="1:7" ht="25" x14ac:dyDescent="0.35">
      <c r="A64" s="22">
        <v>63</v>
      </c>
      <c r="B64" s="114" t="s">
        <v>1204</v>
      </c>
      <c r="C64" s="114" t="s">
        <v>1388</v>
      </c>
      <c r="D64" s="114" t="s">
        <v>1205</v>
      </c>
      <c r="E64" s="114" t="s">
        <v>1206</v>
      </c>
      <c r="F64" s="115">
        <v>45238</v>
      </c>
    </row>
    <row r="65" spans="1:7" ht="25" x14ac:dyDescent="0.35">
      <c r="A65" s="22">
        <v>64</v>
      </c>
      <c r="B65" s="114" t="s">
        <v>1048</v>
      </c>
      <c r="C65" s="114" t="s">
        <v>1316</v>
      </c>
      <c r="D65" s="114" t="s">
        <v>1049</v>
      </c>
      <c r="E65" s="114" t="s">
        <v>886</v>
      </c>
      <c r="F65" s="115">
        <v>45238</v>
      </c>
    </row>
    <row r="66" spans="1:7" ht="25" x14ac:dyDescent="0.35">
      <c r="A66" s="22">
        <v>65</v>
      </c>
      <c r="B66" s="114" t="s">
        <v>250</v>
      </c>
      <c r="C66" s="114" t="s">
        <v>743</v>
      </c>
      <c r="D66" s="114" t="s">
        <v>435</v>
      </c>
      <c r="E66" s="114" t="s">
        <v>897</v>
      </c>
      <c r="F66" s="115">
        <v>45237</v>
      </c>
      <c r="G66" s="112"/>
    </row>
    <row r="67" spans="1:7" ht="25" x14ac:dyDescent="0.35">
      <c r="A67" s="22">
        <v>66</v>
      </c>
      <c r="B67" s="114" t="s">
        <v>1107</v>
      </c>
      <c r="C67" s="114" t="s">
        <v>1343</v>
      </c>
      <c r="D67" s="114" t="s">
        <v>1108</v>
      </c>
      <c r="E67" s="114" t="s">
        <v>901</v>
      </c>
      <c r="F67" s="115">
        <v>45238</v>
      </c>
    </row>
    <row r="68" spans="1:7" x14ac:dyDescent="0.35">
      <c r="A68" s="22">
        <v>67</v>
      </c>
      <c r="B68" s="114" t="s">
        <v>1050</v>
      </c>
      <c r="C68" s="114" t="s">
        <v>1317</v>
      </c>
      <c r="D68" s="114" t="s">
        <v>1051</v>
      </c>
      <c r="E68" s="114" t="s">
        <v>1518</v>
      </c>
      <c r="F68" s="115">
        <v>45238</v>
      </c>
    </row>
    <row r="69" spans="1:7" x14ac:dyDescent="0.35">
      <c r="A69" s="22">
        <v>68</v>
      </c>
      <c r="B69" s="114" t="s">
        <v>1109</v>
      </c>
      <c r="C69" s="114" t="s">
        <v>1344</v>
      </c>
      <c r="D69" s="114" t="s">
        <v>1110</v>
      </c>
      <c r="E69" s="114" t="s">
        <v>886</v>
      </c>
      <c r="F69" s="115">
        <v>45238</v>
      </c>
    </row>
    <row r="70" spans="1:7" ht="25" x14ac:dyDescent="0.35">
      <c r="A70" s="22">
        <v>69</v>
      </c>
      <c r="B70" s="114" t="s">
        <v>1219</v>
      </c>
      <c r="C70" s="114" t="s">
        <v>1394</v>
      </c>
      <c r="D70" s="114" t="s">
        <v>1220</v>
      </c>
      <c r="E70" s="114" t="s">
        <v>882</v>
      </c>
      <c r="F70" s="115">
        <v>45238</v>
      </c>
    </row>
    <row r="71" spans="1:7" ht="25" x14ac:dyDescent="0.35">
      <c r="A71" s="22">
        <v>70</v>
      </c>
      <c r="B71" s="114" t="s">
        <v>1209</v>
      </c>
      <c r="C71" s="114" t="s">
        <v>1390</v>
      </c>
      <c r="D71" s="114" t="s">
        <v>1210</v>
      </c>
      <c r="E71" s="114" t="s">
        <v>889</v>
      </c>
      <c r="F71" s="115">
        <v>45238</v>
      </c>
    </row>
    <row r="72" spans="1:7" ht="25" x14ac:dyDescent="0.35">
      <c r="A72" s="22">
        <v>71</v>
      </c>
      <c r="B72" s="114" t="s">
        <v>1221</v>
      </c>
      <c r="C72" s="114" t="s">
        <v>1395</v>
      </c>
      <c r="D72" s="114" t="s">
        <v>1222</v>
      </c>
      <c r="E72" s="114" t="s">
        <v>901</v>
      </c>
      <c r="F72" s="115">
        <v>45238</v>
      </c>
    </row>
    <row r="73" spans="1:7" ht="25" x14ac:dyDescent="0.35">
      <c r="A73" s="22">
        <v>72</v>
      </c>
      <c r="B73" s="114" t="s">
        <v>1026</v>
      </c>
      <c r="C73" s="114" t="s">
        <v>1306</v>
      </c>
      <c r="D73" s="114" t="s">
        <v>1027</v>
      </c>
      <c r="E73" s="114" t="s">
        <v>1028</v>
      </c>
      <c r="F73" s="115">
        <v>45238</v>
      </c>
    </row>
    <row r="74" spans="1:7" ht="25" x14ac:dyDescent="0.35">
      <c r="A74" s="22">
        <v>73</v>
      </c>
      <c r="B74" s="114" t="s">
        <v>711</v>
      </c>
      <c r="C74" s="114" t="s">
        <v>871</v>
      </c>
      <c r="D74" s="114" t="s">
        <v>518</v>
      </c>
      <c r="E74" s="114" t="s">
        <v>895</v>
      </c>
      <c r="F74" s="115">
        <v>45237</v>
      </c>
      <c r="G74" s="112"/>
    </row>
    <row r="75" spans="1:7" ht="25" x14ac:dyDescent="0.35">
      <c r="A75" s="22">
        <v>74</v>
      </c>
      <c r="B75" s="114" t="s">
        <v>295</v>
      </c>
      <c r="C75" s="114" t="s">
        <v>744</v>
      </c>
      <c r="D75" s="114" t="s">
        <v>463</v>
      </c>
      <c r="E75" s="114" t="s">
        <v>882</v>
      </c>
      <c r="F75" s="115">
        <v>45237</v>
      </c>
      <c r="G75" s="112"/>
    </row>
    <row r="76" spans="1:7" ht="25" x14ac:dyDescent="0.35">
      <c r="A76" s="22">
        <v>75</v>
      </c>
      <c r="B76" s="114" t="s">
        <v>1111</v>
      </c>
      <c r="C76" s="114" t="s">
        <v>1345</v>
      </c>
      <c r="D76" s="114" t="s">
        <v>1112</v>
      </c>
      <c r="E76" s="114" t="s">
        <v>1113</v>
      </c>
      <c r="F76" s="115">
        <v>45238</v>
      </c>
    </row>
    <row r="77" spans="1:7" ht="25" x14ac:dyDescent="0.35">
      <c r="A77" s="22">
        <v>76</v>
      </c>
      <c r="B77" s="114" t="s">
        <v>352</v>
      </c>
      <c r="C77" s="114" t="s">
        <v>745</v>
      </c>
      <c r="D77" s="114" t="s">
        <v>498</v>
      </c>
      <c r="E77" s="114" t="s">
        <v>898</v>
      </c>
      <c r="F77" s="115">
        <v>45237</v>
      </c>
      <c r="G77" s="112"/>
    </row>
    <row r="78" spans="1:7" ht="25" x14ac:dyDescent="0.35">
      <c r="A78" s="22">
        <v>77</v>
      </c>
      <c r="B78" s="114" t="s">
        <v>1029</v>
      </c>
      <c r="C78" s="114" t="s">
        <v>1307</v>
      </c>
      <c r="D78" s="114" t="s">
        <v>1030</v>
      </c>
      <c r="E78" s="114" t="s">
        <v>889</v>
      </c>
      <c r="F78" s="115">
        <v>45238</v>
      </c>
    </row>
    <row r="79" spans="1:7" ht="25" x14ac:dyDescent="0.35">
      <c r="A79" s="22">
        <v>78</v>
      </c>
      <c r="B79" s="114" t="s">
        <v>360</v>
      </c>
      <c r="C79" s="114" t="s">
        <v>865</v>
      </c>
      <c r="D79" s="114" t="s">
        <v>502</v>
      </c>
      <c r="E79" s="114" t="s">
        <v>1512</v>
      </c>
      <c r="F79" s="115">
        <v>45237</v>
      </c>
      <c r="G79" s="112"/>
    </row>
    <row r="80" spans="1:7" x14ac:dyDescent="0.35">
      <c r="A80" s="22">
        <v>79</v>
      </c>
      <c r="B80" s="114" t="s">
        <v>1114</v>
      </c>
      <c r="C80" s="114" t="s">
        <v>1346</v>
      </c>
      <c r="D80" s="114" t="s">
        <v>1115</v>
      </c>
      <c r="E80" s="114" t="s">
        <v>1497</v>
      </c>
      <c r="F80" s="115">
        <v>45238</v>
      </c>
    </row>
    <row r="81" spans="1:7" ht="25" x14ac:dyDescent="0.35">
      <c r="A81" s="22">
        <v>80</v>
      </c>
      <c r="B81" s="114" t="s">
        <v>692</v>
      </c>
      <c r="C81" s="114" t="s">
        <v>746</v>
      </c>
      <c r="D81" s="114" t="s">
        <v>495</v>
      </c>
      <c r="E81" s="114" t="s">
        <v>894</v>
      </c>
      <c r="F81" s="115">
        <v>45237</v>
      </c>
      <c r="G81" s="112"/>
    </row>
    <row r="82" spans="1:7" ht="25" x14ac:dyDescent="0.35">
      <c r="A82" s="22">
        <v>81</v>
      </c>
      <c r="B82" s="114" t="s">
        <v>291</v>
      </c>
      <c r="C82" s="114" t="s">
        <v>747</v>
      </c>
      <c r="D82" s="114" t="s">
        <v>459</v>
      </c>
      <c r="E82" s="114" t="s">
        <v>899</v>
      </c>
      <c r="F82" s="115">
        <v>45237</v>
      </c>
      <c r="G82" s="112"/>
    </row>
    <row r="83" spans="1:7" ht="25" x14ac:dyDescent="0.35">
      <c r="A83" s="22">
        <v>82</v>
      </c>
      <c r="B83" s="114" t="s">
        <v>371</v>
      </c>
      <c r="C83" s="114" t="s">
        <v>748</v>
      </c>
      <c r="D83" s="114" t="s">
        <v>510</v>
      </c>
      <c r="E83" s="114" t="s">
        <v>881</v>
      </c>
      <c r="F83" s="115">
        <v>45237</v>
      </c>
      <c r="G83" s="112"/>
    </row>
    <row r="84" spans="1:7" ht="25" x14ac:dyDescent="0.35">
      <c r="A84" s="22">
        <v>83</v>
      </c>
      <c r="B84" s="114" t="s">
        <v>280</v>
      </c>
      <c r="C84" s="114" t="s">
        <v>749</v>
      </c>
      <c r="D84" s="114" t="s">
        <v>1521</v>
      </c>
      <c r="E84" s="114" t="s">
        <v>894</v>
      </c>
      <c r="F84" s="115">
        <v>45237</v>
      </c>
      <c r="G84" s="112"/>
    </row>
    <row r="85" spans="1:7" ht="25" x14ac:dyDescent="0.35">
      <c r="A85" s="22">
        <v>84</v>
      </c>
      <c r="B85" s="114" t="s">
        <v>668</v>
      </c>
      <c r="C85" s="114" t="s">
        <v>750</v>
      </c>
      <c r="D85" s="114" t="s">
        <v>483</v>
      </c>
      <c r="E85" s="114" t="s">
        <v>1491</v>
      </c>
      <c r="F85" s="115">
        <v>45237</v>
      </c>
      <c r="G85" s="112"/>
    </row>
    <row r="86" spans="1:7" ht="25" x14ac:dyDescent="0.35">
      <c r="A86" s="22">
        <v>85</v>
      </c>
      <c r="B86" s="114" t="s">
        <v>1116</v>
      </c>
      <c r="C86" s="114" t="s">
        <v>1347</v>
      </c>
      <c r="D86" s="114" t="s">
        <v>1117</v>
      </c>
      <c r="E86" s="114" t="s">
        <v>1118</v>
      </c>
      <c r="F86" s="115">
        <v>45238</v>
      </c>
    </row>
    <row r="87" spans="1:7" x14ac:dyDescent="0.35">
      <c r="A87" s="22">
        <v>86</v>
      </c>
      <c r="B87" s="114" t="s">
        <v>687</v>
      </c>
      <c r="C87" s="114" t="s">
        <v>751</v>
      </c>
      <c r="D87" s="114" t="s">
        <v>496</v>
      </c>
      <c r="E87" s="114" t="s">
        <v>886</v>
      </c>
      <c r="F87" s="115">
        <v>45237</v>
      </c>
      <c r="G87" s="112"/>
    </row>
    <row r="88" spans="1:7" ht="25" x14ac:dyDescent="0.35">
      <c r="A88" s="22">
        <v>87</v>
      </c>
      <c r="B88" s="114" t="s">
        <v>722</v>
      </c>
      <c r="C88" s="114" t="s">
        <v>752</v>
      </c>
      <c r="D88" s="114" t="s">
        <v>409</v>
      </c>
      <c r="E88" s="114" t="s">
        <v>882</v>
      </c>
      <c r="F88" s="115">
        <v>45237</v>
      </c>
      <c r="G88" s="112"/>
    </row>
    <row r="89" spans="1:7" ht="25" x14ac:dyDescent="0.35">
      <c r="A89" s="22">
        <v>88</v>
      </c>
      <c r="B89" s="114" t="s">
        <v>302</v>
      </c>
      <c r="C89" s="114" t="s">
        <v>822</v>
      </c>
      <c r="D89" s="114" t="s">
        <v>468</v>
      </c>
      <c r="E89" s="114" t="s">
        <v>900</v>
      </c>
      <c r="F89" s="115">
        <v>45237</v>
      </c>
      <c r="G89" s="112"/>
    </row>
    <row r="90" spans="1:7" ht="25" x14ac:dyDescent="0.35">
      <c r="A90" s="22">
        <v>89</v>
      </c>
      <c r="B90" s="114" t="s">
        <v>656</v>
      </c>
      <c r="C90" s="114" t="s">
        <v>753</v>
      </c>
      <c r="D90" s="114" t="s">
        <v>429</v>
      </c>
      <c r="E90" s="114" t="s">
        <v>894</v>
      </c>
      <c r="F90" s="115">
        <v>45237</v>
      </c>
      <c r="G90" s="112"/>
    </row>
    <row r="91" spans="1:7" ht="25" x14ac:dyDescent="0.35">
      <c r="A91" s="22">
        <v>90</v>
      </c>
      <c r="B91" s="114" t="s">
        <v>926</v>
      </c>
      <c r="C91" s="114" t="s">
        <v>1259</v>
      </c>
      <c r="D91" s="114" t="s">
        <v>927</v>
      </c>
      <c r="E91" s="114" t="s">
        <v>905</v>
      </c>
      <c r="F91" s="115">
        <v>45238</v>
      </c>
    </row>
    <row r="92" spans="1:7" ht="25" x14ac:dyDescent="0.35">
      <c r="A92" s="22">
        <v>91</v>
      </c>
      <c r="B92" s="114" t="s">
        <v>374</v>
      </c>
      <c r="C92" s="114" t="s">
        <v>754</v>
      </c>
      <c r="D92" s="114" t="s">
        <v>511</v>
      </c>
      <c r="E92" s="114" t="s">
        <v>881</v>
      </c>
      <c r="F92" s="115">
        <v>45237</v>
      </c>
      <c r="G92" s="112"/>
    </row>
    <row r="93" spans="1:7" ht="25" x14ac:dyDescent="0.35">
      <c r="A93" s="22">
        <v>92</v>
      </c>
      <c r="B93" s="114" t="s">
        <v>1234</v>
      </c>
      <c r="C93" s="114" t="s">
        <v>1401</v>
      </c>
      <c r="D93" s="114" t="s">
        <v>1235</v>
      </c>
      <c r="E93" s="114" t="s">
        <v>1236</v>
      </c>
      <c r="F93" s="115">
        <v>45238</v>
      </c>
    </row>
    <row r="94" spans="1:7" ht="25" x14ac:dyDescent="0.35">
      <c r="A94" s="22">
        <v>93</v>
      </c>
      <c r="B94" s="114" t="s">
        <v>306</v>
      </c>
      <c r="C94" s="114" t="s">
        <v>812</v>
      </c>
      <c r="D94" s="114" t="s">
        <v>404</v>
      </c>
      <c r="E94" s="114" t="s">
        <v>901</v>
      </c>
      <c r="F94" s="115">
        <v>45237</v>
      </c>
      <c r="G94" s="112"/>
    </row>
    <row r="95" spans="1:7" x14ac:dyDescent="0.35">
      <c r="A95" s="22">
        <v>94</v>
      </c>
      <c r="B95" s="114" t="s">
        <v>1000</v>
      </c>
      <c r="C95" s="114" t="s">
        <v>1293</v>
      </c>
      <c r="D95" s="114" t="s">
        <v>1001</v>
      </c>
      <c r="E95" s="114" t="s">
        <v>898</v>
      </c>
      <c r="F95" s="115">
        <v>45238</v>
      </c>
    </row>
    <row r="96" spans="1:7" ht="25" x14ac:dyDescent="0.35">
      <c r="A96" s="22">
        <v>95</v>
      </c>
      <c r="B96" s="114" t="s">
        <v>379</v>
      </c>
      <c r="C96" s="114" t="s">
        <v>755</v>
      </c>
      <c r="D96" s="114" t="s">
        <v>516</v>
      </c>
      <c r="E96" s="114" t="s">
        <v>894</v>
      </c>
      <c r="F96" s="115">
        <v>45237</v>
      </c>
      <c r="G96" s="112"/>
    </row>
    <row r="97" spans="1:7" ht="25" x14ac:dyDescent="0.35">
      <c r="A97" s="22">
        <v>96</v>
      </c>
      <c r="B97" s="114" t="s">
        <v>700</v>
      </c>
      <c r="C97" s="114" t="s">
        <v>836</v>
      </c>
      <c r="D97" s="114" t="s">
        <v>414</v>
      </c>
      <c r="E97" s="114" t="s">
        <v>881</v>
      </c>
      <c r="F97" s="115">
        <v>45237</v>
      </c>
      <c r="G97" s="112"/>
    </row>
    <row r="98" spans="1:7" x14ac:dyDescent="0.35">
      <c r="A98" s="22">
        <v>97</v>
      </c>
      <c r="B98" s="114" t="s">
        <v>1008</v>
      </c>
      <c r="C98" s="114" t="s">
        <v>1297</v>
      </c>
      <c r="D98" s="21" t="s">
        <v>1527</v>
      </c>
      <c r="E98" s="114" t="s">
        <v>1009</v>
      </c>
      <c r="F98" s="115">
        <v>45238</v>
      </c>
    </row>
    <row r="99" spans="1:7" ht="25" x14ac:dyDescent="0.35">
      <c r="A99" s="22">
        <v>98</v>
      </c>
      <c r="B99" s="114" t="s">
        <v>346</v>
      </c>
      <c r="C99" s="114" t="s">
        <v>831</v>
      </c>
      <c r="D99" s="114" t="s">
        <v>417</v>
      </c>
      <c r="E99" s="114" t="s">
        <v>882</v>
      </c>
      <c r="F99" s="115">
        <v>45237</v>
      </c>
      <c r="G99" s="112"/>
    </row>
    <row r="100" spans="1:7" ht="25" x14ac:dyDescent="0.35">
      <c r="A100" s="22">
        <v>99</v>
      </c>
      <c r="B100" s="114" t="s">
        <v>1085</v>
      </c>
      <c r="C100" s="114" t="s">
        <v>1333</v>
      </c>
      <c r="D100" s="114" t="s">
        <v>1086</v>
      </c>
      <c r="E100" s="114" t="s">
        <v>894</v>
      </c>
      <c r="F100" s="115">
        <v>45238</v>
      </c>
    </row>
    <row r="101" spans="1:7" x14ac:dyDescent="0.35">
      <c r="A101" s="22">
        <v>100</v>
      </c>
      <c r="B101" s="114" t="s">
        <v>1016</v>
      </c>
      <c r="C101" s="114" t="s">
        <v>1301</v>
      </c>
      <c r="D101" s="114" t="s">
        <v>1017</v>
      </c>
      <c r="E101" s="114" t="s">
        <v>885</v>
      </c>
      <c r="F101" s="115">
        <v>45238</v>
      </c>
    </row>
    <row r="102" spans="1:7" x14ac:dyDescent="0.35">
      <c r="A102" s="22">
        <v>101</v>
      </c>
      <c r="B102" s="114" t="s">
        <v>258</v>
      </c>
      <c r="C102" s="114" t="s">
        <v>756</v>
      </c>
      <c r="D102" s="114" t="s">
        <v>440</v>
      </c>
      <c r="E102" s="114" t="s">
        <v>889</v>
      </c>
      <c r="F102" s="115">
        <v>45237</v>
      </c>
      <c r="G102" s="112"/>
    </row>
    <row r="103" spans="1:7" ht="25" x14ac:dyDescent="0.35">
      <c r="A103" s="22">
        <v>102</v>
      </c>
      <c r="B103" s="114" t="s">
        <v>1066</v>
      </c>
      <c r="C103" s="114" t="s">
        <v>1324</v>
      </c>
      <c r="D103" s="114" t="s">
        <v>1067</v>
      </c>
      <c r="E103" s="114" t="s">
        <v>1068</v>
      </c>
      <c r="F103" s="115">
        <v>45238</v>
      </c>
    </row>
    <row r="104" spans="1:7" ht="25" x14ac:dyDescent="0.35">
      <c r="A104" s="22">
        <v>103</v>
      </c>
      <c r="B104" s="114" t="s">
        <v>1251</v>
      </c>
      <c r="C104" s="114" t="s">
        <v>1409</v>
      </c>
      <c r="D104" s="114" t="s">
        <v>1252</v>
      </c>
      <c r="E104" s="114" t="s">
        <v>883</v>
      </c>
      <c r="F104" s="115">
        <v>45238</v>
      </c>
    </row>
    <row r="105" spans="1:7" ht="25" x14ac:dyDescent="0.35">
      <c r="A105" s="22">
        <v>104</v>
      </c>
      <c r="B105" s="114" t="s">
        <v>1119</v>
      </c>
      <c r="C105" s="114" t="s">
        <v>1348</v>
      </c>
      <c r="D105" s="114" t="s">
        <v>1120</v>
      </c>
      <c r="E105" s="114" t="s">
        <v>907</v>
      </c>
      <c r="F105" s="115">
        <v>45238</v>
      </c>
    </row>
    <row r="106" spans="1:7" ht="25" x14ac:dyDescent="0.35">
      <c r="A106" s="22">
        <v>105</v>
      </c>
      <c r="B106" s="114" t="s">
        <v>1146</v>
      </c>
      <c r="C106" s="114" t="s">
        <v>1361</v>
      </c>
      <c r="D106" s="114" t="s">
        <v>1147</v>
      </c>
      <c r="E106" s="114" t="s">
        <v>1148</v>
      </c>
      <c r="F106" s="115">
        <v>45238</v>
      </c>
    </row>
    <row r="107" spans="1:7" ht="25" x14ac:dyDescent="0.35">
      <c r="A107" s="22">
        <v>106</v>
      </c>
      <c r="B107" s="114" t="s">
        <v>690</v>
      </c>
      <c r="C107" s="114" t="s">
        <v>757</v>
      </c>
      <c r="D107" s="114" t="s">
        <v>497</v>
      </c>
      <c r="E107" s="114" t="s">
        <v>894</v>
      </c>
      <c r="F107" s="115">
        <v>45237</v>
      </c>
      <c r="G107" s="112"/>
    </row>
    <row r="108" spans="1:7" x14ac:dyDescent="0.35">
      <c r="A108" s="22">
        <v>107</v>
      </c>
      <c r="B108" s="114" t="s">
        <v>324</v>
      </c>
      <c r="C108" s="114" t="s">
        <v>758</v>
      </c>
      <c r="D108" s="114" t="s">
        <v>481</v>
      </c>
      <c r="E108" s="114" t="s">
        <v>894</v>
      </c>
      <c r="F108" s="115">
        <v>45237</v>
      </c>
      <c r="G108" s="112"/>
    </row>
    <row r="109" spans="1:7" ht="25" x14ac:dyDescent="0.35">
      <c r="A109" s="22">
        <v>108</v>
      </c>
      <c r="B109" s="114" t="s">
        <v>267</v>
      </c>
      <c r="C109" s="114" t="s">
        <v>759</v>
      </c>
      <c r="D109" s="114" t="s">
        <v>444</v>
      </c>
      <c r="E109" s="114" t="s">
        <v>902</v>
      </c>
      <c r="F109" s="115">
        <v>45237</v>
      </c>
      <c r="G109" s="112"/>
    </row>
    <row r="110" spans="1:7" ht="25" x14ac:dyDescent="0.35">
      <c r="A110" s="22">
        <v>109</v>
      </c>
      <c r="B110" s="114" t="s">
        <v>1237</v>
      </c>
      <c r="C110" s="114" t="s">
        <v>1402</v>
      </c>
      <c r="D110" s="114" t="s">
        <v>1238</v>
      </c>
      <c r="E110" s="114" t="s">
        <v>1519</v>
      </c>
      <c r="F110" s="115">
        <v>45238</v>
      </c>
    </row>
    <row r="111" spans="1:7" ht="25" x14ac:dyDescent="0.35">
      <c r="A111" s="22">
        <v>110</v>
      </c>
      <c r="B111" s="114" t="s">
        <v>674</v>
      </c>
      <c r="C111" s="114" t="s">
        <v>760</v>
      </c>
      <c r="D111" s="114" t="s">
        <v>470</v>
      </c>
      <c r="E111" s="114" t="s">
        <v>894</v>
      </c>
      <c r="F111" s="115">
        <v>45237</v>
      </c>
      <c r="G111" s="112"/>
    </row>
    <row r="112" spans="1:7" x14ac:dyDescent="0.35">
      <c r="A112" s="22">
        <v>111</v>
      </c>
      <c r="B112" s="114" t="s">
        <v>1245</v>
      </c>
      <c r="C112" s="114" t="s">
        <v>1406</v>
      </c>
      <c r="D112" s="114" t="s">
        <v>1246</v>
      </c>
      <c r="E112" s="114" t="s">
        <v>881</v>
      </c>
      <c r="F112" s="115">
        <v>45238</v>
      </c>
    </row>
    <row r="113" spans="1:7" ht="25" x14ac:dyDescent="0.35">
      <c r="A113" s="22">
        <v>112</v>
      </c>
      <c r="B113" s="114" t="s">
        <v>245</v>
      </c>
      <c r="C113" s="114" t="s">
        <v>802</v>
      </c>
      <c r="D113" s="114" t="s">
        <v>432</v>
      </c>
      <c r="E113" s="114" t="s">
        <v>903</v>
      </c>
      <c r="F113" s="115">
        <v>45237</v>
      </c>
      <c r="G113" s="112"/>
    </row>
    <row r="114" spans="1:7" x14ac:dyDescent="0.35">
      <c r="A114" s="22">
        <v>113</v>
      </c>
      <c r="B114" s="21" t="s">
        <v>1444</v>
      </c>
      <c r="C114" s="115"/>
      <c r="D114" s="21" t="s">
        <v>946</v>
      </c>
      <c r="E114" s="116" t="s">
        <v>882</v>
      </c>
      <c r="F114" s="115">
        <v>45238</v>
      </c>
    </row>
    <row r="115" spans="1:7" ht="25" x14ac:dyDescent="0.35">
      <c r="A115" s="22">
        <v>114</v>
      </c>
      <c r="B115" s="114" t="s">
        <v>936</v>
      </c>
      <c r="C115" s="114" t="s">
        <v>1264</v>
      </c>
      <c r="D115" s="114" t="s">
        <v>937</v>
      </c>
      <c r="E115" s="114" t="s">
        <v>881</v>
      </c>
      <c r="F115" s="115">
        <v>45238</v>
      </c>
      <c r="G115" s="112"/>
    </row>
    <row r="116" spans="1:7" x14ac:dyDescent="0.35">
      <c r="A116" s="22">
        <v>115</v>
      </c>
      <c r="B116" s="114" t="s">
        <v>691</v>
      </c>
      <c r="C116" s="114" t="s">
        <v>813</v>
      </c>
      <c r="D116" s="114" t="s">
        <v>1502</v>
      </c>
      <c r="E116" s="114" t="s">
        <v>1218</v>
      </c>
      <c r="F116" s="115">
        <v>45237</v>
      </c>
      <c r="G116" s="112"/>
    </row>
    <row r="117" spans="1:7" ht="25" x14ac:dyDescent="0.35">
      <c r="A117" s="22">
        <v>116</v>
      </c>
      <c r="B117" s="114" t="s">
        <v>684</v>
      </c>
      <c r="C117" s="114" t="s">
        <v>761</v>
      </c>
      <c r="D117" s="114" t="s">
        <v>402</v>
      </c>
      <c r="E117" s="114" t="s">
        <v>904</v>
      </c>
      <c r="F117" s="115">
        <v>45237</v>
      </c>
    </row>
    <row r="118" spans="1:7" ht="25" x14ac:dyDescent="0.35">
      <c r="A118" s="22">
        <v>117</v>
      </c>
      <c r="B118" s="114" t="s">
        <v>1186</v>
      </c>
      <c r="C118" s="114" t="s">
        <v>1379</v>
      </c>
      <c r="D118" s="114" t="s">
        <v>1187</v>
      </c>
      <c r="E118" s="114" t="s">
        <v>882</v>
      </c>
      <c r="F118" s="115">
        <v>45238</v>
      </c>
    </row>
    <row r="119" spans="1:7" ht="25" x14ac:dyDescent="0.35">
      <c r="A119" s="22">
        <v>118</v>
      </c>
      <c r="B119" s="114" t="s">
        <v>1190</v>
      </c>
      <c r="C119" s="114" t="s">
        <v>1381</v>
      </c>
      <c r="D119" s="114" t="s">
        <v>1191</v>
      </c>
      <c r="E119" s="114" t="s">
        <v>894</v>
      </c>
      <c r="F119" s="115">
        <v>45238</v>
      </c>
      <c r="G119" s="112"/>
    </row>
    <row r="120" spans="1:7" x14ac:dyDescent="0.35">
      <c r="A120" s="22">
        <v>119</v>
      </c>
      <c r="B120" s="114" t="s">
        <v>372</v>
      </c>
      <c r="C120" s="114" t="s">
        <v>814</v>
      </c>
      <c r="D120" s="114" t="s">
        <v>1503</v>
      </c>
      <c r="E120" s="114" t="s">
        <v>1504</v>
      </c>
      <c r="F120" s="115">
        <v>45237</v>
      </c>
      <c r="G120" s="112"/>
    </row>
    <row r="121" spans="1:7" x14ac:dyDescent="0.35">
      <c r="A121" s="22">
        <v>120</v>
      </c>
      <c r="B121" s="114" t="s">
        <v>240</v>
      </c>
      <c r="C121" s="114" t="s">
        <v>842</v>
      </c>
      <c r="D121" s="114" t="s">
        <v>387</v>
      </c>
      <c r="E121" s="114" t="s">
        <v>905</v>
      </c>
      <c r="F121" s="115">
        <v>45237</v>
      </c>
      <c r="G121" s="112"/>
    </row>
    <row r="122" spans="1:7" ht="25" x14ac:dyDescent="0.35">
      <c r="A122" s="22">
        <v>121</v>
      </c>
      <c r="B122" s="114" t="s">
        <v>670</v>
      </c>
      <c r="C122" s="114" t="s">
        <v>762</v>
      </c>
      <c r="D122" s="114" t="s">
        <v>389</v>
      </c>
      <c r="E122" s="114" t="s">
        <v>894</v>
      </c>
      <c r="F122" s="115">
        <v>45237</v>
      </c>
      <c r="G122" s="112"/>
    </row>
    <row r="123" spans="1:7" x14ac:dyDescent="0.35">
      <c r="A123" s="22">
        <v>122</v>
      </c>
      <c r="B123" s="114" t="s">
        <v>320</v>
      </c>
      <c r="C123" s="114" t="s">
        <v>763</v>
      </c>
      <c r="D123" s="114" t="s">
        <v>1522</v>
      </c>
      <c r="E123" s="114" t="s">
        <v>886</v>
      </c>
      <c r="F123" s="115">
        <v>45237</v>
      </c>
    </row>
    <row r="124" spans="1:7" ht="25" x14ac:dyDescent="0.35">
      <c r="A124" s="22">
        <v>123</v>
      </c>
      <c r="B124" s="114" t="s">
        <v>947</v>
      </c>
      <c r="C124" s="114" t="s">
        <v>1269</v>
      </c>
      <c r="D124" s="114" t="s">
        <v>948</v>
      </c>
      <c r="E124" s="114" t="s">
        <v>949</v>
      </c>
      <c r="F124" s="115">
        <v>45238</v>
      </c>
      <c r="G124" s="112"/>
    </row>
    <row r="125" spans="1:7" ht="25" x14ac:dyDescent="0.35">
      <c r="A125" s="22">
        <v>124</v>
      </c>
      <c r="B125" s="114" t="s">
        <v>334</v>
      </c>
      <c r="C125" s="114" t="s">
        <v>815</v>
      </c>
      <c r="D125" s="114" t="s">
        <v>413</v>
      </c>
      <c r="E125" s="114" t="s">
        <v>899</v>
      </c>
      <c r="F125" s="115">
        <v>45237</v>
      </c>
    </row>
    <row r="126" spans="1:7" ht="25" x14ac:dyDescent="0.35">
      <c r="A126" s="22">
        <v>125</v>
      </c>
      <c r="B126" s="114" t="s">
        <v>1223</v>
      </c>
      <c r="C126" s="114" t="s">
        <v>1396</v>
      </c>
      <c r="D126" s="114" t="s">
        <v>1224</v>
      </c>
      <c r="E126" s="114" t="s">
        <v>894</v>
      </c>
      <c r="F126" s="115">
        <v>45238</v>
      </c>
      <c r="G126" s="112"/>
    </row>
    <row r="127" spans="1:7" ht="25" x14ac:dyDescent="0.35">
      <c r="A127" s="22">
        <v>126</v>
      </c>
      <c r="B127" s="114" t="s">
        <v>375</v>
      </c>
      <c r="C127" s="114" t="s">
        <v>862</v>
      </c>
      <c r="D127" s="114" t="s">
        <v>512</v>
      </c>
      <c r="E127" s="114" t="s">
        <v>887</v>
      </c>
      <c r="F127" s="115">
        <v>45237</v>
      </c>
      <c r="G127" s="112"/>
    </row>
    <row r="128" spans="1:7" x14ac:dyDescent="0.35">
      <c r="A128" s="22">
        <v>127</v>
      </c>
      <c r="B128" s="114" t="s">
        <v>677</v>
      </c>
      <c r="C128" s="114" t="s">
        <v>764</v>
      </c>
      <c r="D128" s="114" t="s">
        <v>453</v>
      </c>
      <c r="E128" s="114" t="s">
        <v>881</v>
      </c>
      <c r="F128" s="115">
        <v>45237</v>
      </c>
      <c r="G128" s="112"/>
    </row>
    <row r="129" spans="1:7" ht="25" x14ac:dyDescent="0.35">
      <c r="A129" s="22">
        <v>128</v>
      </c>
      <c r="B129" s="114" t="s">
        <v>277</v>
      </c>
      <c r="C129" s="114" t="s">
        <v>872</v>
      </c>
      <c r="D129" s="114" t="s">
        <v>450</v>
      </c>
      <c r="E129" s="114" t="s">
        <v>901</v>
      </c>
      <c r="F129" s="115">
        <v>45237</v>
      </c>
      <c r="G129" s="112"/>
    </row>
    <row r="130" spans="1:7" x14ac:dyDescent="0.35">
      <c r="A130" s="22">
        <v>129</v>
      </c>
      <c r="B130" s="114" t="s">
        <v>717</v>
      </c>
      <c r="C130" s="114" t="s">
        <v>851</v>
      </c>
      <c r="D130" s="114" t="s">
        <v>501</v>
      </c>
      <c r="E130" s="114" t="s">
        <v>906</v>
      </c>
      <c r="F130" s="115">
        <v>45237</v>
      </c>
    </row>
    <row r="131" spans="1:7" x14ac:dyDescent="0.35">
      <c r="A131" s="22">
        <v>130</v>
      </c>
      <c r="B131" s="114" t="s">
        <v>1002</v>
      </c>
      <c r="C131" s="114" t="s">
        <v>1294</v>
      </c>
      <c r="D131" s="114" t="s">
        <v>1003</v>
      </c>
      <c r="E131" s="114" t="s">
        <v>911</v>
      </c>
      <c r="F131" s="115">
        <v>45238</v>
      </c>
    </row>
    <row r="132" spans="1:7" ht="25" x14ac:dyDescent="0.35">
      <c r="A132" s="22">
        <v>131</v>
      </c>
      <c r="B132" s="114" t="s">
        <v>1121</v>
      </c>
      <c r="C132" s="114" t="s">
        <v>1349</v>
      </c>
      <c r="D132" s="114" t="s">
        <v>1122</v>
      </c>
      <c r="E132" s="114" t="s">
        <v>882</v>
      </c>
      <c r="F132" s="115">
        <v>45238</v>
      </c>
      <c r="G132" s="112"/>
    </row>
    <row r="133" spans="1:7" x14ac:dyDescent="0.35">
      <c r="A133" s="22">
        <v>132</v>
      </c>
      <c r="B133" s="114" t="s">
        <v>659</v>
      </c>
      <c r="C133" s="114" t="s">
        <v>799</v>
      </c>
      <c r="D133" s="114" t="s">
        <v>469</v>
      </c>
      <c r="E133" s="114" t="s">
        <v>1499</v>
      </c>
      <c r="F133" s="115">
        <v>45237</v>
      </c>
      <c r="G133" s="112"/>
    </row>
    <row r="134" spans="1:7" ht="25" x14ac:dyDescent="0.35">
      <c r="A134" s="22">
        <v>133</v>
      </c>
      <c r="B134" s="114" t="s">
        <v>366</v>
      </c>
      <c r="C134" s="114" t="s">
        <v>827</v>
      </c>
      <c r="D134" s="114" t="s">
        <v>1506</v>
      </c>
      <c r="E134" s="114" t="s">
        <v>894</v>
      </c>
      <c r="F134" s="115">
        <v>45237</v>
      </c>
      <c r="G134" s="112"/>
    </row>
    <row r="135" spans="1:7" ht="25" x14ac:dyDescent="0.35">
      <c r="A135" s="22">
        <v>134</v>
      </c>
      <c r="B135" s="114" t="s">
        <v>269</v>
      </c>
      <c r="C135" s="114" t="s">
        <v>852</v>
      </c>
      <c r="D135" s="114" t="s">
        <v>396</v>
      </c>
      <c r="E135" s="114" t="s">
        <v>901</v>
      </c>
      <c r="F135" s="115">
        <v>45237</v>
      </c>
      <c r="G135" s="112"/>
    </row>
    <row r="136" spans="1:7" ht="25" x14ac:dyDescent="0.35">
      <c r="A136" s="22">
        <v>135</v>
      </c>
      <c r="B136" s="114" t="s">
        <v>301</v>
      </c>
      <c r="C136" s="114" t="s">
        <v>816</v>
      </c>
      <c r="D136" s="114" t="s">
        <v>467</v>
      </c>
      <c r="E136" s="114" t="s">
        <v>1505</v>
      </c>
      <c r="F136" s="115">
        <v>45237</v>
      </c>
    </row>
    <row r="137" spans="1:7" ht="25" x14ac:dyDescent="0.35">
      <c r="A137" s="22">
        <v>136</v>
      </c>
      <c r="B137" s="114" t="s">
        <v>982</v>
      </c>
      <c r="C137" s="114" t="s">
        <v>1284</v>
      </c>
      <c r="D137" s="114" t="s">
        <v>983</v>
      </c>
      <c r="E137" s="114" t="s">
        <v>913</v>
      </c>
      <c r="F137" s="115">
        <v>45238</v>
      </c>
      <c r="G137" s="112"/>
    </row>
    <row r="138" spans="1:7" ht="25" x14ac:dyDescent="0.35">
      <c r="A138" s="22">
        <v>137</v>
      </c>
      <c r="B138" s="114" t="s">
        <v>716</v>
      </c>
      <c r="C138" s="114" t="s">
        <v>835</v>
      </c>
      <c r="D138" s="114" t="s">
        <v>412</v>
      </c>
      <c r="E138" s="114" t="s">
        <v>892</v>
      </c>
      <c r="F138" s="115">
        <v>45237</v>
      </c>
      <c r="G138" s="112"/>
    </row>
    <row r="139" spans="1:7" x14ac:dyDescent="0.35">
      <c r="A139" s="22">
        <v>138</v>
      </c>
      <c r="B139" s="114" t="s">
        <v>313</v>
      </c>
      <c r="C139" s="114" t="s">
        <v>765</v>
      </c>
      <c r="D139" s="114" t="s">
        <v>474</v>
      </c>
      <c r="E139" s="114" t="s">
        <v>919</v>
      </c>
      <c r="F139" s="115">
        <v>45237</v>
      </c>
    </row>
    <row r="140" spans="1:7" ht="25" x14ac:dyDescent="0.35">
      <c r="A140" s="22">
        <v>139</v>
      </c>
      <c r="B140" s="114" t="s">
        <v>1211</v>
      </c>
      <c r="C140" s="114" t="s">
        <v>1391</v>
      </c>
      <c r="D140" s="114" t="s">
        <v>1212</v>
      </c>
      <c r="E140" s="114" t="s">
        <v>917</v>
      </c>
      <c r="F140" s="115">
        <v>45238</v>
      </c>
    </row>
    <row r="141" spans="1:7" ht="25" x14ac:dyDescent="0.35">
      <c r="A141" s="22">
        <v>140</v>
      </c>
      <c r="B141" s="114" t="s">
        <v>1020</v>
      </c>
      <c r="C141" s="114" t="s">
        <v>1303</v>
      </c>
      <c r="D141" s="114" t="s">
        <v>1021</v>
      </c>
      <c r="E141" s="114" t="s">
        <v>911</v>
      </c>
      <c r="F141" s="115">
        <v>45238</v>
      </c>
      <c r="G141" s="112"/>
    </row>
    <row r="142" spans="1:7" ht="25" x14ac:dyDescent="0.35">
      <c r="A142" s="22">
        <v>141</v>
      </c>
      <c r="B142" s="114" t="s">
        <v>251</v>
      </c>
      <c r="C142" s="114" t="s">
        <v>820</v>
      </c>
      <c r="D142" s="114" t="s">
        <v>436</v>
      </c>
      <c r="E142" s="114" t="s">
        <v>882</v>
      </c>
      <c r="F142" s="115">
        <v>45237</v>
      </c>
    </row>
    <row r="143" spans="1:7" ht="25" x14ac:dyDescent="0.35">
      <c r="A143" s="22">
        <v>142</v>
      </c>
      <c r="B143" s="114" t="s">
        <v>1031</v>
      </c>
      <c r="C143" s="114" t="s">
        <v>1308</v>
      </c>
      <c r="D143" s="114" t="s">
        <v>1032</v>
      </c>
      <c r="E143" s="114" t="s">
        <v>911</v>
      </c>
      <c r="F143" s="115">
        <v>45238</v>
      </c>
      <c r="G143" s="112"/>
    </row>
    <row r="144" spans="1:7" ht="25" x14ac:dyDescent="0.35">
      <c r="A144" s="22">
        <v>143</v>
      </c>
      <c r="B144" s="114" t="s">
        <v>363</v>
      </c>
      <c r="C144" s="114" t="s">
        <v>766</v>
      </c>
      <c r="D144" s="114" t="s">
        <v>423</v>
      </c>
      <c r="E144" s="114" t="s">
        <v>899</v>
      </c>
      <c r="F144" s="115">
        <v>45237</v>
      </c>
    </row>
    <row r="145" spans="1:7" ht="25" x14ac:dyDescent="0.35">
      <c r="A145" s="22">
        <v>144</v>
      </c>
      <c r="B145" s="114" t="s">
        <v>960</v>
      </c>
      <c r="C145" s="114" t="s">
        <v>1274</v>
      </c>
      <c r="D145" s="114" t="s">
        <v>961</v>
      </c>
      <c r="E145" s="114" t="s">
        <v>962</v>
      </c>
      <c r="F145" s="115">
        <v>45238</v>
      </c>
      <c r="G145" s="112"/>
    </row>
    <row r="146" spans="1:7" x14ac:dyDescent="0.35">
      <c r="A146" s="22">
        <v>145</v>
      </c>
      <c r="B146" s="114" t="s">
        <v>278</v>
      </c>
      <c r="C146" s="114" t="s">
        <v>767</v>
      </c>
      <c r="D146" s="114" t="s">
        <v>451</v>
      </c>
      <c r="E146" s="114" t="s">
        <v>1492</v>
      </c>
      <c r="F146" s="115">
        <v>45237</v>
      </c>
      <c r="G146" s="112"/>
    </row>
    <row r="147" spans="1:7" ht="25" x14ac:dyDescent="0.35">
      <c r="A147" s="22">
        <v>146</v>
      </c>
      <c r="B147" s="114" t="s">
        <v>660</v>
      </c>
      <c r="C147" s="114" t="s">
        <v>873</v>
      </c>
      <c r="D147" s="114" t="s">
        <v>408</v>
      </c>
      <c r="E147" s="114" t="s">
        <v>908</v>
      </c>
      <c r="F147" s="115">
        <v>45237</v>
      </c>
      <c r="G147" s="112"/>
    </row>
    <row r="148" spans="1:7" x14ac:dyDescent="0.35">
      <c r="A148" s="22">
        <v>147</v>
      </c>
      <c r="B148" s="114" t="s">
        <v>652</v>
      </c>
      <c r="C148" s="114" t="s">
        <v>768</v>
      </c>
      <c r="D148" s="114" t="s">
        <v>391</v>
      </c>
      <c r="E148" s="114" t="s">
        <v>908</v>
      </c>
      <c r="F148" s="115">
        <v>45237</v>
      </c>
      <c r="G148" s="112"/>
    </row>
    <row r="149" spans="1:7" ht="25" x14ac:dyDescent="0.35">
      <c r="A149" s="22">
        <v>148</v>
      </c>
      <c r="B149" s="114" t="s">
        <v>675</v>
      </c>
      <c r="C149" s="114" t="s">
        <v>857</v>
      </c>
      <c r="D149" s="114" t="s">
        <v>488</v>
      </c>
      <c r="E149" s="114" t="s">
        <v>881</v>
      </c>
      <c r="F149" s="115">
        <v>45237</v>
      </c>
    </row>
    <row r="150" spans="1:7" x14ac:dyDescent="0.35">
      <c r="A150" s="22">
        <v>149</v>
      </c>
      <c r="B150" s="114" t="s">
        <v>1123</v>
      </c>
      <c r="C150" s="114" t="s">
        <v>1350</v>
      </c>
      <c r="D150" s="114" t="s">
        <v>1124</v>
      </c>
      <c r="E150" s="114" t="s">
        <v>882</v>
      </c>
      <c r="F150" s="115">
        <v>45238</v>
      </c>
    </row>
    <row r="151" spans="1:7" ht="25" x14ac:dyDescent="0.35">
      <c r="A151" s="22">
        <v>150</v>
      </c>
      <c r="B151" s="114" t="s">
        <v>1077</v>
      </c>
      <c r="C151" s="114" t="s">
        <v>1329</v>
      </c>
      <c r="D151" s="114" t="s">
        <v>1078</v>
      </c>
      <c r="E151" s="114" t="s">
        <v>889</v>
      </c>
      <c r="F151" s="115">
        <v>45238</v>
      </c>
      <c r="G151" s="112"/>
    </row>
    <row r="152" spans="1:7" ht="25" x14ac:dyDescent="0.35">
      <c r="A152" s="22">
        <v>151</v>
      </c>
      <c r="B152" s="114" t="s">
        <v>658</v>
      </c>
      <c r="C152" s="114" t="s">
        <v>769</v>
      </c>
      <c r="D152" s="114" t="s">
        <v>430</v>
      </c>
      <c r="E152" s="114" t="s">
        <v>889</v>
      </c>
      <c r="F152" s="115">
        <v>45237</v>
      </c>
    </row>
    <row r="153" spans="1:7" ht="25" x14ac:dyDescent="0.35">
      <c r="A153" s="22">
        <v>152</v>
      </c>
      <c r="B153" s="114" t="s">
        <v>1207</v>
      </c>
      <c r="C153" s="114" t="s">
        <v>1389</v>
      </c>
      <c r="D153" s="114" t="s">
        <v>1208</v>
      </c>
      <c r="E153" s="114" t="s">
        <v>901</v>
      </c>
      <c r="F153" s="115">
        <v>45238</v>
      </c>
      <c r="G153" s="112"/>
    </row>
    <row r="154" spans="1:7" ht="25" x14ac:dyDescent="0.35">
      <c r="A154" s="22">
        <v>153</v>
      </c>
      <c r="B154" s="114" t="s">
        <v>678</v>
      </c>
      <c r="C154" s="114" t="s">
        <v>843</v>
      </c>
      <c r="D154" s="114" t="s">
        <v>438</v>
      </c>
      <c r="E154" s="114" t="s">
        <v>1507</v>
      </c>
      <c r="F154" s="115">
        <v>45237</v>
      </c>
      <c r="G154" s="112"/>
    </row>
    <row r="155" spans="1:7" ht="25" x14ac:dyDescent="0.35">
      <c r="A155" s="22">
        <v>154</v>
      </c>
      <c r="B155" s="114" t="s">
        <v>271</v>
      </c>
      <c r="C155" s="114" t="s">
        <v>866</v>
      </c>
      <c r="D155" s="114" t="s">
        <v>446</v>
      </c>
      <c r="E155" s="114" t="s">
        <v>1148</v>
      </c>
      <c r="F155" s="115">
        <v>45237</v>
      </c>
      <c r="G155" s="112"/>
    </row>
    <row r="156" spans="1:7" ht="25" x14ac:dyDescent="0.35">
      <c r="A156" s="22">
        <v>155</v>
      </c>
      <c r="B156" s="114" t="s">
        <v>337</v>
      </c>
      <c r="C156" s="114" t="s">
        <v>844</v>
      </c>
      <c r="D156" s="114" t="s">
        <v>415</v>
      </c>
      <c r="E156" s="114" t="s">
        <v>898</v>
      </c>
      <c r="F156" s="115">
        <v>45237</v>
      </c>
    </row>
    <row r="157" spans="1:7" ht="25" x14ac:dyDescent="0.35">
      <c r="A157" s="22">
        <v>156</v>
      </c>
      <c r="B157" s="114" t="s">
        <v>965</v>
      </c>
      <c r="C157" s="114" t="s">
        <v>1276</v>
      </c>
      <c r="D157" s="114" t="s">
        <v>966</v>
      </c>
      <c r="E157" s="114" t="s">
        <v>892</v>
      </c>
      <c r="F157" s="115">
        <v>45238</v>
      </c>
    </row>
    <row r="158" spans="1:7" ht="25" x14ac:dyDescent="0.35">
      <c r="A158" s="22">
        <v>157</v>
      </c>
      <c r="B158" s="114" t="s">
        <v>1087</v>
      </c>
      <c r="C158" s="114" t="s">
        <v>1334</v>
      </c>
      <c r="D158" s="114" t="s">
        <v>1088</v>
      </c>
      <c r="E158" s="114" t="s">
        <v>886</v>
      </c>
      <c r="F158" s="115">
        <v>45238</v>
      </c>
    </row>
    <row r="159" spans="1:7" ht="25" x14ac:dyDescent="0.35">
      <c r="A159" s="22">
        <v>158</v>
      </c>
      <c r="B159" s="114" t="s">
        <v>950</v>
      </c>
      <c r="C159" s="114" t="s">
        <v>1270</v>
      </c>
      <c r="D159" s="114" t="s">
        <v>951</v>
      </c>
      <c r="E159" s="114" t="s">
        <v>952</v>
      </c>
      <c r="F159" s="115">
        <v>45238</v>
      </c>
    </row>
    <row r="160" spans="1:7" x14ac:dyDescent="0.35">
      <c r="A160" s="22">
        <v>159</v>
      </c>
      <c r="B160" s="114" t="s">
        <v>1167</v>
      </c>
      <c r="C160" s="114" t="s">
        <v>1370</v>
      </c>
      <c r="D160" s="114" t="s">
        <v>1168</v>
      </c>
      <c r="E160" s="114" t="s">
        <v>886</v>
      </c>
      <c r="F160" s="115">
        <v>45238</v>
      </c>
    </row>
    <row r="161" spans="1:7" ht="25" x14ac:dyDescent="0.35">
      <c r="A161" s="22">
        <v>160</v>
      </c>
      <c r="B161" s="114" t="s">
        <v>1039</v>
      </c>
      <c r="C161" s="114" t="s">
        <v>1312</v>
      </c>
      <c r="D161" s="114" t="s">
        <v>1040</v>
      </c>
      <c r="E161" s="114" t="s">
        <v>1041</v>
      </c>
      <c r="F161" s="115">
        <v>45238</v>
      </c>
    </row>
    <row r="162" spans="1:7" ht="25" x14ac:dyDescent="0.35">
      <c r="A162" s="22">
        <v>161</v>
      </c>
      <c r="B162" s="114" t="s">
        <v>984</v>
      </c>
      <c r="C162" s="114" t="s">
        <v>1285</v>
      </c>
      <c r="D162" s="114" t="s">
        <v>985</v>
      </c>
      <c r="E162" s="114" t="s">
        <v>986</v>
      </c>
      <c r="F162" s="115">
        <v>45238</v>
      </c>
    </row>
    <row r="163" spans="1:7" ht="25" x14ac:dyDescent="0.35">
      <c r="A163" s="22">
        <v>162</v>
      </c>
      <c r="B163" s="114" t="s">
        <v>1013</v>
      </c>
      <c r="C163" s="114" t="s">
        <v>1300</v>
      </c>
      <c r="D163" s="114" t="s">
        <v>1014</v>
      </c>
      <c r="E163" s="114" t="s">
        <v>1015</v>
      </c>
      <c r="F163" s="115">
        <v>45238</v>
      </c>
    </row>
    <row r="164" spans="1:7" x14ac:dyDescent="0.35">
      <c r="A164" s="22">
        <v>163</v>
      </c>
      <c r="B164" s="114" t="s">
        <v>1042</v>
      </c>
      <c r="C164" s="114" t="s">
        <v>1313</v>
      </c>
      <c r="D164" s="114" t="s">
        <v>1043</v>
      </c>
      <c r="E164" s="114" t="s">
        <v>894</v>
      </c>
      <c r="F164" s="115">
        <v>45238</v>
      </c>
    </row>
    <row r="165" spans="1:7" ht="25" x14ac:dyDescent="0.35">
      <c r="A165" s="22">
        <v>164</v>
      </c>
      <c r="B165" s="114" t="s">
        <v>671</v>
      </c>
      <c r="C165" s="114" t="s">
        <v>828</v>
      </c>
      <c r="D165" s="114" t="s">
        <v>492</v>
      </c>
      <c r="E165" s="114" t="s">
        <v>909</v>
      </c>
      <c r="F165" s="115">
        <v>45237</v>
      </c>
    </row>
    <row r="166" spans="1:7" ht="25" x14ac:dyDescent="0.35">
      <c r="A166" s="22">
        <v>165</v>
      </c>
      <c r="B166" s="114" t="s">
        <v>1415</v>
      </c>
      <c r="C166" s="114" t="s">
        <v>1260</v>
      </c>
      <c r="D166" s="114" t="s">
        <v>928</v>
      </c>
      <c r="E166" s="114" t="s">
        <v>929</v>
      </c>
      <c r="F166" s="115">
        <v>45238</v>
      </c>
      <c r="G166" s="112"/>
    </row>
    <row r="167" spans="1:7" ht="25" x14ac:dyDescent="0.35">
      <c r="A167" s="22">
        <v>166</v>
      </c>
      <c r="B167" s="114" t="s">
        <v>1433</v>
      </c>
      <c r="C167" s="114" t="s">
        <v>1352</v>
      </c>
      <c r="D167" s="114" t="s">
        <v>1127</v>
      </c>
      <c r="E167" s="114" t="s">
        <v>1128</v>
      </c>
      <c r="F167" s="115">
        <v>45238</v>
      </c>
    </row>
    <row r="168" spans="1:7" x14ac:dyDescent="0.35">
      <c r="A168" s="22">
        <v>167</v>
      </c>
      <c r="B168" s="114" t="s">
        <v>1524</v>
      </c>
      <c r="C168" s="114" t="s">
        <v>1362</v>
      </c>
      <c r="D168" s="114" t="s">
        <v>1149</v>
      </c>
      <c r="E168" s="114" t="s">
        <v>1150</v>
      </c>
      <c r="F168" s="115">
        <v>45238</v>
      </c>
    </row>
    <row r="169" spans="1:7" x14ac:dyDescent="0.35">
      <c r="A169" s="22">
        <v>168</v>
      </c>
      <c r="B169" s="114" t="s">
        <v>1523</v>
      </c>
      <c r="C169" s="114" t="s">
        <v>1286</v>
      </c>
      <c r="D169" s="114" t="s">
        <v>987</v>
      </c>
      <c r="E169" s="114" t="s">
        <v>884</v>
      </c>
      <c r="F169" s="115">
        <v>45238</v>
      </c>
    </row>
    <row r="170" spans="1:7" ht="25" x14ac:dyDescent="0.35">
      <c r="A170" s="22">
        <v>169</v>
      </c>
      <c r="B170" s="114" t="s">
        <v>1089</v>
      </c>
      <c r="C170" s="114" t="s">
        <v>1335</v>
      </c>
      <c r="D170" s="114" t="s">
        <v>1090</v>
      </c>
      <c r="E170" s="114" t="s">
        <v>886</v>
      </c>
      <c r="F170" s="115">
        <v>45238</v>
      </c>
      <c r="G170" s="112"/>
    </row>
    <row r="171" spans="1:7" ht="25" x14ac:dyDescent="0.35">
      <c r="A171" s="22">
        <v>170</v>
      </c>
      <c r="B171" s="114" t="s">
        <v>350</v>
      </c>
      <c r="C171" s="114" t="s">
        <v>829</v>
      </c>
      <c r="D171" s="114" t="s">
        <v>419</v>
      </c>
      <c r="E171" s="114" t="s">
        <v>889</v>
      </c>
      <c r="F171" s="115">
        <v>45237</v>
      </c>
      <c r="G171" s="112"/>
    </row>
    <row r="172" spans="1:7" x14ac:dyDescent="0.35">
      <c r="A172" s="22">
        <v>171</v>
      </c>
      <c r="B172" s="114" t="s">
        <v>683</v>
      </c>
      <c r="C172" s="114" t="s">
        <v>853</v>
      </c>
      <c r="D172" s="114" t="s">
        <v>457</v>
      </c>
      <c r="E172" s="114" t="s">
        <v>894</v>
      </c>
      <c r="F172" s="115">
        <v>45237</v>
      </c>
    </row>
    <row r="173" spans="1:7" ht="25" x14ac:dyDescent="0.35">
      <c r="A173" s="22">
        <v>172</v>
      </c>
      <c r="B173" s="114" t="s">
        <v>1151</v>
      </c>
      <c r="C173" s="114" t="s">
        <v>1363</v>
      </c>
      <c r="D173" s="114" t="s">
        <v>1152</v>
      </c>
      <c r="E173" s="114" t="s">
        <v>894</v>
      </c>
      <c r="F173" s="115">
        <v>45238</v>
      </c>
    </row>
    <row r="174" spans="1:7" ht="25" x14ac:dyDescent="0.35">
      <c r="A174" s="22">
        <v>173</v>
      </c>
      <c r="B174" s="114" t="s">
        <v>1125</v>
      </c>
      <c r="C174" s="114" t="s">
        <v>1351</v>
      </c>
      <c r="D174" s="114" t="s">
        <v>1126</v>
      </c>
      <c r="E174" s="114" t="s">
        <v>882</v>
      </c>
      <c r="F174" s="115">
        <v>45238</v>
      </c>
    </row>
    <row r="175" spans="1:7" ht="25" x14ac:dyDescent="0.35">
      <c r="A175" s="22">
        <v>174</v>
      </c>
      <c r="B175" s="114" t="s">
        <v>1213</v>
      </c>
      <c r="C175" s="114" t="s">
        <v>1392</v>
      </c>
      <c r="D175" s="114" t="s">
        <v>1214</v>
      </c>
      <c r="E175" s="114" t="s">
        <v>1215</v>
      </c>
      <c r="F175" s="115">
        <v>45238</v>
      </c>
      <c r="G175" s="112"/>
    </row>
    <row r="176" spans="1:7" ht="25" x14ac:dyDescent="0.35">
      <c r="A176" s="22">
        <v>175</v>
      </c>
      <c r="B176" s="114" t="s">
        <v>704</v>
      </c>
      <c r="C176" s="114" t="s">
        <v>863</v>
      </c>
      <c r="D176" s="114" t="s">
        <v>478</v>
      </c>
      <c r="E176" s="114" t="s">
        <v>909</v>
      </c>
      <c r="F176" s="115">
        <v>45237</v>
      </c>
      <c r="G176" s="112"/>
    </row>
    <row r="177" spans="1:7" ht="25" x14ac:dyDescent="0.35">
      <c r="A177" s="22">
        <v>176</v>
      </c>
      <c r="B177" s="114" t="s">
        <v>703</v>
      </c>
      <c r="C177" s="114" t="s">
        <v>770</v>
      </c>
      <c r="D177" s="114" t="s">
        <v>398</v>
      </c>
      <c r="E177" s="114" t="s">
        <v>905</v>
      </c>
      <c r="F177" s="115">
        <v>45237</v>
      </c>
      <c r="G177" s="112"/>
    </row>
    <row r="178" spans="1:7" x14ac:dyDescent="0.35">
      <c r="A178" s="22">
        <v>177</v>
      </c>
      <c r="B178" s="114" t="s">
        <v>365</v>
      </c>
      <c r="C178" s="114" t="s">
        <v>771</v>
      </c>
      <c r="D178" s="114" t="s">
        <v>506</v>
      </c>
      <c r="E178" s="114" t="s">
        <v>882</v>
      </c>
      <c r="F178" s="115">
        <v>45237</v>
      </c>
    </row>
    <row r="179" spans="1:7" x14ac:dyDescent="0.35">
      <c r="A179" s="22">
        <v>178</v>
      </c>
      <c r="B179" s="114" t="s">
        <v>988</v>
      </c>
      <c r="C179" s="114" t="s">
        <v>1287</v>
      </c>
      <c r="D179" s="114" t="s">
        <v>989</v>
      </c>
      <c r="E179" s="114" t="s">
        <v>883</v>
      </c>
      <c r="F179" s="115">
        <v>45238</v>
      </c>
      <c r="G179" s="112"/>
    </row>
    <row r="180" spans="1:7" ht="25" x14ac:dyDescent="0.35">
      <c r="A180" s="22">
        <v>179</v>
      </c>
      <c r="B180" s="114" t="s">
        <v>721</v>
      </c>
      <c r="C180" s="114" t="s">
        <v>854</v>
      </c>
      <c r="D180" s="114" t="s">
        <v>503</v>
      </c>
      <c r="E180" s="114" t="s">
        <v>905</v>
      </c>
      <c r="F180" s="115">
        <v>45237</v>
      </c>
    </row>
    <row r="181" spans="1:7" x14ac:dyDescent="0.35">
      <c r="A181" s="22">
        <v>180</v>
      </c>
      <c r="B181" s="114" t="s">
        <v>963</v>
      </c>
      <c r="C181" s="114" t="s">
        <v>1275</v>
      </c>
      <c r="D181" s="114" t="s">
        <v>964</v>
      </c>
      <c r="E181" s="114" t="s">
        <v>894</v>
      </c>
      <c r="F181" s="115">
        <v>45238</v>
      </c>
    </row>
    <row r="182" spans="1:7" ht="25" x14ac:dyDescent="0.35">
      <c r="A182" s="22">
        <v>181</v>
      </c>
      <c r="B182" s="114" t="s">
        <v>1153</v>
      </c>
      <c r="C182" s="114" t="s">
        <v>1364</v>
      </c>
      <c r="D182" s="114" t="s">
        <v>1154</v>
      </c>
      <c r="E182" s="114" t="s">
        <v>1155</v>
      </c>
      <c r="F182" s="115">
        <v>45238</v>
      </c>
    </row>
    <row r="183" spans="1:7" ht="25" x14ac:dyDescent="0.35">
      <c r="A183" s="22">
        <v>182</v>
      </c>
      <c r="B183" s="114" t="s">
        <v>1091</v>
      </c>
      <c r="C183" s="114" t="s">
        <v>1336</v>
      </c>
      <c r="D183" s="114" t="s">
        <v>1092</v>
      </c>
      <c r="E183" s="114" t="s">
        <v>901</v>
      </c>
      <c r="F183" s="115">
        <v>45238</v>
      </c>
    </row>
    <row r="184" spans="1:7" ht="25" x14ac:dyDescent="0.35">
      <c r="A184" s="22">
        <v>183</v>
      </c>
      <c r="B184" s="114" t="s">
        <v>1093</v>
      </c>
      <c r="C184" s="114" t="s">
        <v>1337</v>
      </c>
      <c r="D184" s="114" t="s">
        <v>1094</v>
      </c>
      <c r="E184" s="114" t="s">
        <v>882</v>
      </c>
      <c r="F184" s="115">
        <v>45238</v>
      </c>
      <c r="G184" s="112"/>
    </row>
    <row r="185" spans="1:7" ht="25" x14ac:dyDescent="0.35">
      <c r="A185" s="22">
        <v>184</v>
      </c>
      <c r="B185" s="114" t="s">
        <v>681</v>
      </c>
      <c r="C185" s="114" t="s">
        <v>867</v>
      </c>
      <c r="D185" s="114" t="s">
        <v>441</v>
      </c>
      <c r="E185" s="114" t="s">
        <v>882</v>
      </c>
      <c r="F185" s="115">
        <v>45237</v>
      </c>
      <c r="G185" s="112"/>
    </row>
    <row r="186" spans="1:7" ht="25" x14ac:dyDescent="0.35">
      <c r="A186" s="22">
        <v>185</v>
      </c>
      <c r="B186" s="114" t="s">
        <v>657</v>
      </c>
      <c r="C186" s="114" t="s">
        <v>772</v>
      </c>
      <c r="D186" s="114" t="s">
        <v>455</v>
      </c>
      <c r="E186" s="114" t="s">
        <v>886</v>
      </c>
      <c r="F186" s="115">
        <v>45237</v>
      </c>
      <c r="G186" s="112"/>
    </row>
    <row r="187" spans="1:7" ht="25" x14ac:dyDescent="0.35">
      <c r="A187" s="22">
        <v>186</v>
      </c>
      <c r="B187" s="114" t="s">
        <v>713</v>
      </c>
      <c r="C187" s="114" t="s">
        <v>845</v>
      </c>
      <c r="D187" s="114" t="s">
        <v>482</v>
      </c>
      <c r="E187" s="114" t="s">
        <v>883</v>
      </c>
      <c r="F187" s="115">
        <v>45237</v>
      </c>
    </row>
    <row r="188" spans="1:7" ht="25" x14ac:dyDescent="0.35">
      <c r="A188" s="22">
        <v>187</v>
      </c>
      <c r="B188" s="114" t="s">
        <v>921</v>
      </c>
      <c r="C188" s="114" t="s">
        <v>1257</v>
      </c>
      <c r="D188" s="114" t="s">
        <v>922</v>
      </c>
      <c r="E188" s="114" t="s">
        <v>923</v>
      </c>
      <c r="F188" s="115">
        <v>45238</v>
      </c>
    </row>
    <row r="189" spans="1:7" ht="25" x14ac:dyDescent="0.35">
      <c r="A189" s="22">
        <v>188</v>
      </c>
      <c r="B189" s="114" t="s">
        <v>1188</v>
      </c>
      <c r="C189" s="114" t="s">
        <v>1380</v>
      </c>
      <c r="D189" s="114" t="s">
        <v>1189</v>
      </c>
      <c r="E189" s="114" t="s">
        <v>892</v>
      </c>
      <c r="F189" s="115">
        <v>45238</v>
      </c>
      <c r="G189" s="112"/>
    </row>
    <row r="190" spans="1:7" ht="25" x14ac:dyDescent="0.35">
      <c r="A190" s="22">
        <v>189</v>
      </c>
      <c r="B190" s="114" t="s">
        <v>709</v>
      </c>
      <c r="C190" s="114" t="s">
        <v>823</v>
      </c>
      <c r="D190" s="114" t="s">
        <v>517</v>
      </c>
      <c r="E190" s="114" t="s">
        <v>911</v>
      </c>
      <c r="F190" s="115">
        <v>45237</v>
      </c>
    </row>
    <row r="191" spans="1:7" x14ac:dyDescent="0.35">
      <c r="A191" s="22">
        <v>190</v>
      </c>
      <c r="B191" s="114" t="s">
        <v>930</v>
      </c>
      <c r="C191" s="114" t="s">
        <v>1261</v>
      </c>
      <c r="D191" s="114" t="s">
        <v>931</v>
      </c>
      <c r="E191" s="114" t="s">
        <v>889</v>
      </c>
      <c r="F191" s="115">
        <v>45238</v>
      </c>
    </row>
    <row r="192" spans="1:7" ht="25" x14ac:dyDescent="0.35">
      <c r="A192" s="22">
        <v>191</v>
      </c>
      <c r="B192" s="114" t="s">
        <v>1200</v>
      </c>
      <c r="C192" s="114" t="s">
        <v>1386</v>
      </c>
      <c r="D192" s="114" t="s">
        <v>1201</v>
      </c>
      <c r="E192" s="114" t="s">
        <v>882</v>
      </c>
      <c r="F192" s="115">
        <v>45238</v>
      </c>
      <c r="G192" s="112"/>
    </row>
    <row r="193" spans="1:7" ht="25" x14ac:dyDescent="0.35">
      <c r="A193" s="22">
        <v>192</v>
      </c>
      <c r="B193" s="114" t="s">
        <v>662</v>
      </c>
      <c r="C193" s="114" t="s">
        <v>808</v>
      </c>
      <c r="D193" s="114" t="s">
        <v>448</v>
      </c>
      <c r="E193" s="114" t="s">
        <v>882</v>
      </c>
      <c r="F193" s="115">
        <v>45237</v>
      </c>
    </row>
    <row r="194" spans="1:7" x14ac:dyDescent="0.35">
      <c r="A194" s="22">
        <v>193</v>
      </c>
      <c r="B194" s="114" t="s">
        <v>938</v>
      </c>
      <c r="C194" s="114" t="s">
        <v>1265</v>
      </c>
      <c r="D194" s="114" t="s">
        <v>939</v>
      </c>
      <c r="E194" s="114" t="s">
        <v>889</v>
      </c>
      <c r="F194" s="115">
        <v>45238</v>
      </c>
      <c r="G194" s="112"/>
    </row>
    <row r="195" spans="1:7" x14ac:dyDescent="0.35">
      <c r="A195" s="22">
        <v>194</v>
      </c>
      <c r="B195" s="114" t="s">
        <v>299</v>
      </c>
      <c r="C195" s="114" t="s">
        <v>858</v>
      </c>
      <c r="D195" s="114" t="s">
        <v>466</v>
      </c>
      <c r="E195" s="114" t="s">
        <v>911</v>
      </c>
      <c r="F195" s="115">
        <v>45237</v>
      </c>
    </row>
    <row r="196" spans="1:7" ht="25" x14ac:dyDescent="0.35">
      <c r="A196" s="22">
        <v>195</v>
      </c>
      <c r="B196" s="114" t="s">
        <v>1184</v>
      </c>
      <c r="C196" s="114" t="s">
        <v>1378</v>
      </c>
      <c r="D196" s="114" t="s">
        <v>1185</v>
      </c>
      <c r="E196" s="114" t="s">
        <v>882</v>
      </c>
      <c r="F196" s="115">
        <v>45238</v>
      </c>
    </row>
    <row r="197" spans="1:7" ht="25" x14ac:dyDescent="0.35">
      <c r="A197" s="22">
        <v>196</v>
      </c>
      <c r="B197" s="114" t="s">
        <v>1129</v>
      </c>
      <c r="C197" s="114" t="s">
        <v>1353</v>
      </c>
      <c r="D197" s="114" t="s">
        <v>1130</v>
      </c>
      <c r="E197" s="114" t="s">
        <v>882</v>
      </c>
      <c r="F197" s="115">
        <v>45238</v>
      </c>
    </row>
    <row r="198" spans="1:7" ht="25" x14ac:dyDescent="0.35">
      <c r="A198" s="22">
        <v>197</v>
      </c>
      <c r="B198" s="114" t="s">
        <v>1182</v>
      </c>
      <c r="C198" s="114" t="s">
        <v>1377</v>
      </c>
      <c r="D198" s="114" t="s">
        <v>1183</v>
      </c>
      <c r="E198" s="114" t="s">
        <v>894</v>
      </c>
      <c r="F198" s="115">
        <v>45238</v>
      </c>
    </row>
    <row r="199" spans="1:7" ht="25" x14ac:dyDescent="0.35">
      <c r="A199" s="22">
        <v>198</v>
      </c>
      <c r="B199" s="114" t="s">
        <v>714</v>
      </c>
      <c r="C199" s="114" t="s">
        <v>877</v>
      </c>
      <c r="D199" s="114" t="s">
        <v>509</v>
      </c>
      <c r="E199" s="114" t="s">
        <v>1515</v>
      </c>
      <c r="F199" s="115">
        <v>45237</v>
      </c>
    </row>
    <row r="200" spans="1:7" ht="25" x14ac:dyDescent="0.35">
      <c r="A200" s="22">
        <v>199</v>
      </c>
      <c r="B200" s="114" t="s">
        <v>971</v>
      </c>
      <c r="C200" s="114" t="s">
        <v>1279</v>
      </c>
      <c r="D200" s="114" t="s">
        <v>972</v>
      </c>
      <c r="E200" s="114" t="s">
        <v>883</v>
      </c>
      <c r="F200" s="115">
        <v>45238</v>
      </c>
      <c r="G200" s="112"/>
    </row>
    <row r="201" spans="1:7" ht="25" x14ac:dyDescent="0.35">
      <c r="A201" s="22">
        <v>200</v>
      </c>
      <c r="B201" s="114" t="s">
        <v>276</v>
      </c>
      <c r="C201" s="114" t="s">
        <v>817</v>
      </c>
      <c r="D201" s="114" t="s">
        <v>449</v>
      </c>
      <c r="E201" s="114" t="s">
        <v>894</v>
      </c>
      <c r="F201" s="115">
        <v>45237</v>
      </c>
      <c r="G201" s="112"/>
    </row>
    <row r="202" spans="1:7" ht="25" x14ac:dyDescent="0.35">
      <c r="A202" s="22">
        <v>201</v>
      </c>
      <c r="B202" s="114" t="s">
        <v>247</v>
      </c>
      <c r="C202" s="114" t="s">
        <v>837</v>
      </c>
      <c r="D202" s="114" t="s">
        <v>433</v>
      </c>
      <c r="E202" s="114" t="s">
        <v>894</v>
      </c>
      <c r="F202" s="115">
        <v>45237</v>
      </c>
      <c r="G202" s="112"/>
    </row>
    <row r="203" spans="1:7" ht="25" x14ac:dyDescent="0.35">
      <c r="A203" s="22">
        <v>202</v>
      </c>
      <c r="B203" s="114" t="s">
        <v>266</v>
      </c>
      <c r="C203" s="114" t="s">
        <v>773</v>
      </c>
      <c r="D203" s="114" t="s">
        <v>395</v>
      </c>
      <c r="E203" s="114" t="s">
        <v>896</v>
      </c>
      <c r="F203" s="115">
        <v>45237</v>
      </c>
    </row>
    <row r="204" spans="1:7" ht="25" x14ac:dyDescent="0.35">
      <c r="A204" s="22">
        <v>203</v>
      </c>
      <c r="B204" s="114" t="s">
        <v>932</v>
      </c>
      <c r="C204" s="114" t="s">
        <v>1262</v>
      </c>
      <c r="D204" s="114" t="s">
        <v>933</v>
      </c>
      <c r="E204" s="114" t="s">
        <v>923</v>
      </c>
      <c r="F204" s="115">
        <v>45238</v>
      </c>
    </row>
    <row r="205" spans="1:7" x14ac:dyDescent="0.35">
      <c r="A205" s="22">
        <v>204</v>
      </c>
      <c r="B205" s="114" t="s">
        <v>1131</v>
      </c>
      <c r="C205" s="114" t="s">
        <v>1354</v>
      </c>
      <c r="D205" s="114" t="s">
        <v>1132</v>
      </c>
      <c r="E205" s="114" t="s">
        <v>1499</v>
      </c>
      <c r="F205" s="115">
        <v>45238</v>
      </c>
      <c r="G205" s="112"/>
    </row>
    <row r="206" spans="1:7" x14ac:dyDescent="0.35">
      <c r="A206" s="22">
        <v>205</v>
      </c>
      <c r="B206" s="114" t="s">
        <v>1486</v>
      </c>
      <c r="C206" s="114" t="s">
        <v>818</v>
      </c>
      <c r="D206" s="114" t="s">
        <v>461</v>
      </c>
      <c r="E206" s="114" t="s">
        <v>896</v>
      </c>
      <c r="F206" s="115">
        <v>45237</v>
      </c>
    </row>
    <row r="207" spans="1:7" x14ac:dyDescent="0.35">
      <c r="A207" s="22">
        <v>206</v>
      </c>
      <c r="B207" s="114" t="s">
        <v>973</v>
      </c>
      <c r="C207" s="114" t="s">
        <v>1280</v>
      </c>
      <c r="D207" s="114" t="s">
        <v>974</v>
      </c>
      <c r="E207" s="114" t="s">
        <v>889</v>
      </c>
      <c r="F207" s="115">
        <v>45238</v>
      </c>
      <c r="G207" s="112"/>
    </row>
    <row r="208" spans="1:7" ht="25" x14ac:dyDescent="0.35">
      <c r="A208" s="22">
        <v>207</v>
      </c>
      <c r="B208" s="114" t="s">
        <v>702</v>
      </c>
      <c r="C208" s="114" t="s">
        <v>774</v>
      </c>
      <c r="D208" s="114" t="s">
        <v>521</v>
      </c>
      <c r="E208" s="114" t="s">
        <v>889</v>
      </c>
      <c r="F208" s="115">
        <v>45237</v>
      </c>
      <c r="G208" s="112"/>
    </row>
    <row r="209" spans="1:7" ht="25" x14ac:dyDescent="0.35">
      <c r="A209" s="22">
        <v>208</v>
      </c>
      <c r="B209" s="114" t="s">
        <v>297</v>
      </c>
      <c r="C209" s="114" t="s">
        <v>775</v>
      </c>
      <c r="D209" s="114" t="s">
        <v>464</v>
      </c>
      <c r="E209" s="114" t="s">
        <v>889</v>
      </c>
      <c r="F209" s="115">
        <v>45237</v>
      </c>
      <c r="G209" s="112"/>
    </row>
    <row r="210" spans="1:7" ht="25" x14ac:dyDescent="0.35">
      <c r="A210" s="22">
        <v>209</v>
      </c>
      <c r="B210" s="114" t="s">
        <v>336</v>
      </c>
      <c r="C210" s="114" t="s">
        <v>838</v>
      </c>
      <c r="D210" s="114" t="s">
        <v>487</v>
      </c>
      <c r="E210" s="114" t="s">
        <v>894</v>
      </c>
      <c r="F210" s="115">
        <v>45237</v>
      </c>
      <c r="G210" s="112"/>
    </row>
    <row r="211" spans="1:7" x14ac:dyDescent="0.35">
      <c r="A211" s="22">
        <v>210</v>
      </c>
      <c r="B211" s="114" t="s">
        <v>680</v>
      </c>
      <c r="C211" s="114" t="s">
        <v>800</v>
      </c>
      <c r="D211" s="114" t="s">
        <v>1500</v>
      </c>
      <c r="E211" s="114" t="s">
        <v>899</v>
      </c>
      <c r="F211" s="115">
        <v>45237</v>
      </c>
      <c r="G211" s="112"/>
    </row>
    <row r="212" spans="1:7" x14ac:dyDescent="0.35">
      <c r="A212" s="22">
        <v>211</v>
      </c>
      <c r="B212" s="114" t="s">
        <v>356</v>
      </c>
      <c r="C212" s="114" t="s">
        <v>846</v>
      </c>
      <c r="D212" s="114" t="s">
        <v>421</v>
      </c>
      <c r="E212" s="114" t="s">
        <v>911</v>
      </c>
      <c r="F212" s="115">
        <v>45237</v>
      </c>
    </row>
    <row r="213" spans="1:7" x14ac:dyDescent="0.35">
      <c r="A213" s="22">
        <v>212</v>
      </c>
      <c r="B213" s="114" t="s">
        <v>1004</v>
      </c>
      <c r="C213" s="114" t="s">
        <v>1295</v>
      </c>
      <c r="D213" s="114" t="s">
        <v>1005</v>
      </c>
      <c r="E213" s="114" t="s">
        <v>892</v>
      </c>
      <c r="F213" s="115">
        <v>45238</v>
      </c>
      <c r="G213" s="112"/>
    </row>
    <row r="214" spans="1:7" ht="25" x14ac:dyDescent="0.35">
      <c r="A214" s="22">
        <v>213</v>
      </c>
      <c r="B214" s="114" t="s">
        <v>255</v>
      </c>
      <c r="C214" s="114" t="s">
        <v>805</v>
      </c>
      <c r="D214" s="114" t="s">
        <v>390</v>
      </c>
      <c r="E214" s="114" t="s">
        <v>901</v>
      </c>
      <c r="F214" s="115">
        <v>45237</v>
      </c>
    </row>
    <row r="215" spans="1:7" ht="25" x14ac:dyDescent="0.35">
      <c r="A215" s="22">
        <v>214</v>
      </c>
      <c r="B215" s="114" t="s">
        <v>1073</v>
      </c>
      <c r="C215" s="114" t="s">
        <v>1327</v>
      </c>
      <c r="D215" s="114" t="s">
        <v>1074</v>
      </c>
      <c r="E215" s="114" t="s">
        <v>887</v>
      </c>
      <c r="F215" s="115">
        <v>45238</v>
      </c>
    </row>
    <row r="216" spans="1:7" x14ac:dyDescent="0.35">
      <c r="A216" s="22">
        <v>215</v>
      </c>
      <c r="B216" s="114" t="s">
        <v>934</v>
      </c>
      <c r="C216" s="114" t="s">
        <v>1263</v>
      </c>
      <c r="D216" s="114" t="s">
        <v>935</v>
      </c>
      <c r="E216" s="114" t="s">
        <v>916</v>
      </c>
      <c r="F216" s="115">
        <v>45238</v>
      </c>
      <c r="G216" s="112"/>
    </row>
    <row r="217" spans="1:7" x14ac:dyDescent="0.35">
      <c r="A217" s="22">
        <v>216</v>
      </c>
      <c r="B217" s="114" t="s">
        <v>666</v>
      </c>
      <c r="C217" s="114" t="s">
        <v>776</v>
      </c>
      <c r="D217" s="114" t="s">
        <v>393</v>
      </c>
      <c r="E217" s="114" t="s">
        <v>894</v>
      </c>
      <c r="F217" s="115">
        <v>45237</v>
      </c>
      <c r="G217" s="112"/>
    </row>
    <row r="218" spans="1:7" ht="25" x14ac:dyDescent="0.35">
      <c r="A218" s="22">
        <v>217</v>
      </c>
      <c r="B218" s="114" t="s">
        <v>344</v>
      </c>
      <c r="C218" s="114" t="s">
        <v>777</v>
      </c>
      <c r="D218" s="114" t="s">
        <v>493</v>
      </c>
      <c r="E218" s="114" t="s">
        <v>890</v>
      </c>
      <c r="F218" s="115">
        <v>45237</v>
      </c>
      <c r="G218" s="112"/>
    </row>
    <row r="219" spans="1:7" ht="25" x14ac:dyDescent="0.35">
      <c r="A219" s="22">
        <v>218</v>
      </c>
      <c r="B219" s="114" t="s">
        <v>661</v>
      </c>
      <c r="C219" s="114" t="s">
        <v>868</v>
      </c>
      <c r="D219" s="114" t="s">
        <v>443</v>
      </c>
      <c r="E219" s="114" t="s">
        <v>894</v>
      </c>
      <c r="F219" s="115">
        <v>45237</v>
      </c>
      <c r="G219" s="112"/>
    </row>
    <row r="220" spans="1:7" x14ac:dyDescent="0.35">
      <c r="A220" s="22">
        <v>219</v>
      </c>
      <c r="B220" s="114" t="s">
        <v>242</v>
      </c>
      <c r="C220" s="114" t="s">
        <v>778</v>
      </c>
      <c r="D220" s="114" t="s">
        <v>428</v>
      </c>
      <c r="E220" s="114" t="s">
        <v>905</v>
      </c>
      <c r="F220" s="115">
        <v>45237</v>
      </c>
      <c r="G220" s="112"/>
    </row>
    <row r="221" spans="1:7" ht="25" x14ac:dyDescent="0.35">
      <c r="A221" s="22">
        <v>220</v>
      </c>
      <c r="B221" s="114" t="s">
        <v>354</v>
      </c>
      <c r="C221" s="114" t="s">
        <v>833</v>
      </c>
      <c r="D221" s="114" t="s">
        <v>500</v>
      </c>
      <c r="E221" s="114" t="s">
        <v>912</v>
      </c>
      <c r="F221" s="115">
        <v>45237</v>
      </c>
      <c r="G221" s="112"/>
    </row>
    <row r="222" spans="1:7" ht="25" x14ac:dyDescent="0.35">
      <c r="A222" s="22">
        <v>221</v>
      </c>
      <c r="B222" s="114" t="s">
        <v>273</v>
      </c>
      <c r="C222" s="114" t="s">
        <v>779</v>
      </c>
      <c r="D222" s="114" t="s">
        <v>447</v>
      </c>
      <c r="E222" s="114" t="s">
        <v>889</v>
      </c>
      <c r="F222" s="115">
        <v>45237</v>
      </c>
    </row>
    <row r="223" spans="1:7" ht="25" x14ac:dyDescent="0.35">
      <c r="A223" s="22">
        <v>222</v>
      </c>
      <c r="B223" s="114" t="s">
        <v>1239</v>
      </c>
      <c r="C223" s="114" t="s">
        <v>1403</v>
      </c>
      <c r="D223" s="114" t="s">
        <v>1240</v>
      </c>
      <c r="E223" s="114" t="s">
        <v>894</v>
      </c>
      <c r="F223" s="115">
        <v>45238</v>
      </c>
      <c r="G223" s="112"/>
    </row>
    <row r="224" spans="1:7" x14ac:dyDescent="0.35">
      <c r="A224" s="22">
        <v>223</v>
      </c>
      <c r="B224" s="114" t="s">
        <v>257</v>
      </c>
      <c r="C224" s="114" t="s">
        <v>839</v>
      </c>
      <c r="D224" s="114" t="s">
        <v>439</v>
      </c>
      <c r="E224" s="114" t="s">
        <v>913</v>
      </c>
      <c r="F224" s="115">
        <v>45237</v>
      </c>
      <c r="G224" s="112"/>
    </row>
    <row r="225" spans="1:7" ht="25" x14ac:dyDescent="0.35">
      <c r="A225" s="22">
        <v>224</v>
      </c>
      <c r="B225" s="114" t="s">
        <v>719</v>
      </c>
      <c r="C225" s="114" t="s">
        <v>780</v>
      </c>
      <c r="D225" s="114" t="s">
        <v>519</v>
      </c>
      <c r="E225" s="114" t="s">
        <v>894</v>
      </c>
      <c r="F225" s="115">
        <v>45237</v>
      </c>
    </row>
    <row r="226" spans="1:7" ht="25" x14ac:dyDescent="0.35">
      <c r="A226" s="22">
        <v>225</v>
      </c>
      <c r="B226" s="114" t="s">
        <v>990</v>
      </c>
      <c r="C226" s="114" t="s">
        <v>1288</v>
      </c>
      <c r="D226" s="114" t="s">
        <v>991</v>
      </c>
      <c r="E226" s="114" t="s">
        <v>1516</v>
      </c>
      <c r="F226" s="115">
        <v>45238</v>
      </c>
    </row>
    <row r="227" spans="1:7" ht="25" x14ac:dyDescent="0.35">
      <c r="A227" s="22">
        <v>226</v>
      </c>
      <c r="B227" s="114" t="s">
        <v>992</v>
      </c>
      <c r="C227" s="114" t="s">
        <v>1289</v>
      </c>
      <c r="D227" s="114" t="s">
        <v>993</v>
      </c>
      <c r="E227" s="114" t="s">
        <v>894</v>
      </c>
      <c r="F227" s="115">
        <v>45238</v>
      </c>
    </row>
    <row r="228" spans="1:7" ht="25" x14ac:dyDescent="0.35">
      <c r="A228" s="22">
        <v>227</v>
      </c>
      <c r="B228" s="114" t="s">
        <v>1156</v>
      </c>
      <c r="C228" s="114" t="s">
        <v>1365</v>
      </c>
      <c r="D228" s="114" t="s">
        <v>1157</v>
      </c>
      <c r="E228" s="114" t="s">
        <v>909</v>
      </c>
      <c r="F228" s="115">
        <v>45238</v>
      </c>
    </row>
    <row r="229" spans="1:7" ht="25" x14ac:dyDescent="0.35">
      <c r="A229" s="22">
        <v>228</v>
      </c>
      <c r="B229" s="114" t="s">
        <v>940</v>
      </c>
      <c r="C229" s="114" t="s">
        <v>1266</v>
      </c>
      <c r="D229" s="114" t="s">
        <v>941</v>
      </c>
      <c r="E229" s="114" t="s">
        <v>942</v>
      </c>
      <c r="F229" s="115">
        <v>45238</v>
      </c>
    </row>
    <row r="230" spans="1:7" ht="25" x14ac:dyDescent="0.35">
      <c r="A230" s="22">
        <v>229</v>
      </c>
      <c r="B230" s="114" t="s">
        <v>1006</v>
      </c>
      <c r="C230" s="114" t="s">
        <v>1296</v>
      </c>
      <c r="D230" s="114" t="s">
        <v>1007</v>
      </c>
      <c r="E230" s="114" t="s">
        <v>909</v>
      </c>
      <c r="F230" s="115">
        <v>45238</v>
      </c>
      <c r="G230" s="112"/>
    </row>
    <row r="231" spans="1:7" ht="25" x14ac:dyDescent="0.35">
      <c r="A231" s="22">
        <v>230</v>
      </c>
      <c r="B231" s="114" t="s">
        <v>695</v>
      </c>
      <c r="C231" s="114" t="s">
        <v>824</v>
      </c>
      <c r="D231" s="114" t="s">
        <v>485</v>
      </c>
      <c r="E231" s="114" t="s">
        <v>894</v>
      </c>
      <c r="F231" s="115">
        <v>45237</v>
      </c>
      <c r="G231" s="112"/>
    </row>
    <row r="232" spans="1:7" ht="25" x14ac:dyDescent="0.35">
      <c r="A232" s="22">
        <v>231</v>
      </c>
      <c r="B232" s="114" t="s">
        <v>282</v>
      </c>
      <c r="C232" s="114" t="s">
        <v>781</v>
      </c>
      <c r="D232" s="114" t="s">
        <v>401</v>
      </c>
      <c r="E232" s="114" t="s">
        <v>888</v>
      </c>
      <c r="F232" s="115">
        <v>45237</v>
      </c>
      <c r="G232" s="112"/>
    </row>
    <row r="233" spans="1:7" ht="25" x14ac:dyDescent="0.35">
      <c r="A233" s="22">
        <v>232</v>
      </c>
      <c r="B233" s="114" t="s">
        <v>653</v>
      </c>
      <c r="C233" s="114" t="s">
        <v>782</v>
      </c>
      <c r="D233" s="114" t="s">
        <v>392</v>
      </c>
      <c r="E233" s="114" t="s">
        <v>909</v>
      </c>
      <c r="F233" s="115">
        <v>45237</v>
      </c>
    </row>
    <row r="234" spans="1:7" ht="25" x14ac:dyDescent="0.35">
      <c r="A234" s="22">
        <v>233</v>
      </c>
      <c r="B234" s="114" t="s">
        <v>953</v>
      </c>
      <c r="C234" s="114" t="s">
        <v>1271</v>
      </c>
      <c r="D234" s="114" t="s">
        <v>954</v>
      </c>
      <c r="E234" s="114" t="s">
        <v>955</v>
      </c>
      <c r="F234" s="115">
        <v>45238</v>
      </c>
    </row>
    <row r="235" spans="1:7" x14ac:dyDescent="0.35">
      <c r="A235" s="22">
        <v>234</v>
      </c>
      <c r="B235" s="114" t="s">
        <v>967</v>
      </c>
      <c r="C235" s="114" t="s">
        <v>1277</v>
      </c>
      <c r="D235" s="114" t="s">
        <v>968</v>
      </c>
      <c r="E235" s="114" t="s">
        <v>882</v>
      </c>
      <c r="F235" s="115">
        <v>45238</v>
      </c>
    </row>
    <row r="236" spans="1:7" x14ac:dyDescent="0.35">
      <c r="A236" s="22">
        <v>235</v>
      </c>
      <c r="B236" s="114" t="s">
        <v>994</v>
      </c>
      <c r="C236" s="114" t="s">
        <v>1290</v>
      </c>
      <c r="D236" s="114" t="s">
        <v>995</v>
      </c>
      <c r="E236" s="114" t="s">
        <v>882</v>
      </c>
      <c r="F236" s="115">
        <v>45238</v>
      </c>
      <c r="G236" s="112"/>
    </row>
    <row r="237" spans="1:7" ht="25" x14ac:dyDescent="0.35">
      <c r="A237" s="22">
        <v>236</v>
      </c>
      <c r="B237" s="114" t="s">
        <v>720</v>
      </c>
      <c r="C237" s="114" t="s">
        <v>849</v>
      </c>
      <c r="D237" s="114" t="s">
        <v>1510</v>
      </c>
      <c r="E237" s="114" t="s">
        <v>899</v>
      </c>
      <c r="F237" s="115">
        <v>45237</v>
      </c>
    </row>
    <row r="238" spans="1:7" x14ac:dyDescent="0.35">
      <c r="A238" s="22">
        <v>237</v>
      </c>
      <c r="B238" s="114" t="s">
        <v>1022</v>
      </c>
      <c r="C238" s="114" t="s">
        <v>1304</v>
      </c>
      <c r="D238" s="114" t="s">
        <v>1023</v>
      </c>
      <c r="E238" s="114" t="s">
        <v>942</v>
      </c>
      <c r="F238" s="115">
        <v>45238</v>
      </c>
    </row>
    <row r="239" spans="1:7" ht="25" x14ac:dyDescent="0.35">
      <c r="A239" s="22">
        <v>238</v>
      </c>
      <c r="B239" s="114" t="s">
        <v>1095</v>
      </c>
      <c r="C239" s="114" t="s">
        <v>1338</v>
      </c>
      <c r="D239" s="114" t="s">
        <v>1096</v>
      </c>
      <c r="E239" s="114" t="s">
        <v>886</v>
      </c>
      <c r="F239" s="115">
        <v>45238</v>
      </c>
      <c r="G239" s="112"/>
    </row>
    <row r="240" spans="1:7" ht="25" x14ac:dyDescent="0.35">
      <c r="A240" s="22">
        <v>239</v>
      </c>
      <c r="B240" s="114" t="s">
        <v>712</v>
      </c>
      <c r="C240" s="114" t="s">
        <v>855</v>
      </c>
      <c r="D240" s="114" t="s">
        <v>407</v>
      </c>
      <c r="E240" s="114" t="s">
        <v>882</v>
      </c>
      <c r="F240" s="115">
        <v>45237</v>
      </c>
    </row>
    <row r="241" spans="1:7" x14ac:dyDescent="0.35">
      <c r="A241" s="22">
        <v>240</v>
      </c>
      <c r="B241" s="114" t="s">
        <v>1243</v>
      </c>
      <c r="C241" s="114" t="s">
        <v>1405</v>
      </c>
      <c r="D241" s="114" t="s">
        <v>1244</v>
      </c>
      <c r="E241" s="114" t="s">
        <v>885</v>
      </c>
      <c r="F241" s="115">
        <v>45238</v>
      </c>
      <c r="G241" s="112"/>
    </row>
    <row r="242" spans="1:7" ht="25" x14ac:dyDescent="0.35">
      <c r="A242" s="22">
        <v>241</v>
      </c>
      <c r="B242" s="114" t="s">
        <v>342</v>
      </c>
      <c r="C242" s="114" t="s">
        <v>783</v>
      </c>
      <c r="D242" s="114" t="s">
        <v>491</v>
      </c>
      <c r="E242" s="114" t="s">
        <v>914</v>
      </c>
      <c r="F242" s="115">
        <v>45237</v>
      </c>
      <c r="G242" s="112"/>
    </row>
    <row r="243" spans="1:7" ht="25" x14ac:dyDescent="0.35">
      <c r="A243" s="22">
        <v>242</v>
      </c>
      <c r="B243" s="114" t="s">
        <v>1508</v>
      </c>
      <c r="C243" s="114" t="s">
        <v>847</v>
      </c>
      <c r="D243" s="114" t="s">
        <v>1509</v>
      </c>
      <c r="E243" s="114" t="s">
        <v>899</v>
      </c>
      <c r="F243" s="115">
        <v>45237</v>
      </c>
      <c r="G243" s="112"/>
    </row>
    <row r="244" spans="1:7" ht="25" x14ac:dyDescent="0.35">
      <c r="A244" s="22">
        <v>243</v>
      </c>
      <c r="B244" s="114" t="s">
        <v>682</v>
      </c>
      <c r="C244" s="114" t="s">
        <v>856</v>
      </c>
      <c r="D244" s="114" t="s">
        <v>520</v>
      </c>
      <c r="E244" s="114" t="s">
        <v>915</v>
      </c>
      <c r="F244" s="115">
        <v>45237</v>
      </c>
      <c r="G244" s="112"/>
    </row>
    <row r="245" spans="1:7" x14ac:dyDescent="0.35">
      <c r="A245" s="22">
        <v>244</v>
      </c>
      <c r="B245" s="114" t="s">
        <v>694</v>
      </c>
      <c r="C245" s="114" t="s">
        <v>869</v>
      </c>
      <c r="D245" s="114" t="s">
        <v>507</v>
      </c>
      <c r="E245" s="114" t="s">
        <v>889</v>
      </c>
      <c r="F245" s="115">
        <v>45237</v>
      </c>
    </row>
    <row r="246" spans="1:7" ht="25" x14ac:dyDescent="0.35">
      <c r="A246" s="22">
        <v>245</v>
      </c>
      <c r="B246" s="114" t="s">
        <v>996</v>
      </c>
      <c r="C246" s="114" t="s">
        <v>1291</v>
      </c>
      <c r="D246" s="114" t="s">
        <v>997</v>
      </c>
      <c r="E246" s="114" t="s">
        <v>889</v>
      </c>
      <c r="F246" s="115">
        <v>45238</v>
      </c>
      <c r="G246" s="112"/>
    </row>
    <row r="247" spans="1:7" ht="25" x14ac:dyDescent="0.35">
      <c r="A247" s="22">
        <v>246</v>
      </c>
      <c r="B247" s="114" t="s">
        <v>715</v>
      </c>
      <c r="C247" s="114" t="s">
        <v>834</v>
      </c>
      <c r="D247" s="114" t="s">
        <v>505</v>
      </c>
      <c r="E247" s="114" t="s">
        <v>908</v>
      </c>
      <c r="F247" s="115">
        <v>45237</v>
      </c>
    </row>
    <row r="248" spans="1:7" ht="25" x14ac:dyDescent="0.35">
      <c r="A248" s="22">
        <v>247</v>
      </c>
      <c r="B248" s="114" t="s">
        <v>975</v>
      </c>
      <c r="C248" s="114" t="s">
        <v>1281</v>
      </c>
      <c r="D248" s="114" t="s">
        <v>976</v>
      </c>
      <c r="E248" s="114" t="s">
        <v>977</v>
      </c>
      <c r="F248" s="115">
        <v>45238</v>
      </c>
      <c r="G248" s="112"/>
    </row>
    <row r="249" spans="1:7" ht="25" x14ac:dyDescent="0.35">
      <c r="A249" s="22">
        <v>248</v>
      </c>
      <c r="B249" s="114" t="s">
        <v>686</v>
      </c>
      <c r="C249" s="114" t="s">
        <v>784</v>
      </c>
      <c r="D249" s="114" t="s">
        <v>1493</v>
      </c>
      <c r="E249" s="114" t="s">
        <v>887</v>
      </c>
      <c r="F249" s="115">
        <v>45237</v>
      </c>
    </row>
    <row r="250" spans="1:7" x14ac:dyDescent="0.35">
      <c r="A250" s="22">
        <v>249</v>
      </c>
      <c r="B250" s="114" t="s">
        <v>1255</v>
      </c>
      <c r="C250" s="114" t="s">
        <v>1411</v>
      </c>
      <c r="D250" s="114" t="s">
        <v>1256</v>
      </c>
      <c r="E250" s="114" t="s">
        <v>899</v>
      </c>
      <c r="F250" s="115">
        <v>45238</v>
      </c>
      <c r="G250" s="112"/>
    </row>
    <row r="251" spans="1:7" ht="25" x14ac:dyDescent="0.35">
      <c r="A251" s="22">
        <v>250</v>
      </c>
      <c r="B251" s="114" t="s">
        <v>583</v>
      </c>
      <c r="C251" s="114" t="s">
        <v>870</v>
      </c>
      <c r="D251" s="114" t="s">
        <v>452</v>
      </c>
      <c r="E251" s="114" t="s">
        <v>916</v>
      </c>
      <c r="F251" s="115">
        <v>45237</v>
      </c>
    </row>
    <row r="252" spans="1:7" x14ac:dyDescent="0.35">
      <c r="A252" s="22">
        <v>251</v>
      </c>
      <c r="B252" s="114" t="s">
        <v>1133</v>
      </c>
      <c r="C252" s="114" t="s">
        <v>1355</v>
      </c>
      <c r="D252" s="114" t="s">
        <v>1134</v>
      </c>
      <c r="E252" s="114" t="s">
        <v>1135</v>
      </c>
      <c r="F252" s="115">
        <v>45238</v>
      </c>
      <c r="G252" s="112"/>
    </row>
    <row r="253" spans="1:7" x14ac:dyDescent="0.35">
      <c r="A253" s="22">
        <v>252</v>
      </c>
      <c r="B253" s="114" t="s">
        <v>676</v>
      </c>
      <c r="C253" s="114" t="s">
        <v>874</v>
      </c>
      <c r="D253" s="114" t="s">
        <v>1513</v>
      </c>
      <c r="E253" s="114" t="s">
        <v>1514</v>
      </c>
      <c r="F253" s="115">
        <v>45237</v>
      </c>
    </row>
    <row r="254" spans="1:7" x14ac:dyDescent="0.35">
      <c r="A254" s="22">
        <v>253</v>
      </c>
      <c r="B254" s="114" t="s">
        <v>969</v>
      </c>
      <c r="C254" s="114" t="s">
        <v>1278</v>
      </c>
      <c r="D254" s="114" t="s">
        <v>970</v>
      </c>
      <c r="E254" s="114" t="s">
        <v>945</v>
      </c>
      <c r="F254" s="115">
        <v>45238</v>
      </c>
      <c r="G254" s="112"/>
    </row>
    <row r="255" spans="1:7" x14ac:dyDescent="0.35">
      <c r="A255" s="22">
        <v>254</v>
      </c>
      <c r="B255" s="114" t="s">
        <v>697</v>
      </c>
      <c r="C255" s="114" t="s">
        <v>875</v>
      </c>
      <c r="D255" s="114" t="s">
        <v>514</v>
      </c>
      <c r="E255" s="114" t="s">
        <v>885</v>
      </c>
      <c r="F255" s="115">
        <v>45237</v>
      </c>
      <c r="G255" s="112"/>
    </row>
    <row r="256" spans="1:7" x14ac:dyDescent="0.35">
      <c r="A256" s="22">
        <v>255</v>
      </c>
      <c r="B256" s="114" t="s">
        <v>696</v>
      </c>
      <c r="C256" s="114" t="s">
        <v>819</v>
      </c>
      <c r="D256" s="114" t="s">
        <v>465</v>
      </c>
      <c r="E256" s="114" t="s">
        <v>883</v>
      </c>
      <c r="F256" s="115">
        <v>45237</v>
      </c>
      <c r="G256" s="112"/>
    </row>
    <row r="257" spans="1:7" x14ac:dyDescent="0.35">
      <c r="A257" s="22">
        <v>256</v>
      </c>
      <c r="B257" s="114" t="s">
        <v>710</v>
      </c>
      <c r="C257" s="114" t="s">
        <v>825</v>
      </c>
      <c r="D257" s="114" t="s">
        <v>411</v>
      </c>
      <c r="E257" s="114" t="s">
        <v>917</v>
      </c>
      <c r="F257" s="115">
        <v>45237</v>
      </c>
      <c r="G257" s="112"/>
    </row>
    <row r="258" spans="1:7" ht="25" x14ac:dyDescent="0.35">
      <c r="A258" s="22">
        <v>257</v>
      </c>
      <c r="B258" s="114" t="s">
        <v>329</v>
      </c>
      <c r="C258" s="114" t="s">
        <v>785</v>
      </c>
      <c r="D258" s="114" t="s">
        <v>410</v>
      </c>
      <c r="E258" s="114" t="s">
        <v>920</v>
      </c>
      <c r="F258" s="115">
        <v>45237</v>
      </c>
    </row>
    <row r="259" spans="1:7" x14ac:dyDescent="0.35">
      <c r="A259" s="22">
        <v>258</v>
      </c>
      <c r="B259" s="114" t="s">
        <v>1059</v>
      </c>
      <c r="C259" s="114" t="s">
        <v>1321</v>
      </c>
      <c r="D259" s="114" t="s">
        <v>1060</v>
      </c>
      <c r="E259" s="114" t="s">
        <v>889</v>
      </c>
      <c r="F259" s="115">
        <v>45238</v>
      </c>
      <c r="G259" s="112"/>
    </row>
    <row r="260" spans="1:7" ht="25" x14ac:dyDescent="0.35">
      <c r="A260" s="22">
        <v>259</v>
      </c>
      <c r="B260" s="114" t="s">
        <v>581</v>
      </c>
      <c r="C260" s="114" t="s">
        <v>786</v>
      </c>
      <c r="D260" s="114" t="s">
        <v>416</v>
      </c>
      <c r="E260" s="114" t="s">
        <v>883</v>
      </c>
      <c r="F260" s="115">
        <v>45237</v>
      </c>
    </row>
    <row r="261" spans="1:7" ht="25" x14ac:dyDescent="0.35">
      <c r="A261" s="22">
        <v>260</v>
      </c>
      <c r="B261" s="114" t="s">
        <v>1061</v>
      </c>
      <c r="C261" s="114" t="s">
        <v>1322</v>
      </c>
      <c r="D261" s="114" t="s">
        <v>1062</v>
      </c>
      <c r="E261" s="114" t="s">
        <v>1063</v>
      </c>
      <c r="F261" s="115">
        <v>45238</v>
      </c>
    </row>
    <row r="262" spans="1:7" ht="25" x14ac:dyDescent="0.35">
      <c r="A262" s="22">
        <v>261</v>
      </c>
      <c r="B262" s="114" t="s">
        <v>1192</v>
      </c>
      <c r="C262" s="114" t="s">
        <v>1382</v>
      </c>
      <c r="D262" s="114" t="s">
        <v>1193</v>
      </c>
      <c r="E262" s="114" t="s">
        <v>894</v>
      </c>
      <c r="F262" s="115">
        <v>45238</v>
      </c>
      <c r="G262" s="112"/>
    </row>
    <row r="263" spans="1:7" x14ac:dyDescent="0.35">
      <c r="A263" s="22">
        <v>262</v>
      </c>
      <c r="B263" s="114" t="s">
        <v>706</v>
      </c>
      <c r="C263" s="114" t="s">
        <v>788</v>
      </c>
      <c r="D263" s="114" t="s">
        <v>513</v>
      </c>
      <c r="E263" s="114" t="s">
        <v>1494</v>
      </c>
      <c r="F263" s="115">
        <v>45237</v>
      </c>
    </row>
    <row r="264" spans="1:7" ht="25" x14ac:dyDescent="0.35">
      <c r="A264" s="22">
        <v>263</v>
      </c>
      <c r="B264" s="114" t="s">
        <v>1044</v>
      </c>
      <c r="C264" s="114" t="s">
        <v>1314</v>
      </c>
      <c r="D264" s="114" t="s">
        <v>1045</v>
      </c>
      <c r="E264" s="114" t="s">
        <v>1517</v>
      </c>
      <c r="F264" s="115">
        <v>45238</v>
      </c>
      <c r="G264" s="112"/>
    </row>
    <row r="265" spans="1:7" x14ac:dyDescent="0.35">
      <c r="A265" s="22">
        <v>264</v>
      </c>
      <c r="B265" s="114" t="s">
        <v>663</v>
      </c>
      <c r="C265" s="114" t="s">
        <v>789</v>
      </c>
      <c r="D265" s="114" t="s">
        <v>388</v>
      </c>
      <c r="E265" s="114" t="s">
        <v>882</v>
      </c>
      <c r="F265" s="115">
        <v>45237</v>
      </c>
    </row>
    <row r="266" spans="1:7" ht="25" x14ac:dyDescent="0.35">
      <c r="A266" s="22">
        <v>265</v>
      </c>
      <c r="B266" s="114" t="s">
        <v>1202</v>
      </c>
      <c r="C266" s="114" t="s">
        <v>1387</v>
      </c>
      <c r="D266" s="114" t="s">
        <v>1203</v>
      </c>
      <c r="E266" s="114" t="s">
        <v>894</v>
      </c>
      <c r="F266" s="115">
        <v>45238</v>
      </c>
    </row>
    <row r="267" spans="1:7" ht="25" x14ac:dyDescent="0.35">
      <c r="A267" s="22">
        <v>266</v>
      </c>
      <c r="B267" s="114" t="s">
        <v>1249</v>
      </c>
      <c r="C267" s="114" t="s">
        <v>1408</v>
      </c>
      <c r="D267" s="114" t="s">
        <v>1250</v>
      </c>
      <c r="E267" s="114" t="s">
        <v>955</v>
      </c>
      <c r="F267" s="115">
        <v>45238</v>
      </c>
      <c r="G267" s="112"/>
    </row>
    <row r="268" spans="1:7" ht="25" x14ac:dyDescent="0.35">
      <c r="A268" s="22">
        <v>267</v>
      </c>
      <c r="B268" s="114" t="s">
        <v>650</v>
      </c>
      <c r="C268" s="114" t="s">
        <v>790</v>
      </c>
      <c r="D268" s="114" t="s">
        <v>394</v>
      </c>
      <c r="E268" s="114" t="s">
        <v>887</v>
      </c>
      <c r="F268" s="115">
        <v>45237</v>
      </c>
    </row>
    <row r="269" spans="1:7" ht="25" x14ac:dyDescent="0.35">
      <c r="A269" s="22">
        <v>268</v>
      </c>
      <c r="B269" s="114" t="s">
        <v>1158</v>
      </c>
      <c r="C269" s="114" t="s">
        <v>1366</v>
      </c>
      <c r="D269" s="114" t="s">
        <v>1159</v>
      </c>
      <c r="E269" s="114" t="s">
        <v>895</v>
      </c>
      <c r="F269" s="115">
        <v>45238</v>
      </c>
    </row>
    <row r="270" spans="1:7" x14ac:dyDescent="0.35">
      <c r="A270" s="22">
        <v>269</v>
      </c>
      <c r="B270" s="21" t="s">
        <v>1474</v>
      </c>
      <c r="C270" s="115"/>
      <c r="D270" s="21" t="s">
        <v>1525</v>
      </c>
      <c r="E270" s="21" t="s">
        <v>916</v>
      </c>
      <c r="F270" s="115">
        <v>45238</v>
      </c>
      <c r="G270" s="112"/>
    </row>
    <row r="271" spans="1:7" ht="25" x14ac:dyDescent="0.35">
      <c r="A271" s="22">
        <v>270</v>
      </c>
      <c r="B271" s="114" t="s">
        <v>1169</v>
      </c>
      <c r="C271" s="114" t="s">
        <v>1371</v>
      </c>
      <c r="D271" s="114" t="s">
        <v>1170</v>
      </c>
      <c r="E271" s="114" t="s">
        <v>894</v>
      </c>
      <c r="F271" s="115">
        <v>45238</v>
      </c>
      <c r="G271" s="112"/>
    </row>
    <row r="272" spans="1:7" ht="25" x14ac:dyDescent="0.35">
      <c r="A272" s="22">
        <v>271</v>
      </c>
      <c r="B272" s="114" t="s">
        <v>318</v>
      </c>
      <c r="C272" s="114" t="s">
        <v>791</v>
      </c>
      <c r="D272" s="114" t="s">
        <v>406</v>
      </c>
      <c r="E272" s="114" t="s">
        <v>1495</v>
      </c>
      <c r="F272" s="115">
        <v>45237</v>
      </c>
    </row>
    <row r="273" spans="1:7" x14ac:dyDescent="0.35">
      <c r="A273" s="22">
        <v>272</v>
      </c>
      <c r="B273" s="21" t="s">
        <v>688</v>
      </c>
      <c r="C273" s="21" t="s">
        <v>792</v>
      </c>
      <c r="D273" s="22" t="s">
        <v>1496</v>
      </c>
      <c r="E273" s="114" t="s">
        <v>886</v>
      </c>
      <c r="F273" s="115">
        <v>45237</v>
      </c>
    </row>
    <row r="274" spans="1:7" x14ac:dyDescent="0.35">
      <c r="A274" s="22">
        <v>273</v>
      </c>
      <c r="B274" s="114" t="s">
        <v>978</v>
      </c>
      <c r="C274" s="114" t="s">
        <v>1282</v>
      </c>
      <c r="D274" s="114" t="s">
        <v>979</v>
      </c>
      <c r="E274" s="114" t="s">
        <v>899</v>
      </c>
      <c r="F274" s="115">
        <v>45238</v>
      </c>
    </row>
    <row r="275" spans="1:7" ht="25" x14ac:dyDescent="0.35">
      <c r="A275" s="22">
        <v>274</v>
      </c>
      <c r="B275" s="114" t="s">
        <v>1175</v>
      </c>
      <c r="C275" s="114" t="s">
        <v>1374</v>
      </c>
      <c r="D275" s="114" t="s">
        <v>1176</v>
      </c>
      <c r="E275" s="114" t="s">
        <v>1177</v>
      </c>
      <c r="F275" s="115">
        <v>45238</v>
      </c>
    </row>
    <row r="276" spans="1:7" x14ac:dyDescent="0.35">
      <c r="A276" s="22">
        <v>275</v>
      </c>
      <c r="B276" s="114" t="s">
        <v>998</v>
      </c>
      <c r="C276" s="114" t="s">
        <v>1292</v>
      </c>
      <c r="D276" s="114" t="s">
        <v>999</v>
      </c>
      <c r="E276" s="114" t="s">
        <v>883</v>
      </c>
      <c r="F276" s="115">
        <v>45238</v>
      </c>
    </row>
    <row r="277" spans="1:7" ht="25" x14ac:dyDescent="0.35">
      <c r="A277" s="22">
        <v>276</v>
      </c>
      <c r="B277" s="114" t="s">
        <v>1018</v>
      </c>
      <c r="C277" s="114" t="s">
        <v>1302</v>
      </c>
      <c r="D277" s="114" t="s">
        <v>1019</v>
      </c>
      <c r="E277" s="114" t="s">
        <v>881</v>
      </c>
      <c r="F277" s="115">
        <v>45238</v>
      </c>
      <c r="G277" s="112"/>
    </row>
    <row r="278" spans="1:7" ht="25" x14ac:dyDescent="0.35">
      <c r="A278" s="22">
        <v>277</v>
      </c>
      <c r="B278" s="114" t="s">
        <v>1178</v>
      </c>
      <c r="C278" s="114" t="s">
        <v>1375</v>
      </c>
      <c r="D278" s="114" t="s">
        <v>1179</v>
      </c>
      <c r="E278" s="114" t="s">
        <v>894</v>
      </c>
      <c r="F278" s="115">
        <v>45238</v>
      </c>
      <c r="G278" s="112"/>
    </row>
    <row r="279" spans="1:7" ht="25" x14ac:dyDescent="0.35">
      <c r="A279" s="22">
        <v>278</v>
      </c>
      <c r="B279" s="114" t="s">
        <v>1253</v>
      </c>
      <c r="C279" s="114" t="s">
        <v>1410</v>
      </c>
      <c r="D279" s="114" t="s">
        <v>1254</v>
      </c>
      <c r="E279" s="114" t="s">
        <v>894</v>
      </c>
      <c r="F279" s="115">
        <v>45238</v>
      </c>
    </row>
    <row r="280" spans="1:7" x14ac:dyDescent="0.35">
      <c r="A280" s="22">
        <v>279</v>
      </c>
      <c r="B280" s="114" t="s">
        <v>284</v>
      </c>
      <c r="C280" s="114" t="s">
        <v>848</v>
      </c>
      <c r="D280" s="114" t="s">
        <v>454</v>
      </c>
      <c r="E280" s="114" t="s">
        <v>918</v>
      </c>
      <c r="F280" s="115">
        <v>45237</v>
      </c>
    </row>
    <row r="281" spans="1:7" ht="25" x14ac:dyDescent="0.35">
      <c r="A281" s="22">
        <v>280</v>
      </c>
      <c r="B281" s="114" t="s">
        <v>1136</v>
      </c>
      <c r="C281" s="114" t="s">
        <v>1356</v>
      </c>
      <c r="D281" s="114" t="s">
        <v>1137</v>
      </c>
      <c r="E281" s="114" t="s">
        <v>1497</v>
      </c>
      <c r="F281" s="115">
        <v>45238</v>
      </c>
    </row>
    <row r="282" spans="1:7" ht="25" x14ac:dyDescent="0.35">
      <c r="A282" s="22">
        <v>281</v>
      </c>
      <c r="B282" s="114" t="s">
        <v>1216</v>
      </c>
      <c r="C282" s="114" t="s">
        <v>1393</v>
      </c>
      <c r="D282" s="114" t="s">
        <v>1217</v>
      </c>
      <c r="E282" s="114" t="s">
        <v>1218</v>
      </c>
      <c r="F282" s="115">
        <v>45238</v>
      </c>
      <c r="G282" s="112"/>
    </row>
    <row r="283" spans="1:7" ht="25" x14ac:dyDescent="0.35">
      <c r="A283" s="22">
        <v>282</v>
      </c>
      <c r="B283" s="114" t="s">
        <v>1171</v>
      </c>
      <c r="C283" s="114" t="s">
        <v>1372</v>
      </c>
      <c r="D283" s="114" t="s">
        <v>1172</v>
      </c>
      <c r="E283" s="114" t="s">
        <v>894</v>
      </c>
      <c r="F283" s="115">
        <v>45238</v>
      </c>
      <c r="G283" s="112"/>
    </row>
    <row r="284" spans="1:7" ht="25" x14ac:dyDescent="0.35">
      <c r="A284" s="22">
        <v>283</v>
      </c>
      <c r="B284" s="114" t="s">
        <v>303</v>
      </c>
      <c r="C284" s="114" t="s">
        <v>793</v>
      </c>
      <c r="D284" s="114" t="s">
        <v>403</v>
      </c>
      <c r="E284" s="114" t="s">
        <v>894</v>
      </c>
      <c r="F284" s="115">
        <v>45237</v>
      </c>
    </row>
    <row r="285" spans="1:7" x14ac:dyDescent="0.35">
      <c r="A285" s="22">
        <v>284</v>
      </c>
      <c r="B285" s="114" t="s">
        <v>679</v>
      </c>
      <c r="C285" s="114" t="s">
        <v>876</v>
      </c>
      <c r="D285" s="114" t="s">
        <v>508</v>
      </c>
      <c r="E285" s="114" t="s">
        <v>890</v>
      </c>
      <c r="F285" s="115">
        <v>45237</v>
      </c>
    </row>
    <row r="286" spans="1:7" ht="25" x14ac:dyDescent="0.35">
      <c r="A286" s="22">
        <v>285</v>
      </c>
      <c r="B286" s="114" t="s">
        <v>924</v>
      </c>
      <c r="C286" s="114" t="s">
        <v>1258</v>
      </c>
      <c r="D286" s="114" t="s">
        <v>925</v>
      </c>
      <c r="E286" s="114" t="s">
        <v>911</v>
      </c>
      <c r="F286" s="115">
        <v>45238</v>
      </c>
      <c r="G286" s="112"/>
    </row>
    <row r="287" spans="1:7" ht="25" x14ac:dyDescent="0.35">
      <c r="A287" s="22">
        <v>286</v>
      </c>
      <c r="B287" s="114" t="s">
        <v>1033</v>
      </c>
      <c r="C287" s="114" t="s">
        <v>1309</v>
      </c>
      <c r="D287" s="114" t="s">
        <v>1034</v>
      </c>
      <c r="E287" s="114" t="s">
        <v>911</v>
      </c>
      <c r="F287" s="115">
        <v>45238</v>
      </c>
    </row>
    <row r="288" spans="1:7" ht="25" x14ac:dyDescent="0.35">
      <c r="A288" s="22">
        <v>287</v>
      </c>
      <c r="B288" s="114" t="s">
        <v>672</v>
      </c>
      <c r="C288" s="114" t="s">
        <v>830</v>
      </c>
      <c r="D288" s="114" t="s">
        <v>456</v>
      </c>
      <c r="E288" s="114" t="s">
        <v>1041</v>
      </c>
      <c r="F288" s="115">
        <v>45237</v>
      </c>
      <c r="G288" s="112"/>
    </row>
    <row r="289" spans="1:7" ht="25" x14ac:dyDescent="0.35">
      <c r="A289" s="22">
        <v>288</v>
      </c>
      <c r="B289" s="114" t="s">
        <v>1138</v>
      </c>
      <c r="C289" s="114" t="s">
        <v>1357</v>
      </c>
      <c r="D289" s="114" t="s">
        <v>1139</v>
      </c>
      <c r="E289" s="114" t="s">
        <v>882</v>
      </c>
      <c r="F289" s="115">
        <v>45238</v>
      </c>
      <c r="G289" s="112"/>
    </row>
    <row r="290" spans="1:7" ht="25" x14ac:dyDescent="0.35">
      <c r="A290" s="22">
        <v>289</v>
      </c>
      <c r="B290" s="114" t="s">
        <v>340</v>
      </c>
      <c r="C290" s="114" t="s">
        <v>864</v>
      </c>
      <c r="D290" s="114" t="s">
        <v>489</v>
      </c>
      <c r="E290" s="114" t="s">
        <v>919</v>
      </c>
      <c r="F290" s="115">
        <v>45237</v>
      </c>
    </row>
    <row r="291" spans="1:7" ht="25" x14ac:dyDescent="0.35">
      <c r="A291" s="22">
        <v>290</v>
      </c>
      <c r="B291" s="114" t="s">
        <v>654</v>
      </c>
      <c r="C291" s="114" t="s">
        <v>794</v>
      </c>
      <c r="D291" s="114" t="s">
        <v>431</v>
      </c>
      <c r="E291" s="114" t="s">
        <v>898</v>
      </c>
      <c r="F291" s="115">
        <v>45237</v>
      </c>
    </row>
    <row r="292" spans="1:7" ht="25" x14ac:dyDescent="0.35">
      <c r="A292" s="22">
        <v>291</v>
      </c>
      <c r="B292" s="114" t="s">
        <v>1194</v>
      </c>
      <c r="C292" s="114" t="s">
        <v>1383</v>
      </c>
      <c r="D292" s="114" t="s">
        <v>1195</v>
      </c>
      <c r="E292" s="114" t="s">
        <v>909</v>
      </c>
      <c r="F292" s="115">
        <v>45238</v>
      </c>
      <c r="G292" s="112"/>
    </row>
    <row r="293" spans="1:7" ht="25" x14ac:dyDescent="0.35">
      <c r="A293" s="22">
        <v>292</v>
      </c>
      <c r="B293" s="114" t="s">
        <v>1196</v>
      </c>
      <c r="C293" s="114" t="s">
        <v>1384</v>
      </c>
      <c r="D293" s="114" t="s">
        <v>1197</v>
      </c>
      <c r="E293" s="114" t="s">
        <v>881</v>
      </c>
      <c r="F293" s="115">
        <v>45238</v>
      </c>
      <c r="G293" s="112"/>
    </row>
    <row r="294" spans="1:7" ht="25" x14ac:dyDescent="0.35">
      <c r="A294" s="22">
        <v>293</v>
      </c>
      <c r="B294" s="114" t="s">
        <v>309</v>
      </c>
      <c r="C294" s="114" t="s">
        <v>803</v>
      </c>
      <c r="D294" s="114" t="s">
        <v>405</v>
      </c>
      <c r="E294" s="114" t="s">
        <v>894</v>
      </c>
      <c r="F294" s="115">
        <v>45237</v>
      </c>
      <c r="G294" s="112"/>
    </row>
    <row r="295" spans="1:7" x14ac:dyDescent="0.35">
      <c r="A295" s="22">
        <v>294</v>
      </c>
      <c r="B295" s="114" t="s">
        <v>707</v>
      </c>
      <c r="C295" s="114" t="s">
        <v>795</v>
      </c>
      <c r="D295" s="114" t="s">
        <v>504</v>
      </c>
      <c r="E295" s="114" t="s">
        <v>1497</v>
      </c>
      <c r="F295" s="115">
        <v>45237</v>
      </c>
    </row>
    <row r="296" spans="1:7" ht="25" x14ac:dyDescent="0.35">
      <c r="A296" s="22">
        <v>295</v>
      </c>
      <c r="B296" s="114" t="s">
        <v>292</v>
      </c>
      <c r="C296" s="114" t="s">
        <v>796</v>
      </c>
      <c r="D296" s="114" t="s">
        <v>460</v>
      </c>
      <c r="E296" s="114" t="s">
        <v>887</v>
      </c>
      <c r="F296" s="115">
        <v>45237</v>
      </c>
    </row>
    <row r="297" spans="1:7" ht="25" x14ac:dyDescent="0.35">
      <c r="A297" s="22">
        <v>296</v>
      </c>
      <c r="B297" s="114" t="s">
        <v>1052</v>
      </c>
      <c r="C297" s="114" t="s">
        <v>1318</v>
      </c>
      <c r="D297" s="114" t="s">
        <v>1053</v>
      </c>
      <c r="E297" s="114" t="s">
        <v>1054</v>
      </c>
      <c r="F297" s="115">
        <v>45238</v>
      </c>
    </row>
    <row r="298" spans="1:7" x14ac:dyDescent="0.35">
      <c r="A298" s="22">
        <v>297</v>
      </c>
      <c r="B298" s="114" t="s">
        <v>1140</v>
      </c>
      <c r="C298" s="114" t="s">
        <v>1358</v>
      </c>
      <c r="D298" s="114" t="s">
        <v>1141</v>
      </c>
      <c r="E298" s="114" t="s">
        <v>894</v>
      </c>
      <c r="F298" s="115">
        <v>45238</v>
      </c>
    </row>
    <row r="299" spans="1:7" ht="25" x14ac:dyDescent="0.35">
      <c r="A299" s="22">
        <v>298</v>
      </c>
      <c r="B299" s="114" t="s">
        <v>1010</v>
      </c>
      <c r="C299" s="114" t="s">
        <v>1298</v>
      </c>
      <c r="D299" s="21" t="s">
        <v>1528</v>
      </c>
      <c r="E299" s="114" t="s">
        <v>901</v>
      </c>
      <c r="F299" s="115">
        <v>45238</v>
      </c>
      <c r="G299" s="112"/>
    </row>
    <row r="300" spans="1:7" ht="25" x14ac:dyDescent="0.35">
      <c r="A300" s="22">
        <v>299</v>
      </c>
      <c r="B300" s="114" t="s">
        <v>1180</v>
      </c>
      <c r="C300" s="114" t="s">
        <v>1376</v>
      </c>
      <c r="D300" s="114" t="s">
        <v>1181</v>
      </c>
      <c r="E300" s="114" t="s">
        <v>901</v>
      </c>
      <c r="F300" s="115">
        <v>45238</v>
      </c>
    </row>
    <row r="301" spans="1:7" ht="25" x14ac:dyDescent="0.35">
      <c r="A301" s="22">
        <v>300</v>
      </c>
      <c r="B301" s="114" t="s">
        <v>241</v>
      </c>
      <c r="C301" s="114" t="s">
        <v>840</v>
      </c>
      <c r="D301" s="114" t="s">
        <v>427</v>
      </c>
      <c r="E301" s="114" t="s">
        <v>920</v>
      </c>
      <c r="F301" s="115">
        <v>45237</v>
      </c>
      <c r="G301" s="112"/>
    </row>
    <row r="302" spans="1:7" x14ac:dyDescent="0.35">
      <c r="A302" s="22">
        <v>301</v>
      </c>
      <c r="B302" s="114" t="s">
        <v>1069</v>
      </c>
      <c r="C302" s="114" t="s">
        <v>1325</v>
      </c>
      <c r="D302" s="114" t="s">
        <v>1070</v>
      </c>
      <c r="E302" s="114" t="s">
        <v>894</v>
      </c>
      <c r="F302" s="115">
        <v>45238</v>
      </c>
      <c r="G302" s="112"/>
    </row>
    <row r="303" spans="1:7" ht="25" x14ac:dyDescent="0.35">
      <c r="A303" s="22">
        <v>302</v>
      </c>
      <c r="B303" s="114" t="s">
        <v>307</v>
      </c>
      <c r="C303" s="114" t="s">
        <v>797</v>
      </c>
      <c r="D303" s="114" t="s">
        <v>433</v>
      </c>
      <c r="E303" s="114" t="s">
        <v>901</v>
      </c>
      <c r="F303" s="115">
        <v>45237</v>
      </c>
    </row>
    <row r="304" spans="1:7" ht="25" x14ac:dyDescent="0.35">
      <c r="A304" s="22">
        <v>303</v>
      </c>
      <c r="B304" s="114" t="s">
        <v>651</v>
      </c>
      <c r="C304" s="114" t="s">
        <v>798</v>
      </c>
      <c r="D304" s="114" t="s">
        <v>1498</v>
      </c>
      <c r="E304" s="114" t="s">
        <v>882</v>
      </c>
      <c r="F304" s="115">
        <v>45237</v>
      </c>
      <c r="G304" s="112"/>
    </row>
    <row r="305" spans="1:6" x14ac:dyDescent="0.35">
      <c r="A305" s="22">
        <v>304</v>
      </c>
      <c r="B305" s="114" t="s">
        <v>1097</v>
      </c>
      <c r="C305" s="114" t="s">
        <v>1339</v>
      </c>
      <c r="D305" s="114" t="s">
        <v>1098</v>
      </c>
      <c r="E305" s="114" t="s">
        <v>882</v>
      </c>
      <c r="F305" s="115">
        <v>45238</v>
      </c>
    </row>
    <row r="306" spans="1:6" ht="25" x14ac:dyDescent="0.35">
      <c r="A306" s="22">
        <v>305</v>
      </c>
      <c r="B306" s="114" t="s">
        <v>294</v>
      </c>
      <c r="C306" s="114" t="s">
        <v>832</v>
      </c>
      <c r="D306" s="114" t="s">
        <v>462</v>
      </c>
      <c r="E306" s="114" t="s">
        <v>887</v>
      </c>
      <c r="F306" s="115">
        <v>45237</v>
      </c>
    </row>
    <row r="307" spans="1:6" ht="25" x14ac:dyDescent="0.35">
      <c r="A307" s="22">
        <v>306</v>
      </c>
      <c r="B307" s="114" t="s">
        <v>1160</v>
      </c>
      <c r="C307" s="114" t="s">
        <v>1367</v>
      </c>
      <c r="D307" s="114" t="s">
        <v>1161</v>
      </c>
      <c r="E307" s="114" t="s">
        <v>881</v>
      </c>
      <c r="F307" s="115">
        <v>45238</v>
      </c>
    </row>
    <row r="308" spans="1:6" ht="25" x14ac:dyDescent="0.35">
      <c r="A308" s="22">
        <v>307</v>
      </c>
      <c r="B308" s="114" t="s">
        <v>1057</v>
      </c>
      <c r="C308" s="114" t="s">
        <v>1320</v>
      </c>
      <c r="D308" s="114" t="s">
        <v>1058</v>
      </c>
      <c r="E308" s="114" t="s">
        <v>889</v>
      </c>
      <c r="F308" s="115">
        <v>45238</v>
      </c>
    </row>
    <row r="394" spans="3:3" ht="15" thickBot="1" x14ac:dyDescent="0.4"/>
    <row r="395" spans="3:3" ht="15" thickBot="1" x14ac:dyDescent="0.4">
      <c r="C395" s="113"/>
    </row>
    <row r="440" spans="3:3" ht="15" thickBot="1" x14ac:dyDescent="0.4"/>
    <row r="441" spans="3:3" ht="15" thickBot="1" x14ac:dyDescent="0.4">
      <c r="C441" s="113"/>
    </row>
    <row r="544" ht="15" thickBot="1" x14ac:dyDescent="0.4"/>
    <row r="545" spans="3:3" ht="15" thickBot="1" x14ac:dyDescent="0.4">
      <c r="C545" s="113"/>
    </row>
  </sheetData>
  <autoFilter ref="A1:F1" xr:uid="{4E3CC66D-70AF-4ED7-A1EC-A7869AFC578A}">
    <sortState xmlns:xlrd2="http://schemas.microsoft.com/office/spreadsheetml/2017/richdata2" ref="A2:F308">
      <sortCondition ref="B1"/>
    </sortState>
  </autoFilter>
  <pageMargins left="0.7" right="0.7" top="0.75" bottom="0.75"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4381-B7FF-4FDD-8574-D2AB943761FC}">
  <sheetPr codeName="Sheet6"/>
  <dimension ref="A1:AS1048576"/>
  <sheetViews>
    <sheetView tabSelected="1" topLeftCell="A13" zoomScale="85" zoomScaleNormal="85" workbookViewId="0">
      <selection activeCell="G13" sqref="G13:K13"/>
    </sheetView>
  </sheetViews>
  <sheetFormatPr defaultColWidth="9.1796875" defaultRowHeight="12" x14ac:dyDescent="0.35"/>
  <cols>
    <col min="1" max="3" width="9.1796875" style="23"/>
    <col min="4" max="4" width="10.54296875" style="23" customWidth="1"/>
    <col min="5" max="6" width="9.1796875" style="23"/>
    <col min="7" max="11" width="27.1796875" style="23" customWidth="1"/>
    <col min="12" max="12" width="9.1796875" style="23"/>
    <col min="13" max="13" width="1.54296875" style="23" customWidth="1"/>
    <col min="14" max="19" width="25.7265625" style="23" customWidth="1"/>
    <col min="20" max="16384" width="9.1796875" style="23"/>
  </cols>
  <sheetData>
    <row r="1" spans="1:32" x14ac:dyDescent="0.35">
      <c r="A1" s="51" t="s">
        <v>2</v>
      </c>
      <c r="B1" s="53" t="s">
        <v>1247</v>
      </c>
      <c r="U1" s="128" t="s">
        <v>36</v>
      </c>
      <c r="V1" s="128"/>
      <c r="W1" s="128"/>
      <c r="X1" s="128"/>
      <c r="Y1" s="128" t="s">
        <v>37</v>
      </c>
      <c r="Z1" s="128"/>
      <c r="AA1" s="128"/>
      <c r="AB1" s="128"/>
      <c r="AC1" s="128" t="s">
        <v>38</v>
      </c>
      <c r="AD1" s="128"/>
      <c r="AE1" s="128"/>
      <c r="AF1" s="128"/>
    </row>
    <row r="2" spans="1:32" ht="15" customHeight="1" x14ac:dyDescent="0.35">
      <c r="A2" s="68"/>
      <c r="B2" s="53"/>
      <c r="F2" s="53"/>
      <c r="U2" s="25"/>
      <c r="V2" s="25"/>
      <c r="W2" s="25"/>
      <c r="X2" s="25"/>
      <c r="Y2" s="25"/>
      <c r="Z2" s="25"/>
      <c r="AA2" s="25"/>
      <c r="AB2" s="25"/>
      <c r="AC2" s="25"/>
      <c r="AD2" s="25"/>
      <c r="AE2" s="25"/>
      <c r="AF2" s="25"/>
    </row>
    <row r="3" spans="1:32" ht="15" customHeight="1" x14ac:dyDescent="0.35">
      <c r="A3" s="51" t="s">
        <v>40</v>
      </c>
      <c r="B3" s="53">
        <f>VLOOKUP($B$1,tiunam,2,FALSE)</f>
        <v>103</v>
      </c>
      <c r="C3" s="68" t="s">
        <v>41</v>
      </c>
      <c r="D3" s="24" t="str">
        <f>VLOOKUP(B1,tiunam,3,TRUE)</f>
        <v>Rata-rata</v>
      </c>
      <c r="U3" s="25"/>
      <c r="V3" s="25"/>
      <c r="W3" s="25"/>
      <c r="X3" s="25"/>
      <c r="Y3" s="25"/>
      <c r="Z3" s="25"/>
      <c r="AA3" s="25"/>
      <c r="AB3" s="25"/>
      <c r="AC3" s="25"/>
      <c r="AD3" s="25"/>
      <c r="AE3" s="25"/>
      <c r="AF3" s="25"/>
    </row>
    <row r="4" spans="1:32" ht="15" customHeight="1" x14ac:dyDescent="0.35">
      <c r="A4" s="25" t="s">
        <v>69</v>
      </c>
      <c r="B4" s="25" t="s">
        <v>70</v>
      </c>
      <c r="C4" s="25" t="s">
        <v>71</v>
      </c>
      <c r="D4" s="25" t="s">
        <v>72</v>
      </c>
      <c r="U4" s="25"/>
      <c r="V4" s="25"/>
      <c r="W4" s="25"/>
      <c r="X4" s="25"/>
      <c r="Y4" s="25"/>
      <c r="Z4" s="25"/>
      <c r="AA4" s="25"/>
      <c r="AB4" s="25"/>
      <c r="AC4" s="25"/>
      <c r="AD4" s="25"/>
      <c r="AE4" s="25"/>
      <c r="AF4" s="25"/>
    </row>
    <row r="5" spans="1:32" ht="15" customHeight="1" x14ac:dyDescent="0.35">
      <c r="A5" s="37" t="str">
        <f>VLOOKUP($B$1,kreaplin,2,FALSE)</f>
        <v>KS</v>
      </c>
      <c r="B5" s="37" t="str">
        <f>VLOOKUP($B$1,kreaplin,3,FALSE)</f>
        <v>KS</v>
      </c>
      <c r="C5" s="37" t="str">
        <f>VLOOKUP($B$1,kreaplin,4,FALSE)</f>
        <v>B</v>
      </c>
      <c r="D5" s="37" t="str">
        <f>VLOOKUP($B$1,kreaplin,5,FALSE)</f>
        <v>S</v>
      </c>
      <c r="U5" s="25"/>
      <c r="V5" s="25"/>
      <c r="W5" s="25"/>
      <c r="X5" s="25"/>
      <c r="Y5" s="25"/>
      <c r="Z5" s="25"/>
      <c r="AA5" s="25"/>
      <c r="AB5" s="25"/>
      <c r="AC5" s="25"/>
      <c r="AD5" s="25"/>
      <c r="AE5" s="25"/>
      <c r="AF5" s="25"/>
    </row>
    <row r="6" spans="1:32" ht="15" customHeight="1" x14ac:dyDescent="0.35">
      <c r="R6" s="24"/>
      <c r="U6" s="25" t="s">
        <v>23</v>
      </c>
      <c r="V6" s="25" t="s">
        <v>15</v>
      </c>
      <c r="W6" s="25" t="s">
        <v>20</v>
      </c>
      <c r="X6" s="25" t="s">
        <v>22</v>
      </c>
      <c r="Y6" s="25" t="s">
        <v>23</v>
      </c>
      <c r="Z6" s="25" t="s">
        <v>15</v>
      </c>
      <c r="AA6" s="25" t="s">
        <v>20</v>
      </c>
      <c r="AB6" s="25" t="s">
        <v>22</v>
      </c>
      <c r="AC6" s="25" t="s">
        <v>23</v>
      </c>
      <c r="AD6" s="25" t="s">
        <v>15</v>
      </c>
      <c r="AE6" s="25" t="s">
        <v>20</v>
      </c>
      <c r="AF6" s="25" t="s">
        <v>22</v>
      </c>
    </row>
    <row r="7" spans="1:32" ht="15" customHeight="1" x14ac:dyDescent="0.35">
      <c r="C7" s="50" t="s">
        <v>67</v>
      </c>
      <c r="D7" s="50" t="s">
        <v>68</v>
      </c>
      <c r="E7" s="50" t="s">
        <v>166</v>
      </c>
      <c r="G7" s="9" t="s">
        <v>168</v>
      </c>
      <c r="H7" s="9" t="s">
        <v>169</v>
      </c>
      <c r="I7" s="9" t="s">
        <v>170</v>
      </c>
      <c r="J7" s="9" t="s">
        <v>171</v>
      </c>
      <c r="K7" s="9" t="s">
        <v>172</v>
      </c>
      <c r="U7" s="25">
        <f>VLOOKUP($B$1,disc,8,FALSE)</f>
        <v>-2.5</v>
      </c>
      <c r="V7" s="25">
        <f>VLOOKUP($B$1,disc,9,FALSE)</f>
        <v>3</v>
      </c>
      <c r="W7" s="25">
        <f>VLOOKUP($B$1,disc,10,FALSE)</f>
        <v>-3.5</v>
      </c>
      <c r="X7" s="25">
        <f>VLOOKUP($B$1,disc,11,FALSE)</f>
        <v>6</v>
      </c>
      <c r="Y7" s="25">
        <f>VLOOKUP($B$1,disc,12,FALSE)</f>
        <v>0.5</v>
      </c>
      <c r="Z7" s="25">
        <f>VLOOKUP($B$1,disc,13,FALSE)</f>
        <v>-3.5</v>
      </c>
      <c r="AA7" s="25">
        <f>VLOOKUP($B$1,disc,14,FALSE)</f>
        <v>-1.3</v>
      </c>
      <c r="AB7" s="25">
        <f>VLOOKUP($B$1,disc,15,FALSE)</f>
        <v>7</v>
      </c>
      <c r="AC7" s="25">
        <f>VLOOKUP($B$1,disc,16,FALSE)</f>
        <v>-0.5</v>
      </c>
      <c r="AD7" s="25">
        <f>VLOOKUP($B$1,disc,17,FALSE)</f>
        <v>-1.5</v>
      </c>
      <c r="AE7" s="25">
        <f>VLOOKUP($B$1,disc,18,FALSE)</f>
        <v>-2</v>
      </c>
      <c r="AF7" s="25">
        <f>VLOOKUP($B$1,disc,19,FALSE)</f>
        <v>6.5</v>
      </c>
    </row>
    <row r="8" spans="1:32" ht="15" customHeight="1" x14ac:dyDescent="0.35">
      <c r="A8" s="124" t="s">
        <v>65</v>
      </c>
      <c r="B8" s="47" t="s">
        <v>62</v>
      </c>
      <c r="C8" s="48">
        <f>AVERAGE(I1048576,R1048576,AQ1048576)</f>
        <v>2.3333333333333335</v>
      </c>
      <c r="D8" s="49">
        <v>3</v>
      </c>
      <c r="E8" s="48">
        <f>IF(D8=0,ROUND(C8,0),D8)</f>
        <v>3</v>
      </c>
      <c r="G8" s="37" t="str">
        <f>IF($J$1048566&gt;=1.9,IF(OR($K$1048566="E",$K$1048566="S",$K$1048566="I"),"OKE","TIDAK"))</f>
        <v>OKE</v>
      </c>
      <c r="H8" s="37" t="str">
        <f>IF($J$1048567&gt;=1.9,IF(OR(,$K$1048566="S",$K$1048566="I"),"OKE","TIDAK"))</f>
        <v>OKE</v>
      </c>
      <c r="I8" s="37" t="str">
        <f>IF($J$1048568&gt;=1.9,IF(OR(,$K$1048566="C",$K$1048566="I"),"OKE","TIDAK"))</f>
        <v>OKE</v>
      </c>
      <c r="J8" s="37" t="str">
        <f>IF($J$1048569&gt;=1.9,IF(OR(,$K$1048566="C",$K$1048566="I"),"OKE","TIDAK"))</f>
        <v>OKE</v>
      </c>
      <c r="K8" s="37" t="str">
        <f>IF($J$1048570&gt;=1.9,IF(OR(,$K$1048566="C",$K$1048566="I",$K$1048566="R"),"OKE","TIDAK"))</f>
        <v>OKE</v>
      </c>
      <c r="U8" s="27"/>
      <c r="V8" s="27"/>
      <c r="W8" s="27"/>
      <c r="X8" s="27"/>
      <c r="Y8" s="27"/>
      <c r="Z8" s="27"/>
      <c r="AA8" s="27"/>
      <c r="AB8" s="27"/>
      <c r="AC8" s="27"/>
      <c r="AD8" s="27"/>
      <c r="AE8" s="27"/>
      <c r="AF8" s="27"/>
    </row>
    <row r="9" spans="1:32" ht="15" customHeight="1" x14ac:dyDescent="0.35">
      <c r="A9" s="124"/>
      <c r="B9" s="47" t="s">
        <v>42</v>
      </c>
      <c r="C9" s="48">
        <f>AVERAGE(I1048576,R1048576,AG1048576,AK1048576,AO1048576,AR1048576)</f>
        <v>3.1666666666666665</v>
      </c>
      <c r="D9" s="49">
        <v>2</v>
      </c>
      <c r="E9" s="48">
        <f t="shared" ref="E9:E24" si="0">IF(D9=0,ROUND(C9,0),D9)</f>
        <v>2</v>
      </c>
    </row>
    <row r="10" spans="1:32" ht="15" customHeight="1" x14ac:dyDescent="0.35">
      <c r="A10" s="124"/>
      <c r="B10" s="47" t="s">
        <v>43</v>
      </c>
      <c r="C10" s="48">
        <f>AVERAGE(I1048576,R1048576,AD1048576,AH1048576,AL1048576)</f>
        <v>2.4</v>
      </c>
      <c r="D10" s="49">
        <v>2</v>
      </c>
      <c r="E10" s="48">
        <f t="shared" si="0"/>
        <v>2</v>
      </c>
      <c r="G10" s="25" t="s">
        <v>24</v>
      </c>
      <c r="H10" s="25" t="s">
        <v>15</v>
      </c>
      <c r="I10" s="25" t="s">
        <v>12</v>
      </c>
      <c r="J10" s="25" t="s">
        <v>20</v>
      </c>
      <c r="K10" s="25" t="s">
        <v>26</v>
      </c>
      <c r="L10" s="25" t="s">
        <v>22</v>
      </c>
      <c r="N10" s="137" t="s">
        <v>3</v>
      </c>
      <c r="O10" s="138"/>
      <c r="P10" s="139"/>
      <c r="Q10" s="140" t="s">
        <v>4</v>
      </c>
      <c r="R10" s="141"/>
      <c r="S10" s="142"/>
    </row>
    <row r="11" spans="1:32" ht="15" customHeight="1" x14ac:dyDescent="0.35">
      <c r="A11" s="124"/>
      <c r="B11" s="47" t="s">
        <v>44</v>
      </c>
      <c r="C11" s="48">
        <f>AVERAGE(I1048576,R1048576,AS1048576)</f>
        <v>3</v>
      </c>
      <c r="D11" s="49">
        <v>3</v>
      </c>
      <c r="E11" s="48">
        <f t="shared" si="0"/>
        <v>3</v>
      </c>
      <c r="G11" s="70">
        <f>VLOOKUP($B$1,holland,2,FALSE)</f>
        <v>0.14285714285714285</v>
      </c>
      <c r="H11" s="70">
        <f>VLOOKUP($B$1,holland,3,FALSE)</f>
        <v>0.11904761904761904</v>
      </c>
      <c r="I11" s="70">
        <f>VLOOKUP($B$1,holland,4,FALSE)</f>
        <v>2.3809523809523808E-2</v>
      </c>
      <c r="J11" s="70">
        <f>VLOOKUP($B$1,holland,5,FALSE)</f>
        <v>0.14285714285714285</v>
      </c>
      <c r="K11" s="70">
        <f>VLOOKUP($B$1,holland,6,FALSE)</f>
        <v>0.11904761904761904</v>
      </c>
      <c r="L11" s="70">
        <f>VLOOKUP($B$1,holland,7,FALSE)</f>
        <v>0.16666666666666666</v>
      </c>
      <c r="M11" s="71">
        <f>SUM(G11:L11)</f>
        <v>0.71428571428571419</v>
      </c>
      <c r="N11" s="14" t="s">
        <v>10</v>
      </c>
      <c r="O11" s="14" t="s">
        <v>11</v>
      </c>
      <c r="P11" s="14" t="s">
        <v>12</v>
      </c>
      <c r="Q11" s="15" t="s">
        <v>13</v>
      </c>
      <c r="R11" s="15" t="s">
        <v>14</v>
      </c>
      <c r="S11" s="15" t="s">
        <v>15</v>
      </c>
    </row>
    <row r="12" spans="1:32" ht="15" customHeight="1" x14ac:dyDescent="0.35">
      <c r="A12" s="125" t="s">
        <v>66</v>
      </c>
      <c r="B12" s="47" t="s">
        <v>46</v>
      </c>
      <c r="C12" s="48">
        <f>AVERAGE(R1048576,S1048576,P1048576,W1048576,AE1048576,AF1048576,AI1048576,AJ1048576,AM1048576,AN1048576,AP1048576)</f>
        <v>2.0909090909090908</v>
      </c>
      <c r="D12" s="49">
        <v>3</v>
      </c>
      <c r="E12" s="48">
        <f t="shared" si="0"/>
        <v>3</v>
      </c>
      <c r="N12" s="14">
        <f>VLOOKUP($B$1,papi,23,FALSE)</f>
        <v>6</v>
      </c>
      <c r="O12" s="14">
        <f>VLOOKUP($B$1,papi,24,FALSE)</f>
        <v>4</v>
      </c>
      <c r="P12" s="14">
        <f>VLOOKUP($B$1,papi,25,FALSE)</f>
        <v>4</v>
      </c>
      <c r="Q12" s="15">
        <f>VLOOKUP($B$1,papi,26,FALSE)</f>
        <v>2</v>
      </c>
      <c r="R12" s="15">
        <f>VLOOKUP($B$1,papi,27,FALSE)</f>
        <v>5</v>
      </c>
      <c r="S12" s="15">
        <f>VLOOKUP($B$1,papi,28,FALSE)</f>
        <v>3</v>
      </c>
    </row>
    <row r="13" spans="1:32" ht="120" x14ac:dyDescent="0.35">
      <c r="A13" s="126"/>
      <c r="B13" s="47" t="s">
        <v>47</v>
      </c>
      <c r="C13" s="48">
        <f>AVERAGE(AA1048576,AC1048576,X1048576,T1048576,W1048576,AD1048576,AE1048576,AH1048576,AI1048576,AL1048576,AM1048576,)</f>
        <v>2</v>
      </c>
      <c r="D13" s="49">
        <v>2</v>
      </c>
      <c r="E13" s="48">
        <f t="shared" si="0"/>
        <v>2</v>
      </c>
      <c r="G13" s="129" t="s">
        <v>197</v>
      </c>
      <c r="H13" s="130"/>
      <c r="I13" s="130"/>
      <c r="J13" s="130"/>
      <c r="K13" s="131"/>
      <c r="N13" s="1" t="str">
        <f>VLOOKUP($B$1,papi,3,FALSE)</f>
        <v>KEBUTUHAN MENYELESAIKAN TUGAS - Komitmen tinggi, lebih suka menangani pekerjaan satu demi satu, akan tetapi masih dapat mengubah prioritas jika terpaksa.</v>
      </c>
      <c r="O13" s="1" t="str">
        <f>VLOOKUP($B$1,papi,4,FALSE)</f>
        <v xml:space="preserve">PERAN PEKERJA KERAS (Hard Intense Worker) - Bekerja keras sesuai tuntutan, menyalurkan usahanya untuk hal-hal yang bermanfaat / menguntungkan.  </v>
      </c>
      <c r="P13" s="1" t="str">
        <f>VLOOKUP($B$1,papi,5,FALSE)</f>
        <v>KEBUTUHAN BERPRESTASI - Tidak kompetitif, mapan, puas. Tidak terdorong untuk menghasilkan prestasi, tdk berusaha utk mencapai sukses, membutuhkan dorongan dari luar diri, tidak berinisiatif, tidak memanfaatkan kemampuan diri secara optimal, ragu akan tujuan diri, misalnya sbg akibat promosi / perubahan struktur jabatan.</v>
      </c>
      <c r="Q13" s="2" t="str">
        <f>VLOOKUP($B$1,papi,6,FALSE)</f>
        <v>PERAN PEMIMPIN - Tidak percaya diri dan tidak ingin memimpin atau mengawasi orang lain.</v>
      </c>
      <c r="R13" s="2" t="str">
        <f>VLOOKUP($B$1,papi,7,FALSE)</f>
        <v xml:space="preserve">KEBUTUHAN MENGATUR ORANG LAIN - Bertanggung jawab, akan melakukan fungsi pengarahan, pengendalian dan pengawasan, tapi tidak mendominasi.  </v>
      </c>
      <c r="S13" s="2" t="str">
        <f>VLOOKUP($B$1,papi,8,FALSE)</f>
        <v>PERAN MEMBUAT KEPUTUSAN - Enggan mengambil keputusan.</v>
      </c>
    </row>
    <row r="14" spans="1:32" ht="15" customHeight="1" x14ac:dyDescent="0.35">
      <c r="A14" s="127"/>
      <c r="B14" s="47" t="s">
        <v>48</v>
      </c>
      <c r="C14" s="48">
        <f>AVERAGE(N1048576,W1048576,X1048576,Y1048576,AD1048576,AE1048576,AH1048576,AI1048576,AL1048576,AM1048576,)</f>
        <v>1.9090909090909092</v>
      </c>
      <c r="D14" s="49">
        <v>2</v>
      </c>
      <c r="E14" s="48">
        <f t="shared" si="0"/>
        <v>2</v>
      </c>
      <c r="G14" s="9" t="s">
        <v>190</v>
      </c>
      <c r="H14" s="9" t="s">
        <v>191</v>
      </c>
      <c r="I14" s="11" t="s">
        <v>192</v>
      </c>
      <c r="J14" s="11" t="s">
        <v>193</v>
      </c>
      <c r="K14" s="9" t="s">
        <v>194</v>
      </c>
    </row>
    <row r="15" spans="1:32" ht="15" customHeight="1" x14ac:dyDescent="0.35">
      <c r="A15" s="125" t="s">
        <v>54</v>
      </c>
      <c r="B15" s="47" t="s">
        <v>50</v>
      </c>
      <c r="C15" s="48">
        <f>AVERAGE(T1048576,U1048576,AD1048576,AF1048576,AH1048576,AJ1048576,AL1048576,AN1048576,AP1048576,AQ1048576)</f>
        <v>1.9</v>
      </c>
      <c r="D15" s="49">
        <v>3</v>
      </c>
      <c r="E15" s="48">
        <f t="shared" si="0"/>
        <v>3</v>
      </c>
      <c r="G15" s="132" t="str">
        <f>VLOOKUP($G$13,blanda,2,FALSE)</f>
        <v>Tipe A memiliki minat utama dalam pekerjaan yang melibatkan ekspresi kreatif, seni visual atau pertunjukan, serta imajinasi. Individu dengan tipe A cenderung mengejar pekerjaan yang memungkinkan mereka untuk mengungkapkan diri mereka melalui seni, desain, musik, atau bentuk-bentuk kreativitas lainnya.</v>
      </c>
      <c r="H15" s="132" t="str">
        <f>VLOOKUP($G$13,blanda,3,FALSE)</f>
        <v>1.	Ekspresi Kreatif: Orang dengan tipe A memiliki kemampuan untuk berekspresi secara kreatif melalui berbagai media, termasuk seni visual, musik, seni pertunjukan, atau penulisan.
2.	Imajinasi yang Kuat: Mereka sering memiliki imajinasi yang kaya dan mampu berpikir kreatif menciptakan ide-ide baru.
3.	Kesenian dan Seni Visual: Tipe A cenderung memiliki minat dalam seni visual seperti lukisan, fotografi, desain grafis, atau seni pertunjukan seperti teater, tari, atau musik.
4.	Kemampuan Menghasilkan Karya: Mereka bisa menciptakan karya seni, baik itu melalui media fisik atau karya yang bisa diapresiasi, seperti karya seni rupa, karya sastra, atau pertunjukan.
5.	Minat dalam Penciptaan dan Desain: Individu tipe A cenderung tertarik pada proses kreatif, termasuk desain, pembuatan, atau pengembangan ide baru.
6.	Sensitivitas terhadap Emosi: Mereka sering memiliki sensitivitas terhadap emosi dan ekspresi perasaan, yang dapat tercermin dalam karya seni mereka.</v>
      </c>
      <c r="I15" s="132" t="str">
        <f>VLOOKUP($G$13,blanda,4,FALSE)</f>
        <v>1.	Kreativitas yang Kuat: Individu tipe Artistic sering memiliki tingkat kreativitas yang tinggi, yang memungkinkan mereka untuk menghasilkan karya seni yang unik dan inovatif.
2.	Ekspresi Diri yang Bebas: Mereka dapat mengekspresikan diri dengan bebas melalui karya seni mereka, yang dapat memberikan kepuasan pribadi.
3.	Imajinasi yang Kaya: Mereka memiliki imajinasi yang kaya, yang memungkinkan mereka untuk berpikir di luar kotak dan menciptakan ide-ide baru.
4.	Sensitivitas terhadap Emosi: Tipe Artistic sering memiliki tingkat sensitivitas yang tinggi terhadap emosi, yang dapat membantu mereka menciptakan karya yang menggugah perasaan.
5.	Kemampuan untuk Berpikir Kreatif: Mereka memiliki kemampuan untuk berpikir kreatif dan menemukan solusi yang inovatif untuk masalah.</v>
      </c>
      <c r="J15" s="132" t="str">
        <f>VLOOKUP($G$13,blanda,5,FALSE)</f>
        <v>1.	Ketidak patuhan: Seringkali merasa terlalu bebas dalam berekspresi sehingga kurang peduli dengan tata aturan yang berlaku.
2.	Resiko Ketidakstabilan Emosi: Keterbatasan dalam menuangkan ide atau respon yang tidak diharapkan dari lingkungan atas karya yang dihasilkan
3.	Kesulitan dalam Penerimaan Kritik: Beberapa individu tipe Artistic mungkin sulit menerima kritik terhadap karya seni mereka, karena karya tersebut sering memiliki nilai emosional yang tinggi.</v>
      </c>
      <c r="K15" s="132" t="str">
        <f>VLOOKUP($G$13,blanda,6,FALSE)</f>
        <v>1.	Periklanan dan Pemasaran: Pekerjaan di bidang periklanan dan pemasaran memerlukan kemampuan kreatif dalam merancang kampanye iklan, materi promosi, atau strategi pemasaran yang menarik.
2.	Desain Interior: Desainer interior menciptakan ruang yang estetis dan fungsional untuk klien mereka, menggabungkan kreativitas dengan aspek-aspek praktis.
3.	Desain Mode: Meskipun terkait dengan seni, desain mode juga melibatkan aspek fungsional dan komersial, yang dapat menarik bagi individu tipe Artistic.
4.	Arsitek: Arsitek merancang bangunan dan struktur dengan mempertimbangkan aspek estetika dan fungsionalitas.
5.	Desain Produk: Desainer produk menciptakan produk yang menggabungkan desain estetis dengan fungsi yang baik.
6.	Penulisan Kreatif: Menulis bukan hanya tentang seni sastra, tetapi juga mencakup bidang seperti penulisan konten pemasaran, penulisan skenario, atau penulisan skripsi.
7.	Fotografi: Selain seni, fotografi juga memiliki aplikasi dalam bidang seperti jurnalisme, periklanan, dan fotografi pernikahan.
8.	Konsultan Kreatif: Menawarkan layanan konsultasi kreatif untuk berbagai perusahaan atau individu yang membutuhkan ide-ide inovatif.
9.	Desain Grafis: Desain grafis digunakan dalam berbagai konteks, termasuk media, perusahaan, dan desain web.
10.	Pekerjaan di Industri Hiburan: Pekerjaan di bidang hiburan seperti penyutradaraan, penulisan naskah, dan perencanaan acara memungkinkan individu untuk mengekspresikan kreativitas mereka.
11.	Jurnalis Foto: Fotografer yang berfokus pada jurnalisme foto dapat menggabungkan kreativitas dengan pelaporan berita.
12.	Pekerjaan di Bidang Sains dan Teknologi: Terkadang, tipe Artistic dapat menemukan cara untuk mengintegrasikan kreativitas mereka dalam pekerjaan ilmiah atau teknis, seperti komunikasi ilmiah atau desain interaksi pengguna (UI/UX).
13.	Pekerjaan di Bidang Desain Permainan: Industri game menggabungkan unsur-unsur kreatif dengan teknologi dan interaktivitas.
14.	Kurator Museum: Mereka dapat berkontribusi pada pengaturan pameran dan interpretasi seni di museum.</v>
      </c>
      <c r="N15" s="143" t="s">
        <v>7</v>
      </c>
      <c r="O15" s="144"/>
      <c r="P15" s="145"/>
      <c r="Q15" s="146" t="s">
        <v>8</v>
      </c>
      <c r="R15" s="147"/>
      <c r="S15" s="148"/>
    </row>
    <row r="16" spans="1:32" x14ac:dyDescent="0.35">
      <c r="A16" s="126"/>
      <c r="B16" s="47" t="s">
        <v>51</v>
      </c>
      <c r="C16" s="48">
        <f>AVERAGE(O1048576,V1048576,W1048576,AB1048576,X1048576,AD1048576,AE1048576,AH1048576,AI1048576,AL1048576,AM1048576)</f>
        <v>2.1818181818181817</v>
      </c>
      <c r="D16" s="49">
        <v>2</v>
      </c>
      <c r="E16" s="48">
        <f t="shared" si="0"/>
        <v>2</v>
      </c>
      <c r="G16" s="133"/>
      <c r="H16" s="133"/>
      <c r="I16" s="133"/>
      <c r="J16" s="133"/>
      <c r="K16" s="133"/>
      <c r="N16" s="16" t="s">
        <v>22</v>
      </c>
      <c r="O16" s="16" t="s">
        <v>23</v>
      </c>
      <c r="P16" s="16" t="s">
        <v>24</v>
      </c>
      <c r="Q16" s="17" t="s">
        <v>25</v>
      </c>
      <c r="R16" s="17" t="s">
        <v>26</v>
      </c>
      <c r="S16" s="17" t="s">
        <v>27</v>
      </c>
    </row>
    <row r="17" spans="1:19" ht="15" customHeight="1" x14ac:dyDescent="0.35">
      <c r="A17" s="126"/>
      <c r="B17" s="47" t="s">
        <v>52</v>
      </c>
      <c r="C17" s="48">
        <f>AVERAGE(J1048576,L1048576,Q1048576,Z1048576,AA1048576,AD1048576,AG1048576,AH1048576,AK1048576,AL1048576,AO1048576,AP1048576,AS1048576)</f>
        <v>2.4615384615384617</v>
      </c>
      <c r="D17" s="49">
        <v>3</v>
      </c>
      <c r="E17" s="48">
        <f t="shared" si="0"/>
        <v>3</v>
      </c>
      <c r="G17" s="133"/>
      <c r="H17" s="133"/>
      <c r="I17" s="133"/>
      <c r="J17" s="133"/>
      <c r="K17" s="133"/>
      <c r="N17" s="16">
        <f>VLOOKUP($B$1,papi,35,FALSE)</f>
        <v>6</v>
      </c>
      <c r="O17" s="16">
        <f>VLOOKUP($B$1,papi,36,FALSE)</f>
        <v>5</v>
      </c>
      <c r="P17" s="16">
        <f>VLOOKUP($B$1,papi,37,FALSE)</f>
        <v>5</v>
      </c>
      <c r="Q17" s="17">
        <f>VLOOKUP($B$1,papi,38,FALSE)</f>
        <v>5</v>
      </c>
      <c r="R17" s="17">
        <f>VLOOKUP($B$1,papi,39,FALSE)</f>
        <v>5</v>
      </c>
      <c r="S17" s="17">
        <f>VLOOKUP($B$1,papi,40,FALSE)</f>
        <v>4</v>
      </c>
    </row>
    <row r="18" spans="1:19" ht="72" x14ac:dyDescent="0.35">
      <c r="A18" s="127"/>
      <c r="B18" s="47" t="s">
        <v>53</v>
      </c>
      <c r="C18" s="48">
        <f>AVERAGE(J1048576,L1048576,S1048576,AC1048576,AD1048576,AG1048576,AH1048576,AK1048576,AL1048576,AO1048576)</f>
        <v>2.6</v>
      </c>
      <c r="D18" s="49">
        <v>2</v>
      </c>
      <c r="E18" s="48">
        <f t="shared" si="0"/>
        <v>2</v>
      </c>
      <c r="G18" s="133"/>
      <c r="H18" s="133"/>
      <c r="I18" s="133"/>
      <c r="J18" s="133"/>
      <c r="K18" s="133"/>
      <c r="N18" s="4" t="str">
        <f>VLOOKUP($B$1,papi,15,FALSE)</f>
        <v xml:space="preserve">PERAN MENGATUR -Memperhatikan keteraturan dan sistematika kerja, tapi cukup fleksibel.  </v>
      </c>
      <c r="O18" s="4" t="str">
        <f>VLOOKUP($B$1,papi,16,FALSE)</f>
        <v xml:space="preserve">PERAN BEKERJA DENGAN DETAIL - Tertarik untuk menangani sendiri detail.   </v>
      </c>
      <c r="P18" s="4" t="str">
        <f>VLOOKUP($B$1,papi,17,FALSE)</f>
        <v xml:space="preserve">PERAN ORANG YANG TEORITIS - Pertimbangan mencakup aspek teoritis ( konsep atau pemikiran baru ) dan aspek praktis ( pengalaman ) secara berimbang  </v>
      </c>
      <c r="Q18" s="5" t="str">
        <f>VLOOKUP($B$1,papi,18,FALSE)</f>
        <v xml:space="preserve">KEBUTUHAN AKAN PERUBAHAN - Mudah beradaptasi, cukup menyukai perubahan.    </v>
      </c>
      <c r="R18" s="5" t="str">
        <f>VLOOKUP($B$1,papi,19,FALSE)</f>
        <v>PERAN PENGENDALIAN EMOSI - punya pendekatan emosional seimbang ,mampu mengendalikan, mampu mengungkap atau menyimpan perasaan</v>
      </c>
      <c r="S18" s="5" t="str">
        <f>VLOOKUP($B$1,papi,20,FALSE)</f>
        <v xml:space="preserve">KEBUTUHAN UNTUK AGRESIF - Tidak mencari atau menghindari konflik, mau mendengarkan pandangan orang lain tetapi dapat menjadi keras kepala saat mempertahankan pandangannya. </v>
      </c>
    </row>
    <row r="19" spans="1:19" ht="15" customHeight="1" x14ac:dyDescent="0.35">
      <c r="A19" s="125" t="s">
        <v>61</v>
      </c>
      <c r="B19" s="47" t="s">
        <v>55</v>
      </c>
      <c r="C19" s="48">
        <f>AVERAGE(O1048576,P1048576,Q1048576,AF1048576,AG1048576,AJ1048576,AK1048576,AN1048576,AO1048576,AQ1048576)</f>
        <v>2.4</v>
      </c>
      <c r="D19" s="49">
        <v>2</v>
      </c>
      <c r="E19" s="48">
        <f t="shared" si="0"/>
        <v>2</v>
      </c>
      <c r="G19" s="133"/>
      <c r="H19" s="133"/>
      <c r="I19" s="133"/>
      <c r="J19" s="133"/>
      <c r="K19" s="133"/>
      <c r="N19" s="23" t="s">
        <v>878</v>
      </c>
    </row>
    <row r="20" spans="1:19" ht="15" customHeight="1" x14ac:dyDescent="0.35">
      <c r="A20" s="126"/>
      <c r="B20" s="47" t="s">
        <v>56</v>
      </c>
      <c r="C20" s="48">
        <f>AVERAGE(K1048576,Z1048576,AC1048576,J1048576,AF1048576,AJ1048576,AN1048576)</f>
        <v>2.4285714285714284</v>
      </c>
      <c r="D20" s="49">
        <v>2</v>
      </c>
      <c r="E20" s="48">
        <f t="shared" si="0"/>
        <v>2</v>
      </c>
      <c r="G20" s="133"/>
      <c r="H20" s="133"/>
      <c r="I20" s="133"/>
      <c r="J20" s="133"/>
      <c r="K20" s="133"/>
      <c r="N20" s="149" t="s">
        <v>6</v>
      </c>
      <c r="O20" s="150"/>
      <c r="P20" s="150"/>
      <c r="Q20" s="151"/>
      <c r="R20" s="152" t="s">
        <v>5</v>
      </c>
      <c r="S20" s="153"/>
    </row>
    <row r="21" spans="1:19" ht="15" customHeight="1" x14ac:dyDescent="0.35">
      <c r="A21" s="126"/>
      <c r="B21" s="47" t="s">
        <v>57</v>
      </c>
      <c r="C21" s="48">
        <f>AVERAGE(J1048576,L1048576,Q1048576,T1048576,Z1048576,AA1048576,AF1048576,AD1048576,AH1048576,AJ1048576,AL1048576,AN1048576)</f>
        <v>2.3333333333333335</v>
      </c>
      <c r="D21" s="49">
        <v>2</v>
      </c>
      <c r="E21" s="48">
        <f t="shared" si="0"/>
        <v>2</v>
      </c>
      <c r="G21" s="133"/>
      <c r="H21" s="133"/>
      <c r="I21" s="133"/>
      <c r="J21" s="133"/>
      <c r="K21" s="133"/>
      <c r="N21" s="18" t="s">
        <v>18</v>
      </c>
      <c r="O21" s="18" t="s">
        <v>19</v>
      </c>
      <c r="P21" s="18" t="s">
        <v>20</v>
      </c>
      <c r="Q21" s="18" t="s">
        <v>21</v>
      </c>
      <c r="R21" s="19" t="s">
        <v>16</v>
      </c>
      <c r="S21" s="19" t="s">
        <v>17</v>
      </c>
    </row>
    <row r="22" spans="1:19" ht="15" customHeight="1" x14ac:dyDescent="0.35">
      <c r="A22" s="126"/>
      <c r="B22" s="47" t="s">
        <v>58</v>
      </c>
      <c r="C22" s="48">
        <f>AVERAGE(P1048576,Q1048576,R1048576,AF1048576,AG1048576,AJ1048576,AK1048576,AN1048576,AC1048576,AO1048576)</f>
        <v>2.7</v>
      </c>
      <c r="D22" s="49">
        <v>2</v>
      </c>
      <c r="E22" s="48">
        <f t="shared" si="0"/>
        <v>2</v>
      </c>
      <c r="G22" s="133"/>
      <c r="H22" s="133"/>
      <c r="I22" s="133"/>
      <c r="J22" s="133"/>
      <c r="K22" s="133"/>
      <c r="N22" s="18">
        <f>VLOOKUP($B$1,papi,31,FALSE)</f>
        <v>5</v>
      </c>
      <c r="O22" s="18">
        <f>VLOOKUP($B$1,papi,32,FALSE)</f>
        <v>2</v>
      </c>
      <c r="P22" s="18">
        <f>VLOOKUP($B$1,papi,33,FALSE)</f>
        <v>6</v>
      </c>
      <c r="Q22" s="18">
        <f>VLOOKUP($B$1,papi,34,FALSE)</f>
        <v>3</v>
      </c>
      <c r="R22" s="19">
        <f>VLOOKUP($B$1,papi,29,FALSE)</f>
        <v>5</v>
      </c>
      <c r="S22" s="19">
        <f>VLOOKUP($B$1,papi,30,FALSE)</f>
        <v>4</v>
      </c>
    </row>
    <row r="23" spans="1:19" ht="120" x14ac:dyDescent="0.35">
      <c r="A23" s="126"/>
      <c r="B23" s="47" t="s">
        <v>59</v>
      </c>
      <c r="C23" s="48">
        <f>AVERAGE(J1048576,AA1048576,AO1048576,AN1048576,AK1048576,AJ1048576,AG1048576,AF1048576,AC1048576,)</f>
        <v>2.2999999999999998</v>
      </c>
      <c r="D23" s="49">
        <v>3</v>
      </c>
      <c r="E23" s="48">
        <f t="shared" si="0"/>
        <v>3</v>
      </c>
      <c r="G23" s="133"/>
      <c r="H23" s="133"/>
      <c r="I23" s="133"/>
      <c r="J23" s="133"/>
      <c r="K23" s="133"/>
      <c r="N23" s="6" t="str">
        <f>VLOOKUP($B$1,papi,11,FALSE)</f>
        <v>KEBUTUHAN KEDEKATAN DAN KASIH SAYANG - Tidak mencari atau menghindari hubungan antar pribadi di lingkungan kerja, masih mampu menjaga jarak.</v>
      </c>
      <c r="O23" s="6" t="str">
        <f>VLOOKUP($B$1,papi,12,FALSE)</f>
        <v xml:space="preserve">KEBUTUHAN DITERIMA DALAM KELOMPOK - Mandiri ( dari segi emosi ) , tdk mudah dipengaruhi oleh tekanan kelompok. Penyendiri, kurang peka akan sikap &amp; kebutuhan kelompok, mungkin sulit menyesuaikan diri. </v>
      </c>
      <c r="P23" s="6" t="str">
        <f>VLOOKUP($B$1,papi,13,FALSE)</f>
        <v>PERAN HUBUNGAN SOSIAL - Percaya diri &amp; sangat senang bergaul, menyukai interaksi sosial, bisa menciptakan suasana yg menyenangkan, mempunyai inisiatif &amp; mampu menjalin hubungan &amp; komunikasi, memperhatikan org lain. Mungkin membuang-buang waktu utk aktifitas sosial, kurang peduli akan penyelesaian tugas.</v>
      </c>
      <c r="Q23" s="6" t="str">
        <f>VLOOKUP($B$1,papi,14,FALSE)</f>
        <v>KEBUTUHAN UNTUK DIPERHATIKAN - Sederhana, cenderung diam, cenderung pemalu, tidak suka menonjolkan diri.</v>
      </c>
      <c r="R23" s="7" t="str">
        <f>VLOOKUP($B$1,papi,9,FALSE)</f>
        <v>PERAN - SIBUK (PACE) - Cukup aktif dalam segi mental, dapat menyesuaikan tempo kerjanya dengan tuntutan pekerjaan / lingkungan.</v>
      </c>
      <c r="S23" s="7" t="str">
        <f>VLOOKUP($B$1,papi,10,FALSE)</f>
        <v xml:space="preserve">PERAN PENUH SEMANGAT (Vigorous Type) - Dapat bekerja di belakang meja dan senang jika sesekali harus terjun ke lapangan atau melaksanakan tugas-tugas yang bersifat mobile. </v>
      </c>
    </row>
    <row r="24" spans="1:19" ht="15" customHeight="1" x14ac:dyDescent="0.35">
      <c r="A24" s="127"/>
      <c r="B24" s="47" t="s">
        <v>60</v>
      </c>
      <c r="C24" s="48">
        <f>AVERAGE(T1048576,Z1048576,AA1048576,AD1048576,AG1048576,AH1048576,AK1048576,AL1048576,AO1048576,AP1048576)</f>
        <v>2.4</v>
      </c>
      <c r="D24" s="49">
        <v>2</v>
      </c>
      <c r="E24" s="48">
        <f t="shared" si="0"/>
        <v>2</v>
      </c>
      <c r="G24" s="133"/>
      <c r="H24" s="133"/>
      <c r="I24" s="133"/>
      <c r="J24" s="133"/>
      <c r="K24" s="133"/>
    </row>
    <row r="25" spans="1:19" ht="15" customHeight="1" x14ac:dyDescent="0.35">
      <c r="A25" s="124" t="s">
        <v>100</v>
      </c>
      <c r="B25" s="42" t="s">
        <v>99</v>
      </c>
      <c r="C25" s="60">
        <v>1</v>
      </c>
      <c r="G25" s="133"/>
      <c r="H25" s="133"/>
      <c r="I25" s="133"/>
      <c r="J25" s="133"/>
      <c r="K25" s="133"/>
      <c r="N25" s="135" t="s">
        <v>9</v>
      </c>
      <c r="O25" s="136"/>
    </row>
    <row r="26" spans="1:19" ht="15" customHeight="1" x14ac:dyDescent="0.35">
      <c r="A26" s="124"/>
      <c r="B26" s="42" t="s">
        <v>98</v>
      </c>
      <c r="C26" s="60">
        <v>2</v>
      </c>
      <c r="G26" s="133"/>
      <c r="H26" s="133"/>
      <c r="I26" s="133"/>
      <c r="J26" s="133"/>
      <c r="K26" s="133"/>
      <c r="N26" s="20" t="s">
        <v>28</v>
      </c>
      <c r="O26" s="20" t="s">
        <v>29</v>
      </c>
    </row>
    <row r="27" spans="1:19" ht="15" customHeight="1" x14ac:dyDescent="0.35">
      <c r="A27" s="124"/>
      <c r="B27" s="42" t="s">
        <v>97</v>
      </c>
      <c r="C27" s="60">
        <v>1</v>
      </c>
      <c r="E27" s="21" t="s">
        <v>167</v>
      </c>
      <c r="G27" s="133"/>
      <c r="H27" s="133"/>
      <c r="I27" s="133"/>
      <c r="J27" s="133"/>
      <c r="K27" s="133"/>
      <c r="N27" s="20">
        <f>VLOOKUP($B$1,papi,41,FALSE)</f>
        <v>6</v>
      </c>
      <c r="O27" s="20">
        <f>VLOOKUP($B$1,papi,42,FALSE)</f>
        <v>5</v>
      </c>
    </row>
    <row r="28" spans="1:19" ht="48" x14ac:dyDescent="0.35">
      <c r="A28" s="124"/>
      <c r="B28" s="42" t="s">
        <v>96</v>
      </c>
      <c r="C28" s="60">
        <v>1</v>
      </c>
      <c r="E28" s="110" t="str">
        <f>VLOOKUP(WORD!Q10,WORD!A1048562:B1048564,2,TRUE)</f>
        <v>Tidak disarankan</v>
      </c>
      <c r="G28" s="133"/>
      <c r="H28" s="133"/>
      <c r="I28" s="133"/>
      <c r="J28" s="133"/>
      <c r="K28" s="133"/>
      <c r="N28" s="8" t="str">
        <f>VLOOKUP($B$1,papi,21,FALSE)</f>
        <v>KEBUTUHAN – MEMBANTU ATASAN - setia terhadap perusahaan, loyal</v>
      </c>
      <c r="O28" s="8" t="str">
        <f>VLOOKUP($B$1,papi,22,FALSE)</f>
        <v>KEBUTUHAN MENGIKUTI ATURAN DAN PENGAWASAN - Perlu pengarahan awal dan tolok ukur keberhasilan.</v>
      </c>
    </row>
    <row r="29" spans="1:19" ht="15" customHeight="1" x14ac:dyDescent="0.35">
      <c r="A29" s="124"/>
      <c r="B29" s="42" t="s">
        <v>95</v>
      </c>
      <c r="C29" s="60">
        <v>1</v>
      </c>
      <c r="G29" s="133"/>
      <c r="H29" s="133"/>
      <c r="I29" s="133"/>
      <c r="J29" s="133"/>
      <c r="K29" s="133"/>
    </row>
    <row r="30" spans="1:19" ht="15" customHeight="1" x14ac:dyDescent="0.35">
      <c r="A30" s="124"/>
      <c r="B30" s="42" t="s">
        <v>94</v>
      </c>
      <c r="C30" s="60">
        <v>1</v>
      </c>
      <c r="G30" s="133"/>
      <c r="H30" s="133"/>
      <c r="I30" s="133"/>
      <c r="J30" s="133"/>
      <c r="K30" s="133"/>
      <c r="N30" s="28" t="s">
        <v>32</v>
      </c>
      <c r="O30" s="28" t="s">
        <v>33</v>
      </c>
      <c r="P30" s="28" t="s">
        <v>34</v>
      </c>
      <c r="Q30" s="25" t="s">
        <v>35</v>
      </c>
    </row>
    <row r="31" spans="1:19" ht="324" x14ac:dyDescent="0.35">
      <c r="A31" s="124" t="s">
        <v>105</v>
      </c>
      <c r="B31" s="42" t="s">
        <v>104</v>
      </c>
      <c r="C31" s="60">
        <v>1</v>
      </c>
      <c r="G31" s="133"/>
      <c r="H31" s="133"/>
      <c r="I31" s="133"/>
      <c r="J31" s="133"/>
      <c r="K31" s="133"/>
      <c r="N31" s="29" t="str">
        <f>VLOOKUP($B$1,disc,3,FALSE)</f>
        <v>ASSESSOR ,Analitis ,Berwatak hati-hati ,Ramah pada saat merasa nyaman ,Sangat biasa dengan orang asing ,Mudah mengembangkan hubungan baru ,Dapat mengendalikan diri ,Peduli dan ramah ,Memusatkan perhatian pada penyelesaian tugas ,Perfeksionis secara alami ,Mengisolasi dirinya jika diperlukan ,Mudah diramalkan ,Berorientasi pada kualitas ,</v>
      </c>
      <c r="O31" s="29" t="str">
        <f>VLOOKUP($B$1,disc,4,FALSE)</f>
        <v>DESIGNER ,Sensitif ,Kurang Cepat ,Anti Tekanan  ,Terlalu Mandiri ,Kurang Percaya Orang Lain ,Anti Kritik ,Dingin ,Kreatif ,Result Oriented ,Suka Tantangan ,</v>
      </c>
      <c r="P31" s="29" t="str">
        <f>VLOOKUP($B$1,disc,5,FALSE)</f>
        <v>LOGICAL THINKER ,Pendiam ,Anti Kritik ,Perfeksionis ,Cenderung Santai ,Detail ,Empati ,Rapi ,Organized ,Kaku pada Metode &amp; Prosedur ,</v>
      </c>
      <c r="Q31" s="29" t="str">
        <f>VLOOKUP($B$1,disc,6,FALSE)</f>
        <v>Seorang yang praktis, cakap dan unik. Ia orang yang mampu menilai diri sendiri dan kritis terhadap dirinya dan orang lain. Ia menyukai hal yang detil dan logis; secara alamiah ia sangat analitis. Karena menyimpan informasi, ia meneliti isu berulang-ulang kali. Ia cenderung malu dan tertutup; ia hati-hati dalam membuat keputusan yang berdasarkan pada logika, bukan emosi, selalu menggunakan pertanyaan "bagaimana dan mengapa". Ia mengerjakan sesuatu dengan sistematis dan akurat. Ia rapi dan terorganisir sebab ia merasa bahwa keadaan berantakan sama dengan mutu yang rendah; demikian juga, rapi dan teratur merupakan mutu yang tinggi. Sangat teliti dalam segala sesuatu seperti halnya dalam pekerjaan dan penggunaan waktunya. Ia merencanakan dan mengorganisir semua sisi kehidupannya. Kelambanan sangat mengganggunya dan tak dapat ditolerir.</v>
      </c>
    </row>
    <row r="32" spans="1:19" ht="15" customHeight="1" x14ac:dyDescent="0.35">
      <c r="A32" s="124"/>
      <c r="B32" s="42" t="s">
        <v>103</v>
      </c>
      <c r="C32" s="60">
        <v>2</v>
      </c>
      <c r="G32" s="133"/>
      <c r="H32" s="133"/>
      <c r="I32" s="133"/>
      <c r="J32" s="133"/>
      <c r="K32" s="133"/>
    </row>
    <row r="33" spans="1:11" ht="15" customHeight="1" x14ac:dyDescent="0.35">
      <c r="A33" s="124"/>
      <c r="B33" s="42" t="s">
        <v>102</v>
      </c>
      <c r="C33" s="60">
        <v>1</v>
      </c>
      <c r="G33" s="133"/>
      <c r="H33" s="133"/>
      <c r="I33" s="133"/>
      <c r="J33" s="133"/>
      <c r="K33" s="133"/>
    </row>
    <row r="34" spans="1:11" ht="15" customHeight="1" x14ac:dyDescent="0.35">
      <c r="A34" s="124"/>
      <c r="B34" s="42" t="s">
        <v>101</v>
      </c>
      <c r="C34" s="60">
        <v>1</v>
      </c>
      <c r="G34" s="134"/>
      <c r="H34" s="134"/>
      <c r="I34" s="134"/>
      <c r="J34" s="134"/>
      <c r="K34" s="134"/>
    </row>
    <row r="35" spans="1:11" ht="15" customHeight="1" x14ac:dyDescent="0.35">
      <c r="A35" s="124" t="s">
        <v>109</v>
      </c>
      <c r="B35" s="42" t="s">
        <v>106</v>
      </c>
      <c r="C35" s="60">
        <v>2</v>
      </c>
    </row>
    <row r="36" spans="1:11" ht="15" customHeight="1" x14ac:dyDescent="0.35">
      <c r="A36" s="124"/>
      <c r="B36" s="42" t="s">
        <v>107</v>
      </c>
      <c r="C36" s="60">
        <v>1</v>
      </c>
    </row>
    <row r="37" spans="1:11" ht="15" customHeight="1" x14ac:dyDescent="0.35">
      <c r="A37" s="124"/>
      <c r="B37" s="42" t="s">
        <v>108</v>
      </c>
      <c r="C37" s="60">
        <v>1</v>
      </c>
    </row>
    <row r="1048566" spans="9:45" ht="14.5" x14ac:dyDescent="0.35">
      <c r="I1048566" s="13" t="s">
        <v>168</v>
      </c>
      <c r="J1048566" s="36">
        <f>AVERAGE(J1048576,K1048576,L1048576,P1048576,T1048576,U1048576,X1048576,Y1048576,AL1048576,AM1048576,AP1048576,AQ1048576)</f>
        <v>2.1666666666666665</v>
      </c>
      <c r="K1048566" s="23" t="s">
        <v>15</v>
      </c>
    </row>
    <row r="1048567" spans="9:45" ht="14.5" x14ac:dyDescent="0.35">
      <c r="I1048567" s="13" t="s">
        <v>169</v>
      </c>
      <c r="J1048567" s="36">
        <f>AVERAGE(J1048576,K1048576,L1048576,T1048576,V1048576,X1048576,AB1048576,AM1048576,AN1048576,AQ1048576,AR1048576,)</f>
        <v>2.3333333333333335</v>
      </c>
    </row>
    <row r="1048568" spans="9:45" ht="14.5" x14ac:dyDescent="0.35">
      <c r="I1048568" s="13" t="s">
        <v>170</v>
      </c>
      <c r="J1048568" s="36">
        <f>AVERAGE(J1048576,K1048576,L1048576,P1048576,Q1048576,AB1048576,AC1048576,AN1048576,AO1048576,AR1048576,AS1048576)</f>
        <v>2.8181818181818183</v>
      </c>
    </row>
    <row r="1048569" spans="9:45" ht="14.5" x14ac:dyDescent="0.35">
      <c r="I1048569" s="13" t="s">
        <v>171</v>
      </c>
      <c r="J1048569" s="36">
        <f>AVERAGE(J1048576,K1048576,L1048576,P1048576,Q1048576,AB1048576,AC1048576,AN1048576,AO1048576,AP1048576,AQ1048576,AR1048576,)</f>
        <v>2.3076923076923075</v>
      </c>
    </row>
    <row r="1048570" spans="9:45" ht="14.5" x14ac:dyDescent="0.35">
      <c r="I1048570" s="13" t="s">
        <v>172</v>
      </c>
      <c r="J1048570" s="36">
        <f>AVERAGE(J1048576,K1048576,L1048576,Q1048576,V1048576,X1048576,AB1048576,AC1048576,AN1048576,AP1048576,AQ1048576,AR1048576,)</f>
        <v>2.3076923076923075</v>
      </c>
    </row>
    <row r="1048573" spans="9:45" x14ac:dyDescent="0.35">
      <c r="I1048573" s="23" t="s">
        <v>40</v>
      </c>
      <c r="J1048573" s="137" t="s">
        <v>3</v>
      </c>
      <c r="K1048573" s="138"/>
      <c r="L1048573" s="139"/>
      <c r="M1048573" s="140" t="s">
        <v>4</v>
      </c>
      <c r="N1048573" s="141"/>
      <c r="O1048573" s="142"/>
      <c r="P1048573" s="143" t="s">
        <v>7</v>
      </c>
      <c r="Q1048573" s="144"/>
      <c r="R1048573" s="145"/>
      <c r="S1048573" s="146" t="s">
        <v>8</v>
      </c>
      <c r="T1048573" s="147"/>
      <c r="U1048573" s="148"/>
      <c r="V1048573" s="149" t="s">
        <v>6</v>
      </c>
      <c r="W1048573" s="150"/>
      <c r="X1048573" s="150"/>
      <c r="Y1048573" s="151"/>
      <c r="Z1048573" s="152" t="s">
        <v>5</v>
      </c>
      <c r="AA1048573" s="153"/>
      <c r="AB1048573" s="135" t="s">
        <v>9</v>
      </c>
      <c r="AC1048573" s="136"/>
      <c r="AD1048573" s="128" t="s">
        <v>36</v>
      </c>
      <c r="AE1048573" s="128"/>
      <c r="AF1048573" s="128"/>
      <c r="AG1048573" s="128"/>
      <c r="AH1048573" s="128" t="s">
        <v>37</v>
      </c>
      <c r="AI1048573" s="128"/>
      <c r="AJ1048573" s="128"/>
      <c r="AK1048573" s="128"/>
      <c r="AL1048573" s="128" t="s">
        <v>38</v>
      </c>
      <c r="AM1048573" s="128"/>
      <c r="AN1048573" s="128"/>
      <c r="AO1048573" s="128"/>
    </row>
    <row r="1048574" spans="9:45" x14ac:dyDescent="0.35">
      <c r="J1048574" s="14" t="s">
        <v>10</v>
      </c>
      <c r="K1048574" s="14" t="s">
        <v>11</v>
      </c>
      <c r="L1048574" s="14" t="s">
        <v>12</v>
      </c>
      <c r="M1048574" s="15" t="s">
        <v>13</v>
      </c>
      <c r="N1048574" s="15" t="s">
        <v>14</v>
      </c>
      <c r="O1048574" s="15" t="s">
        <v>15</v>
      </c>
      <c r="P1048574" s="16" t="s">
        <v>22</v>
      </c>
      <c r="Q1048574" s="16" t="s">
        <v>23</v>
      </c>
      <c r="R1048574" s="16" t="s">
        <v>24</v>
      </c>
      <c r="S1048574" s="17" t="s">
        <v>25</v>
      </c>
      <c r="T1048574" s="17" t="s">
        <v>26</v>
      </c>
      <c r="U1048574" s="17" t="s">
        <v>27</v>
      </c>
      <c r="V1048574" s="18" t="s">
        <v>18</v>
      </c>
      <c r="W1048574" s="18" t="s">
        <v>19</v>
      </c>
      <c r="X1048574" s="18" t="s">
        <v>20</v>
      </c>
      <c r="Y1048574" s="18" t="s">
        <v>21</v>
      </c>
      <c r="Z1048574" s="19" t="s">
        <v>16</v>
      </c>
      <c r="AA1048574" s="19" t="s">
        <v>17</v>
      </c>
      <c r="AB1048574" s="20" t="s">
        <v>28</v>
      </c>
      <c r="AC1048574" s="20" t="s">
        <v>29</v>
      </c>
      <c r="AD1048574" s="25" t="s">
        <v>23</v>
      </c>
      <c r="AE1048574" s="25" t="s">
        <v>15</v>
      </c>
      <c r="AF1048574" s="25" t="s">
        <v>20</v>
      </c>
      <c r="AG1048574" s="25" t="s">
        <v>22</v>
      </c>
      <c r="AH1048574" s="25" t="s">
        <v>23</v>
      </c>
      <c r="AI1048574" s="25" t="s">
        <v>15</v>
      </c>
      <c r="AJ1048574" s="25" t="s">
        <v>20</v>
      </c>
      <c r="AK1048574" s="25" t="s">
        <v>22</v>
      </c>
      <c r="AL1048574" s="25" t="s">
        <v>23</v>
      </c>
      <c r="AM1048574" s="25" t="s">
        <v>15</v>
      </c>
      <c r="AN1048574" s="25" t="s">
        <v>20</v>
      </c>
      <c r="AO1048574" s="25" t="s">
        <v>22</v>
      </c>
      <c r="AP1048574" s="25" t="s">
        <v>69</v>
      </c>
      <c r="AQ1048574" s="25" t="s">
        <v>70</v>
      </c>
      <c r="AR1048574" s="25" t="s">
        <v>71</v>
      </c>
      <c r="AS1048574" s="25" t="s">
        <v>72</v>
      </c>
    </row>
    <row r="1048575" spans="9:45" x14ac:dyDescent="0.35">
      <c r="I1048575" s="23">
        <f>B3</f>
        <v>103</v>
      </c>
      <c r="J1048575" s="16">
        <f>VLOOKUP($B$1,papi,35,FALSE)</f>
        <v>6</v>
      </c>
      <c r="K1048575" s="23">
        <f t="shared" ref="K1048575:O1048575" si="1">O12</f>
        <v>4</v>
      </c>
      <c r="L1048575" s="23">
        <f t="shared" si="1"/>
        <v>4</v>
      </c>
      <c r="M1048575" s="23">
        <f t="shared" si="1"/>
        <v>2</v>
      </c>
      <c r="N1048575" s="23">
        <f t="shared" si="1"/>
        <v>5</v>
      </c>
      <c r="O1048575" s="23">
        <f t="shared" si="1"/>
        <v>3</v>
      </c>
      <c r="P1048575" s="23">
        <f t="shared" ref="P1048575:U1048575" si="2">N17</f>
        <v>6</v>
      </c>
      <c r="Q1048575" s="23">
        <f t="shared" si="2"/>
        <v>5</v>
      </c>
      <c r="R1048575" s="23">
        <f t="shared" si="2"/>
        <v>5</v>
      </c>
      <c r="S1048575" s="23">
        <f t="shared" si="2"/>
        <v>5</v>
      </c>
      <c r="T1048575" s="23">
        <f t="shared" si="2"/>
        <v>5</v>
      </c>
      <c r="U1048575" s="23">
        <f t="shared" si="2"/>
        <v>4</v>
      </c>
      <c r="V1048575" s="23">
        <f t="shared" ref="V1048575:AA1048575" si="3">N22</f>
        <v>5</v>
      </c>
      <c r="W1048575" s="23">
        <f t="shared" si="3"/>
        <v>2</v>
      </c>
      <c r="X1048575" s="23">
        <f t="shared" si="3"/>
        <v>6</v>
      </c>
      <c r="Y1048575" s="23">
        <f t="shared" si="3"/>
        <v>3</v>
      </c>
      <c r="Z1048575" s="23">
        <f t="shared" si="3"/>
        <v>5</v>
      </c>
      <c r="AA1048575" s="23">
        <f t="shared" si="3"/>
        <v>4</v>
      </c>
      <c r="AB1048575" s="23">
        <f>N27</f>
        <v>6</v>
      </c>
      <c r="AC1048575" s="23">
        <f>O27</f>
        <v>5</v>
      </c>
      <c r="AD1048575" s="25">
        <f t="shared" ref="AD1048575:AO1048575" si="4">U7</f>
        <v>-2.5</v>
      </c>
      <c r="AE1048575" s="25">
        <f t="shared" si="4"/>
        <v>3</v>
      </c>
      <c r="AF1048575" s="25">
        <f t="shared" si="4"/>
        <v>-3.5</v>
      </c>
      <c r="AG1048575" s="25">
        <f t="shared" si="4"/>
        <v>6</v>
      </c>
      <c r="AH1048575" s="25">
        <f t="shared" si="4"/>
        <v>0.5</v>
      </c>
      <c r="AI1048575" s="25">
        <f t="shared" si="4"/>
        <v>-3.5</v>
      </c>
      <c r="AJ1048575" s="25">
        <f t="shared" si="4"/>
        <v>-1.3</v>
      </c>
      <c r="AK1048575" s="25">
        <f t="shared" si="4"/>
        <v>7</v>
      </c>
      <c r="AL1048575" s="25">
        <f t="shared" si="4"/>
        <v>-0.5</v>
      </c>
      <c r="AM1048575" s="25">
        <f t="shared" si="4"/>
        <v>-1.5</v>
      </c>
      <c r="AN1048575" s="25">
        <f t="shared" si="4"/>
        <v>-2</v>
      </c>
      <c r="AO1048575" s="25">
        <f t="shared" si="4"/>
        <v>6.5</v>
      </c>
      <c r="AP1048575" s="26" t="str">
        <f>A5</f>
        <v>KS</v>
      </c>
      <c r="AQ1048575" s="26" t="str">
        <f>B5</f>
        <v>KS</v>
      </c>
      <c r="AR1048575" s="26" t="str">
        <f>C5</f>
        <v>B</v>
      </c>
      <c r="AS1048575" s="26" t="str">
        <f>D5</f>
        <v>S</v>
      </c>
    </row>
    <row r="1048576" spans="9:45" x14ac:dyDescent="0.35">
      <c r="I1048576" s="23">
        <f>VLOOKUP(I1048575,pintar,2,TRUE)</f>
        <v>3</v>
      </c>
      <c r="J1048576" s="23">
        <f t="shared" ref="J1048576:AC1048576" si="5">VLOOKUP(J1048575,papis,2,TRUE)</f>
        <v>3</v>
      </c>
      <c r="K1048576" s="23">
        <f t="shared" si="5"/>
        <v>2</v>
      </c>
      <c r="L1048576" s="23">
        <f t="shared" si="5"/>
        <v>2</v>
      </c>
      <c r="M1048576" s="23">
        <f t="shared" si="5"/>
        <v>1</v>
      </c>
      <c r="N1048576" s="23">
        <f t="shared" si="5"/>
        <v>3</v>
      </c>
      <c r="O1048576" s="23">
        <f t="shared" si="5"/>
        <v>2</v>
      </c>
      <c r="P1048576" s="23">
        <f t="shared" si="5"/>
        <v>3</v>
      </c>
      <c r="Q1048576" s="23">
        <f t="shared" si="5"/>
        <v>3</v>
      </c>
      <c r="R1048576" s="23">
        <f t="shared" si="5"/>
        <v>3</v>
      </c>
      <c r="S1048576" s="23">
        <f t="shared" si="5"/>
        <v>3</v>
      </c>
      <c r="T1048576" s="23">
        <f t="shared" si="5"/>
        <v>3</v>
      </c>
      <c r="U1048576" s="23">
        <f t="shared" si="5"/>
        <v>2</v>
      </c>
      <c r="V1048576" s="23">
        <f t="shared" si="5"/>
        <v>3</v>
      </c>
      <c r="W1048576" s="23">
        <f t="shared" si="5"/>
        <v>1</v>
      </c>
      <c r="X1048576" s="23">
        <f t="shared" si="5"/>
        <v>3</v>
      </c>
      <c r="Y1048576" s="23">
        <f t="shared" si="5"/>
        <v>2</v>
      </c>
      <c r="Z1048576" s="23">
        <f t="shared" si="5"/>
        <v>3</v>
      </c>
      <c r="AA1048576" s="23">
        <f t="shared" si="5"/>
        <v>2</v>
      </c>
      <c r="AB1048576" s="23">
        <f t="shared" si="5"/>
        <v>3</v>
      </c>
      <c r="AC1048576" s="23">
        <f t="shared" si="5"/>
        <v>3</v>
      </c>
      <c r="AD1048576" s="23">
        <f t="shared" ref="AD1048576:AO1048576" si="6">VLOOKUP(AD1048575,discs,2,TRUE)</f>
        <v>2</v>
      </c>
      <c r="AE1048576" s="23">
        <f t="shared" si="6"/>
        <v>2</v>
      </c>
      <c r="AF1048576" s="23">
        <f t="shared" si="6"/>
        <v>2</v>
      </c>
      <c r="AG1048576" s="23">
        <f t="shared" si="6"/>
        <v>3</v>
      </c>
      <c r="AH1048576" s="23">
        <f t="shared" si="6"/>
        <v>2</v>
      </c>
      <c r="AI1048576" s="23">
        <f t="shared" si="6"/>
        <v>2</v>
      </c>
      <c r="AJ1048576" s="23">
        <f t="shared" si="6"/>
        <v>2</v>
      </c>
      <c r="AK1048576" s="23">
        <f t="shared" si="6"/>
        <v>3</v>
      </c>
      <c r="AL1048576" s="23">
        <f t="shared" si="6"/>
        <v>2</v>
      </c>
      <c r="AM1048576" s="23">
        <f t="shared" si="6"/>
        <v>2</v>
      </c>
      <c r="AN1048576" s="23">
        <f t="shared" si="6"/>
        <v>2</v>
      </c>
      <c r="AO1048576" s="23">
        <f t="shared" si="6"/>
        <v>3</v>
      </c>
      <c r="AP1048576" s="23">
        <f>VLOOKUP(AP1048575,kreplins,2,FALSE)</f>
        <v>1</v>
      </c>
      <c r="AQ1048576" s="23">
        <f>VLOOKUP(AQ1048575,kreplins,2,FALSE)</f>
        <v>1</v>
      </c>
      <c r="AR1048576" s="23">
        <f>VLOOKUP(AR1048575,kreplins,2,FALSE)</f>
        <v>4</v>
      </c>
      <c r="AS1048576" s="23">
        <f>VLOOKUP(AS1048575,kreplins,2,FALSE)</f>
        <v>3</v>
      </c>
    </row>
  </sheetData>
  <mergeCells count="33">
    <mergeCell ref="A31:A34"/>
    <mergeCell ref="A35:A37"/>
    <mergeCell ref="AH1048573:AK1048573"/>
    <mergeCell ref="AL1048573:AO1048573"/>
    <mergeCell ref="S1048573:U1048573"/>
    <mergeCell ref="V1048573:Y1048573"/>
    <mergeCell ref="Z1048573:AA1048573"/>
    <mergeCell ref="AB1048573:AC1048573"/>
    <mergeCell ref="AD1048573:AG1048573"/>
    <mergeCell ref="J1048573:L1048573"/>
    <mergeCell ref="M1048573:O1048573"/>
    <mergeCell ref="P1048573:R1048573"/>
    <mergeCell ref="N15:P15"/>
    <mergeCell ref="Q15:S15"/>
    <mergeCell ref="N20:Q20"/>
    <mergeCell ref="R20:S20"/>
    <mergeCell ref="A25:A30"/>
    <mergeCell ref="A8:A11"/>
    <mergeCell ref="A12:A14"/>
    <mergeCell ref="A15:A18"/>
    <mergeCell ref="A19:A24"/>
    <mergeCell ref="AC1:AF1"/>
    <mergeCell ref="G13:K13"/>
    <mergeCell ref="G15:G34"/>
    <mergeCell ref="H15:H34"/>
    <mergeCell ref="I15:I34"/>
    <mergeCell ref="J15:J34"/>
    <mergeCell ref="K15:K34"/>
    <mergeCell ref="U1:X1"/>
    <mergeCell ref="Y1:AB1"/>
    <mergeCell ref="N25:O25"/>
    <mergeCell ref="N10:P10"/>
    <mergeCell ref="Q10:S10"/>
  </mergeCells>
  <conditionalFormatting sqref="G8">
    <cfRule type="expression" dxfId="0" priority="1">
      <formula>"OKE"</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04F4838-70B3-4853-A2F7-C6CE9B578EFF}">
          <x14:formula1>
            <xm:f>Datadiri!$B$2:$B$150</xm:f>
          </x14:formula1>
          <xm:sqref>B1</xm:sqref>
        </x14:dataValidation>
        <x14:dataValidation type="list" allowBlank="1" showInputMessage="1" showErrorMessage="1" xr:uid="{78216FF5-EB5E-485E-AB27-01958E4169AF}">
          <x14:formula1>
            <xm:f>HOLLAND!$A$2:$A$7</xm:f>
          </x14:formula1>
          <xm:sqref>G13:K13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293C5-7AA6-4943-A2FB-A7989C110B5B}">
  <sheetPr codeName="Sheet8"/>
  <dimension ref="A1:XFD1048576"/>
  <sheetViews>
    <sheetView topLeftCell="A30" zoomScale="85" zoomScaleNormal="85" workbookViewId="0">
      <selection activeCell="A15" sqref="A15:AD15"/>
    </sheetView>
  </sheetViews>
  <sheetFormatPr defaultColWidth="9.1796875" defaultRowHeight="14.5" x14ac:dyDescent="0.35"/>
  <cols>
    <col min="1" max="3" width="9.1796875" style="38"/>
    <col min="4" max="4" width="9.1796875" style="38" customWidth="1"/>
    <col min="5" max="10" width="9.1796875" style="38"/>
    <col min="11" max="11" width="9.1796875" style="38" customWidth="1"/>
    <col min="12" max="16" width="9.1796875" style="38"/>
    <col min="17" max="17" width="9.1796875" style="38" customWidth="1"/>
    <col min="18" max="18" width="11.1796875" style="38" customWidth="1"/>
    <col min="19" max="16384" width="9.1796875" style="38"/>
  </cols>
  <sheetData>
    <row r="1" spans="1:30 16383:16384" x14ac:dyDescent="0.35">
      <c r="A1" s="38" t="s">
        <v>0</v>
      </c>
      <c r="B1" s="38" t="str">
        <f>INDIVIDUAL!B1</f>
        <v>Anissa Nabilah Astri Ningsih</v>
      </c>
      <c r="N1" s="82" t="s">
        <v>40</v>
      </c>
      <c r="O1" s="82" t="s">
        <v>184</v>
      </c>
      <c r="P1" s="82">
        <f>IF(B1=INDIVIDUAL!B1,INDIVIDUAL!B3," ")</f>
        <v>103</v>
      </c>
      <c r="Q1" s="82" t="s">
        <v>41</v>
      </c>
      <c r="R1" s="82" t="s">
        <v>184</v>
      </c>
      <c r="S1" s="82" t="str">
        <f>IF(B1=INDIVIDUAL!B1,INDIVIDUAL!D3," ")</f>
        <v>Rata-rata</v>
      </c>
      <c r="T1" s="13"/>
      <c r="XFC1" s="38" t="s">
        <v>181</v>
      </c>
      <c r="XFD1" s="44" t="s">
        <v>180</v>
      </c>
    </row>
    <row r="2" spans="1:30 16383:16384" x14ac:dyDescent="0.35">
      <c r="A2" s="38" t="s">
        <v>63</v>
      </c>
      <c r="B2" s="38" t="str">
        <f>VLOOKUP(B1,datadiri,3,FALSE)</f>
        <v>Pangkalan Bun, 03 Desember 1999</v>
      </c>
      <c r="L2" s="21" t="s">
        <v>167</v>
      </c>
      <c r="M2" s="31"/>
      <c r="N2" s="81" t="str">
        <f>VLOOKUP(Q10,A1048562:B1048564,2,TRUE)</f>
        <v>Tidak disarankan</v>
      </c>
      <c r="O2" s="81"/>
      <c r="P2" s="81" t="s">
        <v>175</v>
      </c>
      <c r="Q2" s="67" t="s">
        <v>235</v>
      </c>
      <c r="R2" s="13"/>
      <c r="S2" s="13"/>
      <c r="XFC2" s="38" t="s">
        <v>182</v>
      </c>
      <c r="XFD2" s="45"/>
    </row>
    <row r="3" spans="1:30 16383:16384" x14ac:dyDescent="0.35">
      <c r="A3" s="38" t="s">
        <v>64</v>
      </c>
      <c r="B3" s="38" t="str">
        <f>VLOOKUP(B1,datadiri,4,FALSE)</f>
        <v>S1 - Perbankan Syariah</v>
      </c>
      <c r="E3" s="13"/>
      <c r="F3" s="13"/>
      <c r="G3" s="13"/>
      <c r="H3" s="13"/>
      <c r="I3" s="13"/>
      <c r="J3" s="13"/>
      <c r="K3" s="13"/>
      <c r="L3" s="13"/>
      <c r="M3" s="13"/>
      <c r="XFC3" s="38" t="s">
        <v>183</v>
      </c>
    </row>
    <row r="4" spans="1:30 16383:16384" x14ac:dyDescent="0.35">
      <c r="D4" s="155" t="s">
        <v>45</v>
      </c>
      <c r="E4" s="155"/>
      <c r="F4" s="155"/>
      <c r="G4" s="155"/>
      <c r="H4" s="155" t="s">
        <v>49</v>
      </c>
      <c r="I4" s="155"/>
      <c r="J4" s="155"/>
      <c r="K4" s="155" t="s">
        <v>54</v>
      </c>
      <c r="L4" s="155"/>
      <c r="M4" s="155"/>
      <c r="N4" s="155"/>
      <c r="O4" s="155" t="s">
        <v>61</v>
      </c>
      <c r="P4" s="155"/>
      <c r="Q4" s="155"/>
      <c r="R4" s="155"/>
      <c r="S4" s="155"/>
      <c r="T4" s="155"/>
    </row>
    <row r="5" spans="1:30 16383:16384" ht="72.5" x14ac:dyDescent="0.35">
      <c r="D5" s="41" t="s">
        <v>62</v>
      </c>
      <c r="E5" s="41" t="s">
        <v>42</v>
      </c>
      <c r="F5" s="41" t="s">
        <v>43</v>
      </c>
      <c r="G5" s="41" t="s">
        <v>44</v>
      </c>
      <c r="H5" s="41" t="s">
        <v>46</v>
      </c>
      <c r="I5" s="41" t="s">
        <v>47</v>
      </c>
      <c r="J5" s="41" t="s">
        <v>48</v>
      </c>
      <c r="K5" s="41" t="s">
        <v>50</v>
      </c>
      <c r="L5" s="41" t="s">
        <v>51</v>
      </c>
      <c r="M5" s="41" t="s">
        <v>52</v>
      </c>
      <c r="N5" s="41" t="s">
        <v>53</v>
      </c>
      <c r="O5" s="41" t="s">
        <v>55</v>
      </c>
      <c r="P5" s="41" t="s">
        <v>56</v>
      </c>
      <c r="Q5" s="41" t="s">
        <v>57</v>
      </c>
      <c r="R5" s="41" t="s">
        <v>58</v>
      </c>
      <c r="S5" s="41" t="s">
        <v>59</v>
      </c>
      <c r="T5" s="41" t="s">
        <v>60</v>
      </c>
      <c r="U5" s="21" t="s">
        <v>179</v>
      </c>
    </row>
    <row r="6" spans="1:30 16383:16384" x14ac:dyDescent="0.35">
      <c r="D6" s="43">
        <f>IF($B$1=INDIVIDUAL!$B$1,VLOOKUP(WORD!D5,hasil,4,FALSE))</f>
        <v>3</v>
      </c>
      <c r="E6" s="43">
        <f>IF($B$1=INDIVIDUAL!$B$1,VLOOKUP(WORD!E5,hasil,4,FALSE))</f>
        <v>2</v>
      </c>
      <c r="F6" s="43">
        <f>IF($B$1=INDIVIDUAL!$B$1,VLOOKUP(WORD!F5,hasil,4,FALSE))</f>
        <v>2</v>
      </c>
      <c r="G6" s="43">
        <f>IF($B$1=INDIVIDUAL!$B$1,VLOOKUP(WORD!G5,hasil,4,FALSE))</f>
        <v>3</v>
      </c>
      <c r="H6" s="43">
        <f>IF($B$1=INDIVIDUAL!$B$1,VLOOKUP(WORD!H5,hasil,4,FALSE))</f>
        <v>3</v>
      </c>
      <c r="I6" s="43">
        <f>IF($B$1=INDIVIDUAL!$B$1,VLOOKUP(WORD!I5,hasil,4,FALSE))</f>
        <v>2</v>
      </c>
      <c r="J6" s="43">
        <f>IF($B$1=INDIVIDUAL!$B$1,VLOOKUP(WORD!J5,hasil,4,FALSE))</f>
        <v>2</v>
      </c>
      <c r="K6" s="43">
        <f>IF($B$1=INDIVIDUAL!$B$1,VLOOKUP(WORD!K5,hasil,4,FALSE))</f>
        <v>3</v>
      </c>
      <c r="L6" s="43">
        <f>IF($B$1=INDIVIDUAL!$B$1,VLOOKUP(WORD!L5,hasil,4,FALSE))</f>
        <v>2</v>
      </c>
      <c r="M6" s="43">
        <f>IF($B$1=INDIVIDUAL!$B$1,VLOOKUP(WORD!M5,hasil,4,FALSE))</f>
        <v>3</v>
      </c>
      <c r="N6" s="43">
        <f>IF($B$1=INDIVIDUAL!$B$1,VLOOKUP(WORD!N5,hasil,4,FALSE))</f>
        <v>2</v>
      </c>
      <c r="O6" s="43">
        <f>IF($B$1=INDIVIDUAL!$B$1,VLOOKUP(WORD!O5,hasil,4,FALSE))</f>
        <v>2</v>
      </c>
      <c r="P6" s="43">
        <f>IF($B$1=INDIVIDUAL!$B$1,VLOOKUP(WORD!P5,hasil,4,FALSE))</f>
        <v>2</v>
      </c>
      <c r="Q6" s="43">
        <f>IF($B$1=INDIVIDUAL!$B$1,VLOOKUP(WORD!Q5,hasil,4,FALSE))</f>
        <v>2</v>
      </c>
      <c r="R6" s="43">
        <f>IF($B$1=INDIVIDUAL!$B$1,VLOOKUP(WORD!R5,hasil,4,FALSE))</f>
        <v>2</v>
      </c>
      <c r="S6" s="43">
        <f>IF($B$1=INDIVIDUAL!$B$1,VLOOKUP(WORD!S5,hasil,4,FALSE))</f>
        <v>3</v>
      </c>
      <c r="T6" s="43">
        <f>IF($B$1=INDIVIDUAL!$B$1,VLOOKUP(WORD!T5,hasil,4,FALSE))</f>
        <v>2</v>
      </c>
      <c r="U6" s="54">
        <f>SUM(D6:T6)/51</f>
        <v>0.78431372549019607</v>
      </c>
      <c r="V6" s="46">
        <f>ROUND(U6,2)</f>
        <v>0.78</v>
      </c>
    </row>
    <row r="7" spans="1:30 16383:16384" x14ac:dyDescent="0.35">
      <c r="U7" s="87"/>
    </row>
    <row r="8" spans="1:30 16383:16384" x14ac:dyDescent="0.35">
      <c r="D8" s="157" t="s">
        <v>100</v>
      </c>
      <c r="E8" s="158"/>
      <c r="F8" s="158"/>
      <c r="G8" s="158"/>
      <c r="H8" s="158"/>
      <c r="I8" s="159"/>
      <c r="J8" s="157" t="s">
        <v>105</v>
      </c>
      <c r="K8" s="158"/>
      <c r="L8" s="158"/>
      <c r="M8" s="159"/>
      <c r="N8" s="157" t="s">
        <v>109</v>
      </c>
      <c r="O8" s="158"/>
      <c r="P8" s="159"/>
    </row>
    <row r="9" spans="1:30 16383:16384" ht="58" x14ac:dyDescent="0.35">
      <c r="D9" s="42" t="s">
        <v>99</v>
      </c>
      <c r="E9" s="42" t="s">
        <v>98</v>
      </c>
      <c r="F9" s="42" t="s">
        <v>97</v>
      </c>
      <c r="G9" s="42" t="s">
        <v>96</v>
      </c>
      <c r="H9" s="42" t="s">
        <v>95</v>
      </c>
      <c r="I9" s="42" t="s">
        <v>94</v>
      </c>
      <c r="J9" s="42" t="s">
        <v>104</v>
      </c>
      <c r="K9" s="42" t="s">
        <v>103</v>
      </c>
      <c r="L9" s="42" t="s">
        <v>102</v>
      </c>
      <c r="M9" s="42" t="s">
        <v>101</v>
      </c>
      <c r="N9" s="42" t="s">
        <v>106</v>
      </c>
      <c r="O9" s="42" t="s">
        <v>107</v>
      </c>
      <c r="P9" s="42" t="s">
        <v>108</v>
      </c>
      <c r="Q9" s="21" t="s">
        <v>179</v>
      </c>
    </row>
    <row r="10" spans="1:30 16383:16384" x14ac:dyDescent="0.35">
      <c r="D10" s="59">
        <f>VLOOKUP(D9,INDIVIDUAL!$B$25:$C$37,2,FALSE)</f>
        <v>1</v>
      </c>
      <c r="E10" s="59">
        <f>VLOOKUP(E9,INDIVIDUAL!$B$25:$C$37,2,FALSE)</f>
        <v>2</v>
      </c>
      <c r="F10" s="59">
        <f>VLOOKUP(F9,INDIVIDUAL!$B$25:$C$37,2,FALSE)</f>
        <v>1</v>
      </c>
      <c r="G10" s="59">
        <f>VLOOKUP(G9,INDIVIDUAL!$B$25:$C$37,2,FALSE)</f>
        <v>1</v>
      </c>
      <c r="H10" s="59">
        <f>VLOOKUP(H9,INDIVIDUAL!$B$25:$C$37,2,FALSE)</f>
        <v>1</v>
      </c>
      <c r="I10" s="59">
        <f>VLOOKUP(I9,INDIVIDUAL!$B$25:$C$37,2,FALSE)</f>
        <v>1</v>
      </c>
      <c r="J10" s="59">
        <f>VLOOKUP(J9,INDIVIDUAL!$B$25:$C$37,2,FALSE)</f>
        <v>1</v>
      </c>
      <c r="K10" s="59">
        <f>VLOOKUP(K9,INDIVIDUAL!$B$25:$C$37,2,FALSE)</f>
        <v>2</v>
      </c>
      <c r="L10" s="59">
        <f>VLOOKUP(L9,INDIVIDUAL!$B$25:$C$37,2,FALSE)</f>
        <v>1</v>
      </c>
      <c r="M10" s="59">
        <f>VLOOKUP(M9,INDIVIDUAL!$B$25:$C$37,2,FALSE)</f>
        <v>1</v>
      </c>
      <c r="N10" s="59">
        <f>VLOOKUP(N9,INDIVIDUAL!$B$25:$C$37,2,FALSE)</f>
        <v>2</v>
      </c>
      <c r="O10" s="59">
        <f>VLOOKUP(O9,INDIVIDUAL!$B$25:$C$37,2,FALSE)</f>
        <v>1</v>
      </c>
      <c r="P10" s="59">
        <f>VLOOKUP(P9,INDIVIDUAL!$B$25:$C$37,2,FALSE)</f>
        <v>1</v>
      </c>
      <c r="Q10" s="54">
        <f>SUM(D10:P10)/29</f>
        <v>0.55172413793103448</v>
      </c>
    </row>
    <row r="13" spans="1:30 16383:16384" x14ac:dyDescent="0.35">
      <c r="A13" s="160" t="s">
        <v>45</v>
      </c>
      <c r="B13" s="160"/>
      <c r="C13" s="160"/>
      <c r="D13" s="160"/>
      <c r="E13" s="160" t="s">
        <v>49</v>
      </c>
      <c r="F13" s="160"/>
      <c r="G13" s="160"/>
      <c r="H13" s="160" t="s">
        <v>54</v>
      </c>
      <c r="I13" s="160"/>
      <c r="J13" s="160"/>
      <c r="K13" s="160"/>
      <c r="L13" s="160" t="s">
        <v>61</v>
      </c>
      <c r="M13" s="160"/>
      <c r="N13" s="160"/>
      <c r="O13" s="160"/>
      <c r="P13" s="160"/>
      <c r="Q13" s="160"/>
      <c r="R13" s="156" t="s">
        <v>100</v>
      </c>
      <c r="S13" s="156"/>
      <c r="T13" s="156"/>
      <c r="U13" s="156"/>
      <c r="V13" s="156"/>
      <c r="W13" s="156"/>
      <c r="X13" s="156" t="s">
        <v>105</v>
      </c>
      <c r="Y13" s="156"/>
      <c r="Z13" s="156"/>
      <c r="AA13" s="156"/>
      <c r="AB13" s="156" t="s">
        <v>109</v>
      </c>
      <c r="AC13" s="156"/>
      <c r="AD13" s="156"/>
    </row>
    <row r="14" spans="1:30 16383:16384" ht="72.5" x14ac:dyDescent="0.35">
      <c r="A14" s="85" t="s">
        <v>62</v>
      </c>
      <c r="B14" s="85" t="s">
        <v>42</v>
      </c>
      <c r="C14" s="85" t="s">
        <v>43</v>
      </c>
      <c r="D14" s="85" t="s">
        <v>44</v>
      </c>
      <c r="E14" s="85" t="s">
        <v>46</v>
      </c>
      <c r="F14" s="85" t="s">
        <v>47</v>
      </c>
      <c r="G14" s="85" t="s">
        <v>48</v>
      </c>
      <c r="H14" s="85" t="s">
        <v>50</v>
      </c>
      <c r="I14" s="85" t="s">
        <v>51</v>
      </c>
      <c r="J14" s="85" t="s">
        <v>52</v>
      </c>
      <c r="K14" s="85" t="s">
        <v>53</v>
      </c>
      <c r="L14" s="85" t="s">
        <v>55</v>
      </c>
      <c r="M14" s="85" t="s">
        <v>56</v>
      </c>
      <c r="N14" s="85" t="s">
        <v>57</v>
      </c>
      <c r="O14" s="85" t="s">
        <v>58</v>
      </c>
      <c r="P14" s="85" t="s">
        <v>59</v>
      </c>
      <c r="Q14" s="85" t="s">
        <v>60</v>
      </c>
      <c r="R14" s="86" t="s">
        <v>99</v>
      </c>
      <c r="S14" s="86" t="s">
        <v>98</v>
      </c>
      <c r="T14" s="86" t="s">
        <v>97</v>
      </c>
      <c r="U14" s="86" t="s">
        <v>96</v>
      </c>
      <c r="V14" s="86" t="s">
        <v>95</v>
      </c>
      <c r="W14" s="86" t="s">
        <v>94</v>
      </c>
      <c r="X14" s="86" t="s">
        <v>104</v>
      </c>
      <c r="Y14" s="86" t="s">
        <v>103</v>
      </c>
      <c r="Z14" s="86" t="s">
        <v>102</v>
      </c>
      <c r="AA14" s="86" t="s">
        <v>101</v>
      </c>
      <c r="AB14" s="86" t="s">
        <v>106</v>
      </c>
      <c r="AC14" s="86" t="s">
        <v>107</v>
      </c>
      <c r="AD14" s="86" t="s">
        <v>108</v>
      </c>
    </row>
    <row r="15" spans="1:30 16383:16384" x14ac:dyDescent="0.35">
      <c r="A15" s="90">
        <f t="shared" ref="A15:Q15" si="0">D6</f>
        <v>3</v>
      </c>
      <c r="B15" s="90">
        <f t="shared" si="0"/>
        <v>2</v>
      </c>
      <c r="C15" s="90">
        <f t="shared" si="0"/>
        <v>2</v>
      </c>
      <c r="D15" s="90">
        <f t="shared" si="0"/>
        <v>3</v>
      </c>
      <c r="E15" s="90">
        <f t="shared" si="0"/>
        <v>3</v>
      </c>
      <c r="F15" s="90">
        <f t="shared" si="0"/>
        <v>2</v>
      </c>
      <c r="G15" s="90">
        <f t="shared" si="0"/>
        <v>2</v>
      </c>
      <c r="H15" s="90">
        <f t="shared" si="0"/>
        <v>3</v>
      </c>
      <c r="I15" s="90">
        <f t="shared" si="0"/>
        <v>2</v>
      </c>
      <c r="J15" s="90">
        <f t="shared" si="0"/>
        <v>3</v>
      </c>
      <c r="K15" s="90">
        <f t="shared" si="0"/>
        <v>2</v>
      </c>
      <c r="L15" s="90">
        <f t="shared" si="0"/>
        <v>2</v>
      </c>
      <c r="M15" s="90">
        <f t="shared" si="0"/>
        <v>2</v>
      </c>
      <c r="N15" s="90">
        <f t="shared" si="0"/>
        <v>2</v>
      </c>
      <c r="O15" s="90">
        <f t="shared" si="0"/>
        <v>2</v>
      </c>
      <c r="P15" s="90">
        <f t="shared" si="0"/>
        <v>3</v>
      </c>
      <c r="Q15" s="90">
        <f t="shared" si="0"/>
        <v>2</v>
      </c>
      <c r="R15" s="84">
        <f>D10</f>
        <v>1</v>
      </c>
      <c r="S15" s="84">
        <f>E10</f>
        <v>2</v>
      </c>
      <c r="T15" s="84">
        <f>F10</f>
        <v>1</v>
      </c>
      <c r="U15" s="84">
        <f>G10</f>
        <v>1</v>
      </c>
      <c r="V15" s="84">
        <f>H10</f>
        <v>1</v>
      </c>
      <c r="W15" s="84">
        <f>I10</f>
        <v>1</v>
      </c>
      <c r="X15" s="84">
        <f>J10</f>
        <v>1</v>
      </c>
      <c r="Y15" s="84">
        <f>K10</f>
        <v>2</v>
      </c>
      <c r="Z15" s="84">
        <f>L10</f>
        <v>1</v>
      </c>
      <c r="AA15" s="84">
        <f>M10</f>
        <v>1</v>
      </c>
      <c r="AB15" s="84">
        <f>N10</f>
        <v>2</v>
      </c>
      <c r="AC15" s="84">
        <f>O10</f>
        <v>1</v>
      </c>
      <c r="AD15" s="84">
        <f>P10</f>
        <v>1</v>
      </c>
    </row>
    <row r="16" spans="1:30 16383:16384" ht="15" thickBot="1" x14ac:dyDescent="0.4"/>
    <row r="17" spans="4:19" ht="15" thickBot="1" x14ac:dyDescent="0.4">
      <c r="D17" s="55" t="str">
        <f>XFC1&amp;B1&amp;XFC2&amp;TEXT(U6,"0.0%")&amp;XFC3&amp;Q2</f>
        <v>Berdasarkan hasil tes psikologi dan wawancara bahwa dapat disimpulkan  bahwa kesesuaian potensi yang dimiliki oleh Sdr. Anissa Nabilah Astri Ningsih adalah sebesar 78% sebagai Assistant Development Program dengan posisi sebagai -</v>
      </c>
    </row>
    <row r="19" spans="4:19" ht="15" thickBot="1" x14ac:dyDescent="0.4">
      <c r="N19" s="56"/>
      <c r="O19" s="56"/>
      <c r="P19" s="56"/>
      <c r="Q19" s="56"/>
      <c r="R19" s="56"/>
      <c r="S19" s="56"/>
    </row>
    <row r="20" spans="4:19" x14ac:dyDescent="0.35">
      <c r="N20" s="56"/>
      <c r="O20" s="72"/>
      <c r="P20" s="73"/>
      <c r="Q20" s="73"/>
      <c r="R20" s="74"/>
      <c r="S20" s="56"/>
    </row>
    <row r="21" spans="4:19" ht="15" thickBot="1" x14ac:dyDescent="0.4">
      <c r="N21" s="56"/>
      <c r="O21" s="75"/>
      <c r="P21" s="76" t="s">
        <v>185</v>
      </c>
      <c r="Q21" s="76" t="s">
        <v>184</v>
      </c>
      <c r="R21" s="77" t="str">
        <f>VLOOKUP($B$1,datadiri,2,FALSE)</f>
        <v>BKADP_20230001506</v>
      </c>
      <c r="S21" s="56"/>
    </row>
    <row r="22" spans="4:19" ht="15" thickBot="1" x14ac:dyDescent="0.4">
      <c r="N22" s="56"/>
      <c r="O22" s="75"/>
      <c r="P22" s="76" t="s">
        <v>2</v>
      </c>
      <c r="Q22" s="76" t="s">
        <v>184</v>
      </c>
      <c r="R22" s="77" t="str">
        <f>B1</f>
        <v>Anissa Nabilah Astri Ningsih</v>
      </c>
      <c r="S22" s="56"/>
    </row>
    <row r="23" spans="4:19" ht="15" thickBot="1" x14ac:dyDescent="0.4">
      <c r="N23" s="56"/>
      <c r="O23" s="75"/>
      <c r="P23" s="76" t="s">
        <v>186</v>
      </c>
      <c r="Q23" s="76" t="s">
        <v>184</v>
      </c>
      <c r="R23" s="77" t="str">
        <f>B2</f>
        <v>Pangkalan Bun, 03 Desember 1999</v>
      </c>
      <c r="S23" s="56"/>
    </row>
    <row r="24" spans="4:19" ht="15" thickBot="1" x14ac:dyDescent="0.4">
      <c r="N24" s="56"/>
      <c r="O24" s="75"/>
      <c r="P24" s="76" t="s">
        <v>64</v>
      </c>
      <c r="Q24" s="76" t="s">
        <v>187</v>
      </c>
      <c r="R24" s="78" t="str">
        <f>B3</f>
        <v>S1 - Perbankan Syariah</v>
      </c>
      <c r="S24" s="56"/>
    </row>
    <row r="25" spans="4:19" ht="15" thickBot="1" x14ac:dyDescent="0.4">
      <c r="N25" s="56"/>
      <c r="O25" s="75"/>
      <c r="P25" s="76" t="s">
        <v>188</v>
      </c>
      <c r="Q25" s="76" t="s">
        <v>184</v>
      </c>
      <c r="R25" s="77"/>
      <c r="S25" s="56"/>
    </row>
    <row r="26" spans="4:19" ht="15" thickBot="1" x14ac:dyDescent="0.4">
      <c r="N26" s="56"/>
      <c r="O26" s="75"/>
      <c r="P26" s="76" t="s">
        <v>189</v>
      </c>
      <c r="Q26" s="76" t="s">
        <v>184</v>
      </c>
      <c r="R26" s="106">
        <f>VLOOKUP($B$1,datadiri,5,FALSE)</f>
        <v>45238</v>
      </c>
      <c r="S26" s="56"/>
    </row>
    <row r="27" spans="4:19" ht="15" thickBot="1" x14ac:dyDescent="0.4">
      <c r="N27" s="56"/>
      <c r="O27" s="79"/>
      <c r="P27" s="80"/>
      <c r="Q27" s="80"/>
      <c r="R27" s="77"/>
      <c r="S27" s="56"/>
    </row>
    <row r="28" spans="4:19" x14ac:dyDescent="0.35">
      <c r="N28" s="56"/>
      <c r="O28" s="57"/>
      <c r="P28" s="58"/>
      <c r="Q28" s="58"/>
      <c r="R28" s="58"/>
      <c r="S28" s="56"/>
    </row>
    <row r="29" spans="4:19" x14ac:dyDescent="0.35">
      <c r="O29" s="45"/>
      <c r="P29"/>
      <c r="Q29"/>
      <c r="R29"/>
    </row>
    <row r="1048561" spans="1:33" x14ac:dyDescent="0.35">
      <c r="A1048561" s="40"/>
    </row>
    <row r="1048562" spans="1:33" x14ac:dyDescent="0.35">
      <c r="A1048562" s="40">
        <v>0.5</v>
      </c>
      <c r="B1048562" s="40" t="s">
        <v>178</v>
      </c>
    </row>
    <row r="1048563" spans="1:33" x14ac:dyDescent="0.35">
      <c r="A1048563" s="40">
        <v>0.7</v>
      </c>
      <c r="B1048563" s="40" t="s">
        <v>177</v>
      </c>
    </row>
    <row r="1048564" spans="1:33" x14ac:dyDescent="0.35">
      <c r="A1048564" s="40">
        <v>0.9</v>
      </c>
      <c r="B1048564" s="40" t="s">
        <v>176</v>
      </c>
    </row>
    <row r="1048565" spans="1:33" x14ac:dyDescent="0.35">
      <c r="A1048565" s="40"/>
    </row>
    <row r="1048566" spans="1:33" x14ac:dyDescent="0.35">
      <c r="A1048566" s="40"/>
    </row>
    <row r="1048569" spans="1:33" x14ac:dyDescent="0.35">
      <c r="A1048569" s="38" t="s">
        <v>168</v>
      </c>
      <c r="B1048569" s="38" t="s">
        <v>169</v>
      </c>
      <c r="C1048569" s="38" t="s">
        <v>170</v>
      </c>
      <c r="D1048569" s="38" t="s">
        <v>171</v>
      </c>
      <c r="E1048569" s="38" t="s">
        <v>172</v>
      </c>
      <c r="G1048569" s="38" t="s">
        <v>168</v>
      </c>
      <c r="H1048569" s="38" t="s">
        <v>169</v>
      </c>
      <c r="I1048569" s="38" t="s">
        <v>170</v>
      </c>
      <c r="J1048569" s="38" t="s">
        <v>171</v>
      </c>
      <c r="K1048569" s="38" t="s">
        <v>172</v>
      </c>
    </row>
    <row r="1048570" spans="1:33" x14ac:dyDescent="0.35">
      <c r="A1048570" s="38" t="e">
        <f>IF($B$1=INDIVIDUAL!$B$1,HLOOKUP(A1048569,REKOMENDASI,2,FALSE))</f>
        <v>#N/A</v>
      </c>
      <c r="B1048570" s="38" t="e">
        <f>IF($B$1=INDIVIDUAL!$B$1,HLOOKUP(B1048569,REKOMENDASI,2,FALSE))</f>
        <v>#N/A</v>
      </c>
      <c r="C1048570" s="38" t="e">
        <f>IF($B$1=INDIVIDUAL!$B$1,HLOOKUP(C1048569,REKOMENDASI,2,FALSE))</f>
        <v>#N/A</v>
      </c>
      <c r="D1048570" s="38" t="e">
        <f>IF($B$1=INDIVIDUAL!$B$1,HLOOKUP(D1048569,REKOMENDASI,2,FALSE))</f>
        <v>#N/A</v>
      </c>
      <c r="E1048570" s="38" t="e">
        <f>IF($B$1=INDIVIDUAL!$B$1,HLOOKUP(E1048569,REKOMENDASI,2,FALSE))</f>
        <v>#N/A</v>
      </c>
      <c r="G1048570" s="39">
        <f>ROUND(G1048571,0)</f>
        <v>1</v>
      </c>
      <c r="H1048570" s="39">
        <f>ROUND(H1048571,0)</f>
        <v>1</v>
      </c>
      <c r="I1048570" s="39">
        <f>ROUND(I1048571,0)</f>
        <v>1</v>
      </c>
      <c r="J1048570" s="39">
        <f>ROUND(J1048571,0)</f>
        <v>1</v>
      </c>
      <c r="K1048570" s="39">
        <f>ROUND(K1048571,0)</f>
        <v>1</v>
      </c>
    </row>
    <row r="1048571" spans="1:33" x14ac:dyDescent="0.35">
      <c r="A1048571" s="38" t="e">
        <f>VLOOKUP(A1048570,$A$1048575:$B$1048576,2,FALSE)</f>
        <v>#N/A</v>
      </c>
      <c r="B1048571" s="38" t="e">
        <f t="shared" ref="B1048571:E1048571" si="1">VLOOKUP(B1048570,$A$1048575:$B$1048576,2,FALSE)</f>
        <v>#N/A</v>
      </c>
      <c r="C1048571" s="38" t="e">
        <f t="shared" si="1"/>
        <v>#N/A</v>
      </c>
      <c r="D1048571" s="38" t="e">
        <f t="shared" si="1"/>
        <v>#N/A</v>
      </c>
      <c r="E1048571" s="38" t="e">
        <f t="shared" si="1"/>
        <v>#N/A</v>
      </c>
      <c r="G1048571" s="38">
        <f>AVERAGE(E10:M10)</f>
        <v>1.2222222222222223</v>
      </c>
      <c r="H1048571" s="38">
        <f>AVERAGE(D10,F10,G10,H10,I10,J10,L10,M10)</f>
        <v>1</v>
      </c>
      <c r="I1048571" s="38">
        <f>AVERAGE(E10,F10,G10,H10,J10,K10,L10,M10,N10,O10,P10)</f>
        <v>1.2727272727272727</v>
      </c>
      <c r="J1048571" s="38">
        <f>AVERAGE(E10,F10,G10,H10,J10,K10,L10,M10,N10,O10,P10)</f>
        <v>1.2727272727272727</v>
      </c>
      <c r="K1048571" s="38">
        <f>AVERAGE(F10,G10,H10,I10,J10,K10,L10,M10,P10)</f>
        <v>1.1111111111111112</v>
      </c>
      <c r="AB1048571" s="13"/>
      <c r="AC1048571" s="13"/>
      <c r="AD1048571" s="13"/>
      <c r="AE1048571" s="13"/>
      <c r="AF1048571" s="13"/>
      <c r="AG1048571" s="13"/>
    </row>
    <row r="1048573" spans="1:33" x14ac:dyDescent="0.35">
      <c r="D1048573" s="154" t="s">
        <v>61</v>
      </c>
      <c r="E1048573" s="154"/>
      <c r="F1048573" s="154"/>
      <c r="G1048573" s="154"/>
      <c r="H1048573" s="154"/>
      <c r="I1048573" s="154"/>
      <c r="J1048573" s="154" t="s">
        <v>54</v>
      </c>
      <c r="K1048573" s="154"/>
      <c r="L1048573" s="154"/>
      <c r="M1048573" s="154"/>
      <c r="N1048573" s="154" t="s">
        <v>49</v>
      </c>
      <c r="O1048573" s="154"/>
      <c r="P1048573" s="154"/>
      <c r="Q1048573" s="154" t="s">
        <v>45</v>
      </c>
      <c r="R1048573" s="154"/>
      <c r="S1048573" s="154"/>
      <c r="T1048573" s="154"/>
      <c r="U1048573" s="154" t="s">
        <v>109</v>
      </c>
      <c r="V1048573" s="154"/>
      <c r="W1048573" s="154"/>
      <c r="X1048573" s="154" t="s">
        <v>105</v>
      </c>
      <c r="Y1048573" s="154"/>
      <c r="Z1048573" s="154"/>
      <c r="AA1048573" s="154"/>
      <c r="AB1048573" s="154"/>
      <c r="AC1048573" s="154" t="s">
        <v>100</v>
      </c>
      <c r="AD1048573" s="154"/>
      <c r="AE1048573" s="154"/>
      <c r="AF1048573" s="154"/>
      <c r="AG1048573" s="154"/>
    </row>
    <row r="1048574" spans="1:33" x14ac:dyDescent="0.35">
      <c r="D1048574" s="13" t="s">
        <v>60</v>
      </c>
      <c r="E1048574" s="13" t="s">
        <v>59</v>
      </c>
      <c r="F1048574" s="13" t="s">
        <v>58</v>
      </c>
      <c r="G1048574" s="13" t="s">
        <v>57</v>
      </c>
      <c r="H1048574" s="13" t="s">
        <v>56</v>
      </c>
      <c r="I1048574" s="13" t="s">
        <v>55</v>
      </c>
      <c r="J1048574" s="13" t="s">
        <v>53</v>
      </c>
      <c r="K1048574" s="13" t="s">
        <v>52</v>
      </c>
      <c r="L1048574" s="13" t="s">
        <v>51</v>
      </c>
      <c r="M1048574" s="13" t="s">
        <v>50</v>
      </c>
      <c r="N1048574" s="13" t="s">
        <v>48</v>
      </c>
      <c r="O1048574" s="13" t="s">
        <v>47</v>
      </c>
      <c r="P1048574" s="13" t="s">
        <v>46</v>
      </c>
      <c r="Q1048574" s="13" t="s">
        <v>44</v>
      </c>
      <c r="R1048574" s="13" t="s">
        <v>43</v>
      </c>
      <c r="S1048574" s="13" t="s">
        <v>42</v>
      </c>
      <c r="T1048574" s="13" t="s">
        <v>62</v>
      </c>
      <c r="U1048574" s="38" t="s">
        <v>108</v>
      </c>
      <c r="V1048574" s="38" t="s">
        <v>107</v>
      </c>
      <c r="W1048574" s="38" t="s">
        <v>106</v>
      </c>
      <c r="X1048574" s="38" t="s">
        <v>101</v>
      </c>
      <c r="Y1048574" s="38" t="s">
        <v>102</v>
      </c>
      <c r="Z1048574" s="38" t="s">
        <v>103</v>
      </c>
      <c r="AA1048574" s="38" t="s">
        <v>104</v>
      </c>
      <c r="AB1048574" s="38" t="s">
        <v>94</v>
      </c>
      <c r="AC1048574" s="38" t="s">
        <v>95</v>
      </c>
      <c r="AD1048574" s="38" t="s">
        <v>96</v>
      </c>
      <c r="AE1048574" s="38" t="s">
        <v>97</v>
      </c>
      <c r="AF1048574" s="38" t="s">
        <v>98</v>
      </c>
      <c r="AG1048574" s="38" t="s">
        <v>99</v>
      </c>
    </row>
    <row r="1048575" spans="1:33" x14ac:dyDescent="0.35">
      <c r="A1048575" s="38" t="s">
        <v>173</v>
      </c>
      <c r="B1048575" s="38">
        <v>1</v>
      </c>
      <c r="D1048575" s="38">
        <v>3</v>
      </c>
      <c r="E1048575" s="38">
        <v>3</v>
      </c>
      <c r="F1048575" s="38">
        <v>3</v>
      </c>
      <c r="G1048575" s="38">
        <v>3</v>
      </c>
      <c r="H1048575" s="38">
        <v>3</v>
      </c>
      <c r="I1048575" s="38">
        <v>3</v>
      </c>
      <c r="J1048575" s="38">
        <v>3</v>
      </c>
      <c r="K1048575" s="38">
        <v>3</v>
      </c>
      <c r="L1048575" s="38">
        <v>3</v>
      </c>
      <c r="M1048575" s="38">
        <v>3</v>
      </c>
      <c r="N1048575" s="38">
        <v>3</v>
      </c>
      <c r="O1048575" s="38">
        <v>3</v>
      </c>
      <c r="P1048575" s="38">
        <v>3</v>
      </c>
      <c r="Q1048575" s="38">
        <v>3</v>
      </c>
      <c r="R1048575" s="38">
        <v>3</v>
      </c>
      <c r="S1048575" s="38">
        <v>3</v>
      </c>
      <c r="T1048575" s="38">
        <v>3</v>
      </c>
      <c r="U1048575" s="38">
        <v>2</v>
      </c>
      <c r="V1048575" s="38">
        <v>3</v>
      </c>
      <c r="W1048575" s="38">
        <v>3</v>
      </c>
      <c r="X1048575" s="38">
        <v>2</v>
      </c>
      <c r="Y1048575" s="38">
        <v>2</v>
      </c>
      <c r="Z1048575" s="38">
        <v>2</v>
      </c>
      <c r="AA1048575" s="38">
        <v>2</v>
      </c>
      <c r="AB1048575" s="38">
        <v>2</v>
      </c>
      <c r="AC1048575" s="38">
        <v>2</v>
      </c>
      <c r="AD1048575" s="38">
        <v>2</v>
      </c>
      <c r="AE1048575" s="38">
        <v>2</v>
      </c>
      <c r="AF1048575" s="38">
        <v>2</v>
      </c>
      <c r="AG1048575" s="38">
        <v>3</v>
      </c>
    </row>
    <row r="1048576" spans="1:33" x14ac:dyDescent="0.35">
      <c r="A1048576" s="38" t="s">
        <v>174</v>
      </c>
      <c r="B1048576" s="38">
        <v>2</v>
      </c>
      <c r="D1048576" s="38">
        <f t="shared" ref="D1048576:T1048576" si="2">HLOOKUP(D1048574,grafik,2,FALSE)</f>
        <v>2</v>
      </c>
      <c r="E1048576" s="38">
        <f t="shared" si="2"/>
        <v>3</v>
      </c>
      <c r="F1048576" s="38">
        <f t="shared" si="2"/>
        <v>2</v>
      </c>
      <c r="G1048576" s="38">
        <f t="shared" si="2"/>
        <v>2</v>
      </c>
      <c r="H1048576" s="38">
        <f t="shared" si="2"/>
        <v>2</v>
      </c>
      <c r="I1048576" s="38">
        <f t="shared" si="2"/>
        <v>2</v>
      </c>
      <c r="J1048576" s="38">
        <f t="shared" si="2"/>
        <v>2</v>
      </c>
      <c r="K1048576" s="38">
        <f t="shared" si="2"/>
        <v>3</v>
      </c>
      <c r="L1048576" s="38">
        <f t="shared" si="2"/>
        <v>2</v>
      </c>
      <c r="M1048576" s="38">
        <f t="shared" si="2"/>
        <v>3</v>
      </c>
      <c r="N1048576" s="38">
        <f t="shared" si="2"/>
        <v>2</v>
      </c>
      <c r="O1048576" s="38">
        <f t="shared" si="2"/>
        <v>2</v>
      </c>
      <c r="P1048576" s="38">
        <f t="shared" si="2"/>
        <v>3</v>
      </c>
      <c r="Q1048576" s="38">
        <f t="shared" si="2"/>
        <v>3</v>
      </c>
      <c r="R1048576" s="38">
        <f t="shared" si="2"/>
        <v>2</v>
      </c>
      <c r="S1048576" s="38">
        <f t="shared" si="2"/>
        <v>2</v>
      </c>
      <c r="T1048576" s="38">
        <f t="shared" si="2"/>
        <v>3</v>
      </c>
      <c r="U1048576" s="38">
        <f t="shared" ref="U1048576:AG1048576" si="3">HLOOKUP(U1048574,$D$9:$Q$10,2,FALSE)</f>
        <v>1</v>
      </c>
      <c r="V1048576" s="38">
        <f t="shared" si="3"/>
        <v>1</v>
      </c>
      <c r="W1048576" s="38">
        <f t="shared" si="3"/>
        <v>2</v>
      </c>
      <c r="X1048576" s="38">
        <f t="shared" si="3"/>
        <v>1</v>
      </c>
      <c r="Y1048576" s="38">
        <f t="shared" si="3"/>
        <v>1</v>
      </c>
      <c r="Z1048576" s="38">
        <f t="shared" si="3"/>
        <v>2</v>
      </c>
      <c r="AA1048576" s="38">
        <f t="shared" si="3"/>
        <v>1</v>
      </c>
      <c r="AB1048576" s="38">
        <f t="shared" si="3"/>
        <v>1</v>
      </c>
      <c r="AC1048576" s="38">
        <f t="shared" si="3"/>
        <v>1</v>
      </c>
      <c r="AD1048576" s="38">
        <f t="shared" si="3"/>
        <v>1</v>
      </c>
      <c r="AE1048576" s="38">
        <f t="shared" si="3"/>
        <v>1</v>
      </c>
      <c r="AF1048576" s="38">
        <f t="shared" si="3"/>
        <v>2</v>
      </c>
      <c r="AG1048576" s="38">
        <f t="shared" si="3"/>
        <v>1</v>
      </c>
    </row>
  </sheetData>
  <mergeCells count="21">
    <mergeCell ref="X13:AA13"/>
    <mergeCell ref="AB13:AD13"/>
    <mergeCell ref="D8:I8"/>
    <mergeCell ref="J8:M8"/>
    <mergeCell ref="N8:P8"/>
    <mergeCell ref="A13:D13"/>
    <mergeCell ref="E13:G13"/>
    <mergeCell ref="H13:K13"/>
    <mergeCell ref="L13:Q13"/>
    <mergeCell ref="R13:W13"/>
    <mergeCell ref="K4:N4"/>
    <mergeCell ref="O4:T4"/>
    <mergeCell ref="D4:G4"/>
    <mergeCell ref="H4:J4"/>
    <mergeCell ref="U1048573:W1048573"/>
    <mergeCell ref="X1048573:AB1048573"/>
    <mergeCell ref="AC1048573:AG1048573"/>
    <mergeCell ref="D1048573:I1048573"/>
    <mergeCell ref="J1048573:M1048573"/>
    <mergeCell ref="N1048573:P1048573"/>
    <mergeCell ref="Q1048573:T1048573"/>
  </mergeCells>
  <pageMargins left="0.7" right="0.7" top="0.75" bottom="0.75" header="0.3" footer="0.3"/>
  <pageSetup paperSize="9" orientation="portrait" horizontalDpi="4294967293"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5F29999-B1E3-4C79-8D76-FBDCA0A1C155}">
          <x14:formula1>
            <xm:f>Ref!$F$34:$F$38</xm:f>
          </x14:formula1>
          <xm:sqref>Q2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B175F-D955-40CC-ACF1-CDA444561D17}">
  <sheetPr codeName="Sheet15"/>
  <dimension ref="A1:AQ309"/>
  <sheetViews>
    <sheetView zoomScale="74" zoomScaleNormal="74" workbookViewId="0">
      <pane xSplit="2" ySplit="2" topLeftCell="Q5" activePane="bottomRight" state="frozen"/>
      <selection pane="topRight" activeCell="C1" sqref="C1"/>
      <selection pane="bottomLeft" activeCell="A3" sqref="A3"/>
      <selection pane="bottomRight" activeCell="G10" sqref="G10:AJ10"/>
    </sheetView>
  </sheetViews>
  <sheetFormatPr defaultRowHeight="14.5" x14ac:dyDescent="0.35"/>
  <cols>
    <col min="2" max="4" width="24.81640625" customWidth="1"/>
    <col min="39" max="41" width="12.54296875" customWidth="1"/>
    <col min="42" max="43" width="35.54296875" customWidth="1"/>
  </cols>
  <sheetData>
    <row r="1" spans="1:43" s="61" customFormat="1" x14ac:dyDescent="0.35">
      <c r="A1" s="162" t="s">
        <v>231</v>
      </c>
      <c r="B1" s="162" t="s">
        <v>2</v>
      </c>
      <c r="C1" s="163" t="s">
        <v>63</v>
      </c>
      <c r="D1" s="163" t="s">
        <v>64</v>
      </c>
      <c r="E1" s="163" t="s">
        <v>40</v>
      </c>
      <c r="F1" s="163" t="s">
        <v>232</v>
      </c>
      <c r="G1" s="161" t="s">
        <v>45</v>
      </c>
      <c r="H1" s="161"/>
      <c r="I1" s="161"/>
      <c r="J1" s="161"/>
      <c r="K1" s="161" t="s">
        <v>49</v>
      </c>
      <c r="L1" s="161"/>
      <c r="M1" s="161"/>
      <c r="N1" s="161" t="s">
        <v>54</v>
      </c>
      <c r="O1" s="161"/>
      <c r="P1" s="161"/>
      <c r="Q1" s="161"/>
      <c r="R1" s="161" t="s">
        <v>61</v>
      </c>
      <c r="S1" s="161"/>
      <c r="T1" s="161"/>
      <c r="U1" s="161"/>
      <c r="V1" s="161"/>
      <c r="W1" s="161"/>
      <c r="X1" s="161" t="s">
        <v>100</v>
      </c>
      <c r="Y1" s="161"/>
      <c r="Z1" s="161"/>
      <c r="AA1" s="161"/>
      <c r="AB1" s="161"/>
      <c r="AC1" s="161"/>
      <c r="AD1" s="161" t="s">
        <v>105</v>
      </c>
      <c r="AE1" s="161"/>
      <c r="AF1" s="161"/>
      <c r="AG1" s="161"/>
      <c r="AH1" s="161" t="s">
        <v>109</v>
      </c>
      <c r="AI1" s="161"/>
      <c r="AJ1" s="161"/>
      <c r="AK1" s="163" t="s">
        <v>233</v>
      </c>
      <c r="AL1" s="163" t="s">
        <v>167</v>
      </c>
      <c r="AM1" s="164" t="s">
        <v>175</v>
      </c>
      <c r="AN1" s="164"/>
      <c r="AO1" s="164"/>
      <c r="AP1" s="163" t="s">
        <v>192</v>
      </c>
      <c r="AQ1" s="163" t="s">
        <v>234</v>
      </c>
    </row>
    <row r="2" spans="1:43" s="61" customFormat="1" ht="72.5" x14ac:dyDescent="0.35">
      <c r="A2" s="162"/>
      <c r="B2" s="162"/>
      <c r="C2" s="163"/>
      <c r="D2" s="163"/>
      <c r="E2" s="163"/>
      <c r="F2" s="163"/>
      <c r="G2" s="63" t="s">
        <v>62</v>
      </c>
      <c r="H2" s="63" t="s">
        <v>42</v>
      </c>
      <c r="I2" s="63" t="s">
        <v>43</v>
      </c>
      <c r="J2" s="63" t="s">
        <v>44</v>
      </c>
      <c r="K2" s="63" t="s">
        <v>46</v>
      </c>
      <c r="L2" s="63" t="s">
        <v>47</v>
      </c>
      <c r="M2" s="63" t="s">
        <v>48</v>
      </c>
      <c r="N2" s="63" t="s">
        <v>50</v>
      </c>
      <c r="O2" s="63" t="s">
        <v>51</v>
      </c>
      <c r="P2" s="63" t="s">
        <v>52</v>
      </c>
      <c r="Q2" s="63" t="s">
        <v>53</v>
      </c>
      <c r="R2" s="63" t="s">
        <v>55</v>
      </c>
      <c r="S2" s="63" t="s">
        <v>56</v>
      </c>
      <c r="T2" s="63" t="s">
        <v>57</v>
      </c>
      <c r="U2" s="63" t="s">
        <v>58</v>
      </c>
      <c r="V2" s="63" t="s">
        <v>59</v>
      </c>
      <c r="W2" s="63" t="s">
        <v>60</v>
      </c>
      <c r="X2" s="63" t="s">
        <v>99</v>
      </c>
      <c r="Y2" s="63" t="s">
        <v>98</v>
      </c>
      <c r="Z2" s="63" t="s">
        <v>97</v>
      </c>
      <c r="AA2" s="63" t="s">
        <v>96</v>
      </c>
      <c r="AB2" s="63" t="s">
        <v>95</v>
      </c>
      <c r="AC2" s="63" t="s">
        <v>94</v>
      </c>
      <c r="AD2" s="63" t="s">
        <v>104</v>
      </c>
      <c r="AE2" s="63" t="s">
        <v>103</v>
      </c>
      <c r="AF2" s="63" t="s">
        <v>102</v>
      </c>
      <c r="AG2" s="63" t="s">
        <v>101</v>
      </c>
      <c r="AH2" s="63" t="s">
        <v>106</v>
      </c>
      <c r="AI2" s="63" t="s">
        <v>107</v>
      </c>
      <c r="AJ2" s="63" t="s">
        <v>108</v>
      </c>
      <c r="AK2" s="163"/>
      <c r="AL2" s="163"/>
      <c r="AM2" s="62" t="s">
        <v>237</v>
      </c>
      <c r="AN2" s="62" t="s">
        <v>238</v>
      </c>
      <c r="AO2" s="62" t="s">
        <v>239</v>
      </c>
      <c r="AP2" s="163"/>
      <c r="AQ2" s="163"/>
    </row>
    <row r="3" spans="1:43" ht="50" x14ac:dyDescent="0.35">
      <c r="A3" s="64">
        <v>1</v>
      </c>
      <c r="B3" s="67" t="s">
        <v>1055</v>
      </c>
      <c r="C3" s="67" t="str">
        <f t="shared" ref="C3:C66" si="0">VLOOKUP(B3,datadiri,3,FALSE)</f>
        <v>Pangkalanbun, 10 Juni 1997</v>
      </c>
      <c r="D3" s="67" t="str">
        <f t="shared" ref="D3:D66" si="1">VLOOKUP(B3,datadiri,4,FALSE)</f>
        <v>S1 - Manajemen</v>
      </c>
      <c r="E3" s="66">
        <f t="shared" ref="E3:E66" si="2">VLOOKUP(B3,tiunam,2,FALSE)</f>
        <v>114</v>
      </c>
      <c r="F3" s="66" t="str">
        <f t="shared" ref="F3:F66" si="3">VLOOKUP(B3,tiunam,3,FALSE)</f>
        <v>Baik</v>
      </c>
      <c r="G3" s="88">
        <v>2</v>
      </c>
      <c r="H3" s="88">
        <v>3</v>
      </c>
      <c r="I3" s="88">
        <v>2</v>
      </c>
      <c r="J3" s="88">
        <v>3</v>
      </c>
      <c r="K3" s="88">
        <v>4</v>
      </c>
      <c r="L3" s="88">
        <v>3</v>
      </c>
      <c r="M3" s="88">
        <v>2</v>
      </c>
      <c r="N3" s="88">
        <v>3</v>
      </c>
      <c r="O3" s="88">
        <v>2</v>
      </c>
      <c r="P3" s="88">
        <v>3</v>
      </c>
      <c r="Q3" s="88"/>
      <c r="R3" s="88"/>
      <c r="S3" s="88"/>
      <c r="T3" s="88"/>
      <c r="U3" s="88"/>
      <c r="V3" s="88"/>
      <c r="W3" s="88"/>
      <c r="X3" s="89"/>
      <c r="Y3" s="89"/>
      <c r="Z3" s="89"/>
      <c r="AA3" s="89"/>
      <c r="AB3" s="89"/>
      <c r="AC3" s="89"/>
      <c r="AD3" s="89"/>
      <c r="AE3" s="89"/>
      <c r="AF3" s="89"/>
      <c r="AG3" s="89"/>
      <c r="AH3" s="89"/>
      <c r="AI3" s="89"/>
      <c r="AJ3" s="89"/>
      <c r="AK3" s="65">
        <f>SUM(X3:AJ3)/29</f>
        <v>0</v>
      </c>
      <c r="AL3" s="66" t="str">
        <f t="shared" ref="AL3:AL66" si="4">VLOOKUP(AK3,judge,2,TRUE)</f>
        <v>Tidak disarankan</v>
      </c>
      <c r="AM3" s="67" t="s">
        <v>235</v>
      </c>
      <c r="AN3" s="67" t="s">
        <v>235</v>
      </c>
      <c r="AO3" s="67" t="s">
        <v>235</v>
      </c>
      <c r="AP3" s="67" t="s">
        <v>236</v>
      </c>
      <c r="AQ3" s="67" t="s">
        <v>236</v>
      </c>
    </row>
    <row r="4" spans="1:43" ht="50" x14ac:dyDescent="0.35">
      <c r="A4" s="64">
        <v>2</v>
      </c>
      <c r="B4" s="67" t="s">
        <v>322</v>
      </c>
      <c r="C4" s="67" t="str">
        <f t="shared" si="0"/>
        <v>Palangka Raya, 25 Juli 1997</v>
      </c>
      <c r="D4" s="67" t="str">
        <f t="shared" si="1"/>
        <v>S1 - Manajemen</v>
      </c>
      <c r="E4" s="66">
        <f t="shared" si="2"/>
        <v>109</v>
      </c>
      <c r="F4" s="66" t="str">
        <f t="shared" si="3"/>
        <v>Rata-rata</v>
      </c>
      <c r="G4" s="88">
        <v>2</v>
      </c>
      <c r="H4" s="88">
        <v>2</v>
      </c>
      <c r="I4" s="88">
        <v>2</v>
      </c>
      <c r="J4" s="88">
        <v>3</v>
      </c>
      <c r="K4" s="88">
        <v>3</v>
      </c>
      <c r="L4" s="88">
        <v>2</v>
      </c>
      <c r="M4" s="88">
        <v>2</v>
      </c>
      <c r="N4" s="88">
        <v>3</v>
      </c>
      <c r="O4" s="88">
        <v>2</v>
      </c>
      <c r="P4" s="88">
        <v>3</v>
      </c>
      <c r="Q4" s="88">
        <v>2</v>
      </c>
      <c r="R4" s="88">
        <v>2</v>
      </c>
      <c r="S4" s="88">
        <v>2</v>
      </c>
      <c r="T4" s="88">
        <v>2</v>
      </c>
      <c r="U4" s="88">
        <v>2</v>
      </c>
      <c r="V4" s="88">
        <v>3</v>
      </c>
      <c r="W4" s="88">
        <v>2</v>
      </c>
      <c r="X4" s="89">
        <v>1</v>
      </c>
      <c r="Y4" s="89">
        <v>1</v>
      </c>
      <c r="Z4" s="89">
        <v>1</v>
      </c>
      <c r="AA4" s="89">
        <v>2</v>
      </c>
      <c r="AB4" s="89">
        <v>0</v>
      </c>
      <c r="AC4" s="89">
        <v>1</v>
      </c>
      <c r="AD4" s="89">
        <v>1</v>
      </c>
      <c r="AE4" s="89">
        <v>1</v>
      </c>
      <c r="AF4" s="89">
        <v>2</v>
      </c>
      <c r="AG4" s="89">
        <v>1</v>
      </c>
      <c r="AH4" s="89">
        <v>2</v>
      </c>
      <c r="AI4" s="89">
        <v>1</v>
      </c>
      <c r="AJ4" s="89">
        <v>0</v>
      </c>
      <c r="AK4" s="65">
        <f t="shared" ref="AK4:AK67" si="5">SUM(X4:AJ4)/29</f>
        <v>0.48275862068965519</v>
      </c>
      <c r="AL4" s="66" t="str">
        <f t="shared" si="4"/>
        <v>Tidak disarankan</v>
      </c>
      <c r="AM4" s="67" t="s">
        <v>235</v>
      </c>
      <c r="AN4" s="67" t="s">
        <v>235</v>
      </c>
      <c r="AO4" s="67" t="s">
        <v>235</v>
      </c>
      <c r="AP4" s="67" t="s">
        <v>236</v>
      </c>
      <c r="AQ4" s="67" t="s">
        <v>236</v>
      </c>
    </row>
    <row r="5" spans="1:43" ht="50" x14ac:dyDescent="0.35">
      <c r="A5" s="64">
        <v>3</v>
      </c>
      <c r="B5" s="67" t="s">
        <v>1198</v>
      </c>
      <c r="C5" s="67" t="str">
        <f t="shared" si="0"/>
        <v>Palangka Raya, 27 Oktober 1996</v>
      </c>
      <c r="D5" s="67" t="str">
        <f t="shared" si="1"/>
        <v>S1 - Teknik Informatika</v>
      </c>
      <c r="E5" s="66">
        <f t="shared" si="2"/>
        <v>111</v>
      </c>
      <c r="F5" s="66" t="str">
        <f t="shared" si="3"/>
        <v>Baik</v>
      </c>
      <c r="G5" s="88"/>
      <c r="H5" s="88"/>
      <c r="I5" s="88"/>
      <c r="J5" s="88"/>
      <c r="K5" s="88"/>
      <c r="L5" s="88"/>
      <c r="M5" s="88"/>
      <c r="N5" s="88"/>
      <c r="O5" s="88"/>
      <c r="P5" s="88"/>
      <c r="Q5" s="88"/>
      <c r="R5" s="88"/>
      <c r="S5" s="88"/>
      <c r="T5" s="88"/>
      <c r="U5" s="88"/>
      <c r="V5" s="88"/>
      <c r="W5" s="88"/>
      <c r="X5" s="89"/>
      <c r="Y5" s="89"/>
      <c r="Z5" s="89"/>
      <c r="AA5" s="89"/>
      <c r="AB5" s="89"/>
      <c r="AC5" s="89"/>
      <c r="AD5" s="89"/>
      <c r="AE5" s="89"/>
      <c r="AF5" s="89"/>
      <c r="AG5" s="89"/>
      <c r="AH5" s="89"/>
      <c r="AI5" s="89"/>
      <c r="AJ5" s="89"/>
      <c r="AK5" s="65">
        <f t="shared" si="5"/>
        <v>0</v>
      </c>
      <c r="AL5" s="66" t="str">
        <f t="shared" si="4"/>
        <v>Tidak disarankan</v>
      </c>
      <c r="AM5" s="67" t="s">
        <v>235</v>
      </c>
      <c r="AN5" s="67" t="s">
        <v>235</v>
      </c>
      <c r="AO5" s="67" t="s">
        <v>235</v>
      </c>
      <c r="AP5" s="67" t="s">
        <v>236</v>
      </c>
      <c r="AQ5" s="67" t="s">
        <v>236</v>
      </c>
    </row>
    <row r="6" spans="1:43" ht="50" x14ac:dyDescent="0.35">
      <c r="A6" s="64">
        <v>4</v>
      </c>
      <c r="B6" s="67" t="s">
        <v>1241</v>
      </c>
      <c r="C6" s="67" t="str">
        <f t="shared" si="0"/>
        <v>Palingkau, 15 Agustus 1997</v>
      </c>
      <c r="D6" s="67" t="str">
        <f t="shared" si="1"/>
        <v>S1 - Perbankan Syariah</v>
      </c>
      <c r="E6" s="66">
        <f t="shared" si="2"/>
        <v>111</v>
      </c>
      <c r="F6" s="66" t="str">
        <f t="shared" si="3"/>
        <v>Baik</v>
      </c>
      <c r="G6" s="88"/>
      <c r="H6" s="88"/>
      <c r="I6" s="88"/>
      <c r="J6" s="88"/>
      <c r="K6" s="88"/>
      <c r="L6" s="88"/>
      <c r="M6" s="88"/>
      <c r="N6" s="88"/>
      <c r="O6" s="88"/>
      <c r="P6" s="88"/>
      <c r="Q6" s="88"/>
      <c r="R6" s="88"/>
      <c r="S6" s="88"/>
      <c r="T6" s="88"/>
      <c r="U6" s="88"/>
      <c r="V6" s="88"/>
      <c r="W6" s="88"/>
      <c r="X6" s="89"/>
      <c r="Y6" s="89"/>
      <c r="Z6" s="89"/>
      <c r="AA6" s="89"/>
      <c r="AB6" s="89"/>
      <c r="AC6" s="89"/>
      <c r="AD6" s="89"/>
      <c r="AE6" s="89"/>
      <c r="AF6" s="89"/>
      <c r="AG6" s="89"/>
      <c r="AH6" s="89"/>
      <c r="AI6" s="89"/>
      <c r="AJ6" s="89"/>
      <c r="AK6" s="65">
        <f t="shared" si="5"/>
        <v>0</v>
      </c>
      <c r="AL6" s="66" t="str">
        <f t="shared" si="4"/>
        <v>Tidak disarankan</v>
      </c>
      <c r="AM6" s="67" t="s">
        <v>235</v>
      </c>
      <c r="AN6" s="67" t="s">
        <v>235</v>
      </c>
      <c r="AO6" s="67" t="s">
        <v>235</v>
      </c>
      <c r="AP6" s="67" t="s">
        <v>236</v>
      </c>
      <c r="AQ6" s="67" t="s">
        <v>236</v>
      </c>
    </row>
    <row r="7" spans="1:43" ht="50" x14ac:dyDescent="0.35">
      <c r="A7" s="64">
        <v>5</v>
      </c>
      <c r="B7" s="67" t="s">
        <v>1142</v>
      </c>
      <c r="C7" s="67" t="str">
        <f t="shared" si="0"/>
        <v>Jakarta, 23 Juni 1996</v>
      </c>
      <c r="D7" s="67" t="str">
        <f t="shared" si="1"/>
        <v>S1 - Sosiologi</v>
      </c>
      <c r="E7" s="66">
        <f t="shared" si="2"/>
        <v>123</v>
      </c>
      <c r="F7" s="66" t="str">
        <f t="shared" si="3"/>
        <v>Baik Sekali</v>
      </c>
      <c r="G7" s="88"/>
      <c r="H7" s="88"/>
      <c r="I7" s="88"/>
      <c r="J7" s="88"/>
      <c r="K7" s="88"/>
      <c r="L7" s="88"/>
      <c r="M7" s="88"/>
      <c r="N7" s="88"/>
      <c r="O7" s="88"/>
      <c r="P7" s="88"/>
      <c r="Q7" s="88"/>
      <c r="R7" s="88"/>
      <c r="S7" s="88"/>
      <c r="T7" s="88"/>
      <c r="U7" s="88"/>
      <c r="V7" s="88"/>
      <c r="W7" s="88"/>
      <c r="X7" s="89"/>
      <c r="Y7" s="89"/>
      <c r="Z7" s="89"/>
      <c r="AA7" s="89"/>
      <c r="AB7" s="89"/>
      <c r="AC7" s="89"/>
      <c r="AD7" s="89"/>
      <c r="AE7" s="89"/>
      <c r="AF7" s="89"/>
      <c r="AG7" s="89"/>
      <c r="AH7" s="89"/>
      <c r="AI7" s="89"/>
      <c r="AJ7" s="89"/>
      <c r="AK7" s="65">
        <f t="shared" si="5"/>
        <v>0</v>
      </c>
      <c r="AL7" s="66" t="str">
        <f t="shared" si="4"/>
        <v>Tidak disarankan</v>
      </c>
      <c r="AM7" s="67"/>
      <c r="AN7" s="67" t="s">
        <v>235</v>
      </c>
      <c r="AO7" s="67" t="s">
        <v>235</v>
      </c>
      <c r="AP7" s="67" t="s">
        <v>236</v>
      </c>
      <c r="AQ7" s="67" t="s">
        <v>236</v>
      </c>
    </row>
    <row r="8" spans="1:43" ht="50" x14ac:dyDescent="0.35">
      <c r="A8" s="64">
        <v>6</v>
      </c>
      <c r="B8" s="67" t="s">
        <v>701</v>
      </c>
      <c r="C8" s="67" t="str">
        <f t="shared" si="0"/>
        <v>Muara Teweh, 23 November 1997</v>
      </c>
      <c r="D8" s="67" t="str">
        <f t="shared" si="1"/>
        <v>S1 - Teknik Informatika</v>
      </c>
      <c r="E8" s="66">
        <f t="shared" si="2"/>
        <v>115</v>
      </c>
      <c r="F8" s="66" t="str">
        <f t="shared" si="3"/>
        <v>Baik</v>
      </c>
      <c r="G8" s="88">
        <v>3</v>
      </c>
      <c r="H8" s="88">
        <v>2</v>
      </c>
      <c r="I8" s="88">
        <v>2</v>
      </c>
      <c r="J8" s="88">
        <v>3</v>
      </c>
      <c r="K8" s="88">
        <v>3</v>
      </c>
      <c r="L8" s="88">
        <v>2</v>
      </c>
      <c r="M8" s="88">
        <v>2</v>
      </c>
      <c r="N8" s="88">
        <v>3</v>
      </c>
      <c r="O8" s="88">
        <v>2</v>
      </c>
      <c r="P8" s="88">
        <v>3</v>
      </c>
      <c r="Q8" s="88">
        <v>2</v>
      </c>
      <c r="R8" s="88">
        <v>2</v>
      </c>
      <c r="S8" s="88">
        <v>2</v>
      </c>
      <c r="T8" s="88">
        <v>2</v>
      </c>
      <c r="U8" s="88">
        <v>2</v>
      </c>
      <c r="V8" s="88">
        <v>3</v>
      </c>
      <c r="W8" s="88">
        <v>2</v>
      </c>
      <c r="X8" s="89">
        <v>1</v>
      </c>
      <c r="Y8" s="89">
        <v>2</v>
      </c>
      <c r="Z8" s="89">
        <v>2</v>
      </c>
      <c r="AA8" s="89">
        <v>2</v>
      </c>
      <c r="AB8" s="89">
        <v>1</v>
      </c>
      <c r="AC8" s="89">
        <v>2</v>
      </c>
      <c r="AD8" s="89">
        <v>1</v>
      </c>
      <c r="AE8" s="89">
        <v>1</v>
      </c>
      <c r="AF8" s="89">
        <v>2</v>
      </c>
      <c r="AG8" s="89">
        <v>2</v>
      </c>
      <c r="AH8" s="89">
        <v>3</v>
      </c>
      <c r="AI8" s="89">
        <v>2</v>
      </c>
      <c r="AJ8" s="89">
        <v>2</v>
      </c>
      <c r="AK8" s="65">
        <f t="shared" si="5"/>
        <v>0.7931034482758621</v>
      </c>
      <c r="AL8" s="66" t="str">
        <f t="shared" si="4"/>
        <v>Dipertimbangkan</v>
      </c>
      <c r="AM8" s="67" t="s">
        <v>235</v>
      </c>
      <c r="AN8" s="67" t="s">
        <v>235</v>
      </c>
      <c r="AO8" s="67" t="s">
        <v>235</v>
      </c>
      <c r="AP8" s="67" t="s">
        <v>236</v>
      </c>
      <c r="AQ8" s="67" t="s">
        <v>236</v>
      </c>
    </row>
    <row r="9" spans="1:43" ht="50" x14ac:dyDescent="0.35">
      <c r="A9" s="64">
        <v>7</v>
      </c>
      <c r="B9" s="67" t="s">
        <v>718</v>
      </c>
      <c r="C9" s="67" t="str">
        <f t="shared" si="0"/>
        <v>Palangka Raya, 28 September 1997</v>
      </c>
      <c r="D9" s="67" t="str">
        <f t="shared" si="1"/>
        <v>S1 - Teknik Informatika</v>
      </c>
      <c r="E9" s="66">
        <f t="shared" si="2"/>
        <v>115</v>
      </c>
      <c r="F9" s="66" t="str">
        <f t="shared" si="3"/>
        <v>Baik</v>
      </c>
      <c r="G9" s="88">
        <v>3</v>
      </c>
      <c r="H9" s="88">
        <v>3</v>
      </c>
      <c r="I9" s="88">
        <v>2</v>
      </c>
      <c r="J9" s="88">
        <v>3</v>
      </c>
      <c r="K9" s="88">
        <v>3</v>
      </c>
      <c r="L9" s="88">
        <v>3</v>
      </c>
      <c r="M9" s="88">
        <v>2</v>
      </c>
      <c r="N9" s="88">
        <v>3</v>
      </c>
      <c r="O9" s="88">
        <v>2</v>
      </c>
      <c r="P9" s="88">
        <v>3</v>
      </c>
      <c r="Q9" s="88">
        <v>3</v>
      </c>
      <c r="R9" s="88">
        <v>3</v>
      </c>
      <c r="S9" s="88">
        <v>2</v>
      </c>
      <c r="T9" s="88">
        <v>3</v>
      </c>
      <c r="U9" s="88">
        <v>2</v>
      </c>
      <c r="V9" s="88">
        <v>3</v>
      </c>
      <c r="W9" s="88">
        <v>2</v>
      </c>
      <c r="X9" s="89">
        <v>2</v>
      </c>
      <c r="Y9" s="89">
        <v>2</v>
      </c>
      <c r="Z9" s="89">
        <v>1</v>
      </c>
      <c r="AA9" s="89">
        <v>1</v>
      </c>
      <c r="AB9" s="89">
        <v>1</v>
      </c>
      <c r="AC9" s="89">
        <v>1</v>
      </c>
      <c r="AD9" s="89">
        <v>1</v>
      </c>
      <c r="AE9" s="89">
        <v>2</v>
      </c>
      <c r="AF9" s="89">
        <v>3</v>
      </c>
      <c r="AG9" s="89">
        <v>2</v>
      </c>
      <c r="AH9" s="89">
        <v>3</v>
      </c>
      <c r="AI9" s="89">
        <v>1</v>
      </c>
      <c r="AJ9" s="89">
        <v>1</v>
      </c>
      <c r="AK9" s="65">
        <f t="shared" si="5"/>
        <v>0.72413793103448276</v>
      </c>
      <c r="AL9" s="66" t="str">
        <f t="shared" si="4"/>
        <v>Dipertimbangkan</v>
      </c>
      <c r="AM9" s="67" t="s">
        <v>235</v>
      </c>
      <c r="AN9" s="67" t="s">
        <v>235</v>
      </c>
      <c r="AO9" s="67" t="s">
        <v>235</v>
      </c>
      <c r="AP9" s="67" t="s">
        <v>236</v>
      </c>
      <c r="AQ9" s="67" t="s">
        <v>236</v>
      </c>
    </row>
    <row r="10" spans="1:43" ht="50" x14ac:dyDescent="0.35">
      <c r="A10" s="64">
        <v>8</v>
      </c>
      <c r="B10" s="67" t="s">
        <v>345</v>
      </c>
      <c r="C10" s="67" t="str">
        <f t="shared" si="0"/>
        <v>Palangka Raya, 02 Agustus 1997</v>
      </c>
      <c r="D10" s="67" t="str">
        <f t="shared" si="1"/>
        <v>S1 - Pendidikan Luar Sekolah</v>
      </c>
      <c r="E10" s="66">
        <f t="shared" si="2"/>
        <v>116</v>
      </c>
      <c r="F10" s="66" t="str">
        <f t="shared" si="3"/>
        <v>Baik</v>
      </c>
      <c r="G10" s="88">
        <v>3</v>
      </c>
      <c r="H10" s="88">
        <v>2</v>
      </c>
      <c r="I10" s="88">
        <v>2</v>
      </c>
      <c r="J10" s="88">
        <v>3</v>
      </c>
      <c r="K10" s="88">
        <v>3</v>
      </c>
      <c r="L10" s="88">
        <v>2</v>
      </c>
      <c r="M10" s="88">
        <v>2</v>
      </c>
      <c r="N10" s="88">
        <v>3</v>
      </c>
      <c r="O10" s="88">
        <v>2</v>
      </c>
      <c r="P10" s="88">
        <v>3</v>
      </c>
      <c r="Q10" s="88">
        <v>2</v>
      </c>
      <c r="R10" s="88">
        <v>2</v>
      </c>
      <c r="S10" s="88">
        <v>2</v>
      </c>
      <c r="T10" s="88">
        <v>2</v>
      </c>
      <c r="U10" s="88">
        <v>2</v>
      </c>
      <c r="V10" s="88">
        <v>3</v>
      </c>
      <c r="W10" s="88">
        <v>2</v>
      </c>
      <c r="X10" s="89">
        <v>1</v>
      </c>
      <c r="Y10" s="89">
        <v>2</v>
      </c>
      <c r="Z10" s="89">
        <v>1</v>
      </c>
      <c r="AA10" s="89">
        <v>1</v>
      </c>
      <c r="AB10" s="89">
        <v>1</v>
      </c>
      <c r="AC10" s="89">
        <v>1</v>
      </c>
      <c r="AD10" s="89">
        <v>1</v>
      </c>
      <c r="AE10" s="89">
        <v>2</v>
      </c>
      <c r="AF10" s="89">
        <v>1</v>
      </c>
      <c r="AG10" s="89">
        <v>1</v>
      </c>
      <c r="AH10" s="89">
        <v>2</v>
      </c>
      <c r="AI10" s="89">
        <v>1</v>
      </c>
      <c r="AJ10" s="89">
        <v>1</v>
      </c>
      <c r="AK10" s="65">
        <f t="shared" si="5"/>
        <v>0.55172413793103448</v>
      </c>
      <c r="AL10" s="66" t="str">
        <f t="shared" si="4"/>
        <v>Dipertimbangkan</v>
      </c>
      <c r="AM10" s="67" t="s">
        <v>235</v>
      </c>
      <c r="AN10" s="67" t="s">
        <v>235</v>
      </c>
      <c r="AO10" s="67" t="s">
        <v>235</v>
      </c>
      <c r="AP10" s="67" t="s">
        <v>236</v>
      </c>
      <c r="AQ10" s="67" t="s">
        <v>236</v>
      </c>
    </row>
    <row r="11" spans="1:43" ht="50" x14ac:dyDescent="0.35">
      <c r="A11" s="64">
        <v>9</v>
      </c>
      <c r="B11" s="67" t="s">
        <v>328</v>
      </c>
      <c r="C11" s="67" t="str">
        <f t="shared" si="0"/>
        <v>Palangka Raya, 28 Juni 1998</v>
      </c>
      <c r="D11" s="67" t="str">
        <f t="shared" si="1"/>
        <v>S1 - Manajemen</v>
      </c>
      <c r="E11" s="66">
        <f t="shared" si="2"/>
        <v>125</v>
      </c>
      <c r="F11" s="66" t="str">
        <f t="shared" si="3"/>
        <v>Baik Sekali</v>
      </c>
      <c r="G11" s="88">
        <v>2</v>
      </c>
      <c r="H11" s="88">
        <v>2</v>
      </c>
      <c r="I11" s="88">
        <v>2</v>
      </c>
      <c r="J11" s="88">
        <v>3</v>
      </c>
      <c r="K11" s="88">
        <v>3</v>
      </c>
      <c r="L11" s="88">
        <v>2</v>
      </c>
      <c r="M11" s="88">
        <v>2</v>
      </c>
      <c r="N11" s="88">
        <v>3</v>
      </c>
      <c r="O11" s="88">
        <v>2</v>
      </c>
      <c r="P11" s="88">
        <v>3</v>
      </c>
      <c r="Q11" s="88">
        <v>2</v>
      </c>
      <c r="R11" s="88">
        <v>2</v>
      </c>
      <c r="S11" s="88">
        <v>2</v>
      </c>
      <c r="T11" s="88">
        <v>2</v>
      </c>
      <c r="U11" s="88">
        <v>2</v>
      </c>
      <c r="V11" s="88">
        <v>3</v>
      </c>
      <c r="W11" s="88">
        <v>2</v>
      </c>
      <c r="X11" s="89">
        <v>1</v>
      </c>
      <c r="Y11" s="89">
        <v>1</v>
      </c>
      <c r="Z11" s="89">
        <v>1</v>
      </c>
      <c r="AA11" s="89">
        <v>1</v>
      </c>
      <c r="AB11" s="89">
        <v>1</v>
      </c>
      <c r="AC11" s="89">
        <v>1</v>
      </c>
      <c r="AD11" s="89">
        <v>1</v>
      </c>
      <c r="AE11" s="89">
        <v>1</v>
      </c>
      <c r="AF11" s="89">
        <v>1</v>
      </c>
      <c r="AG11" s="89">
        <v>2</v>
      </c>
      <c r="AH11" s="89">
        <v>2</v>
      </c>
      <c r="AI11" s="89">
        <v>1</v>
      </c>
      <c r="AJ11" s="89">
        <v>1</v>
      </c>
      <c r="AK11" s="65">
        <f t="shared" si="5"/>
        <v>0.51724137931034486</v>
      </c>
      <c r="AL11" s="66" t="str">
        <f t="shared" si="4"/>
        <v>Dipertimbangkan</v>
      </c>
      <c r="AM11" s="67" t="s">
        <v>235</v>
      </c>
      <c r="AN11" s="67" t="s">
        <v>235</v>
      </c>
      <c r="AO11" s="67" t="s">
        <v>235</v>
      </c>
      <c r="AP11" s="67" t="s">
        <v>236</v>
      </c>
      <c r="AQ11" s="67" t="s">
        <v>236</v>
      </c>
    </row>
    <row r="12" spans="1:43" ht="50" x14ac:dyDescent="0.35">
      <c r="A12" s="64">
        <v>10</v>
      </c>
      <c r="B12" s="67" t="s">
        <v>879</v>
      </c>
      <c r="C12" s="67" t="str">
        <f t="shared" si="0"/>
        <v>Palangka Raya, 21 April 1999</v>
      </c>
      <c r="D12" s="67" t="str">
        <f t="shared" si="1"/>
        <v>S1 - Ilmu Pemerintahan</v>
      </c>
      <c r="E12" s="66">
        <f t="shared" si="2"/>
        <v>98</v>
      </c>
      <c r="F12" s="66" t="str">
        <f t="shared" si="3"/>
        <v>Rata-rata</v>
      </c>
      <c r="G12" s="88">
        <v>3</v>
      </c>
      <c r="H12" s="88">
        <v>2</v>
      </c>
      <c r="I12" s="88">
        <v>2</v>
      </c>
      <c r="J12" s="88">
        <v>3</v>
      </c>
      <c r="K12" s="88">
        <v>3</v>
      </c>
      <c r="L12" s="88">
        <v>2</v>
      </c>
      <c r="M12" s="88">
        <v>2</v>
      </c>
      <c r="N12" s="88">
        <v>3</v>
      </c>
      <c r="O12" s="88">
        <v>2</v>
      </c>
      <c r="P12" s="88">
        <v>3</v>
      </c>
      <c r="Q12" s="88">
        <v>2</v>
      </c>
      <c r="R12" s="88">
        <v>2</v>
      </c>
      <c r="S12" s="88">
        <v>2</v>
      </c>
      <c r="T12" s="88">
        <v>2</v>
      </c>
      <c r="U12" s="88">
        <v>2</v>
      </c>
      <c r="V12" s="88">
        <v>3</v>
      </c>
      <c r="W12" s="88">
        <v>2</v>
      </c>
      <c r="X12" s="89">
        <v>2</v>
      </c>
      <c r="Y12" s="89">
        <v>2</v>
      </c>
      <c r="Z12" s="89">
        <v>2</v>
      </c>
      <c r="AA12" s="89">
        <v>1</v>
      </c>
      <c r="AB12" s="89">
        <v>2</v>
      </c>
      <c r="AC12" s="89">
        <v>2</v>
      </c>
      <c r="AD12" s="89">
        <v>1</v>
      </c>
      <c r="AE12" s="89">
        <v>2</v>
      </c>
      <c r="AF12" s="89">
        <v>2</v>
      </c>
      <c r="AG12" s="89">
        <v>3</v>
      </c>
      <c r="AH12" s="89">
        <v>3</v>
      </c>
      <c r="AI12" s="89">
        <v>2</v>
      </c>
      <c r="AJ12" s="89">
        <v>1</v>
      </c>
      <c r="AK12" s="65">
        <f t="shared" si="5"/>
        <v>0.86206896551724133</v>
      </c>
      <c r="AL12" s="66" t="str">
        <f t="shared" si="4"/>
        <v>Disarankan</v>
      </c>
      <c r="AM12" s="67" t="s">
        <v>235</v>
      </c>
      <c r="AN12" s="67" t="s">
        <v>235</v>
      </c>
      <c r="AO12" s="67" t="s">
        <v>235</v>
      </c>
      <c r="AP12" s="67" t="s">
        <v>236</v>
      </c>
      <c r="AQ12" s="67" t="s">
        <v>236</v>
      </c>
    </row>
    <row r="13" spans="1:43" ht="50" x14ac:dyDescent="0.35">
      <c r="A13" s="64">
        <v>11</v>
      </c>
      <c r="B13" s="67" t="s">
        <v>1162</v>
      </c>
      <c r="C13" s="67" t="str">
        <f t="shared" si="0"/>
        <v>Palangkaraya, 11 Juni 2000</v>
      </c>
      <c r="D13" s="67" t="str">
        <f t="shared" si="1"/>
        <v>S1 - Pekerjaan Sosial</v>
      </c>
      <c r="E13" s="66">
        <f t="shared" si="2"/>
        <v>110</v>
      </c>
      <c r="F13" s="66" t="str">
        <f t="shared" si="3"/>
        <v>Baik</v>
      </c>
      <c r="G13" s="88"/>
      <c r="H13" s="88"/>
      <c r="I13" s="88"/>
      <c r="J13" s="88"/>
      <c r="K13" s="88"/>
      <c r="L13" s="88"/>
      <c r="M13" s="88"/>
      <c r="N13" s="88"/>
      <c r="O13" s="88"/>
      <c r="P13" s="88"/>
      <c r="Q13" s="88"/>
      <c r="R13" s="88"/>
      <c r="S13" s="88"/>
      <c r="T13" s="88"/>
      <c r="U13" s="88"/>
      <c r="V13" s="88"/>
      <c r="W13" s="88"/>
      <c r="X13" s="89"/>
      <c r="Y13" s="89"/>
      <c r="Z13" s="89"/>
      <c r="AA13" s="89"/>
      <c r="AB13" s="89"/>
      <c r="AC13" s="89"/>
      <c r="AD13" s="89"/>
      <c r="AE13" s="89"/>
      <c r="AF13" s="89"/>
      <c r="AG13" s="89"/>
      <c r="AH13" s="89"/>
      <c r="AI13" s="89"/>
      <c r="AJ13" s="89"/>
      <c r="AK13" s="65">
        <f t="shared" si="5"/>
        <v>0</v>
      </c>
      <c r="AL13" s="66" t="str">
        <f t="shared" si="4"/>
        <v>Tidak disarankan</v>
      </c>
      <c r="AM13" s="67" t="s">
        <v>235</v>
      </c>
      <c r="AN13" s="67" t="s">
        <v>235</v>
      </c>
      <c r="AO13" s="67" t="s">
        <v>235</v>
      </c>
      <c r="AP13" s="67" t="s">
        <v>236</v>
      </c>
      <c r="AQ13" s="67" t="s">
        <v>236</v>
      </c>
    </row>
    <row r="14" spans="1:43" ht="50" x14ac:dyDescent="0.35">
      <c r="A14" s="64">
        <v>12</v>
      </c>
      <c r="B14" s="67" t="s">
        <v>353</v>
      </c>
      <c r="C14" s="67" t="str">
        <f t="shared" si="0"/>
        <v>Banjarmasin, 06 Februari 2000</v>
      </c>
      <c r="D14" s="67" t="str">
        <f t="shared" si="1"/>
        <v>S1 - Administrasi Publik</v>
      </c>
      <c r="E14" s="66">
        <f t="shared" si="2"/>
        <v>113</v>
      </c>
      <c r="F14" s="66" t="str">
        <f t="shared" si="3"/>
        <v>Baik</v>
      </c>
      <c r="G14" s="88">
        <v>3</v>
      </c>
      <c r="H14" s="88">
        <v>2</v>
      </c>
      <c r="I14" s="88">
        <v>2</v>
      </c>
      <c r="J14" s="88">
        <v>3</v>
      </c>
      <c r="K14" s="88">
        <v>3</v>
      </c>
      <c r="L14" s="88">
        <v>2</v>
      </c>
      <c r="M14" s="88">
        <v>2</v>
      </c>
      <c r="N14" s="88">
        <v>3</v>
      </c>
      <c r="O14" s="88">
        <v>2</v>
      </c>
      <c r="P14" s="88">
        <v>3</v>
      </c>
      <c r="Q14" s="88">
        <v>2</v>
      </c>
      <c r="R14" s="88">
        <v>2</v>
      </c>
      <c r="S14" s="88">
        <v>2</v>
      </c>
      <c r="T14" s="88">
        <v>2</v>
      </c>
      <c r="U14" s="88">
        <v>2</v>
      </c>
      <c r="V14" s="88">
        <v>3</v>
      </c>
      <c r="W14" s="88">
        <v>2</v>
      </c>
      <c r="X14" s="89">
        <v>1</v>
      </c>
      <c r="Y14" s="89">
        <v>2</v>
      </c>
      <c r="Z14" s="89">
        <v>1</v>
      </c>
      <c r="AA14" s="89">
        <v>1</v>
      </c>
      <c r="AB14" s="89">
        <v>1</v>
      </c>
      <c r="AC14" s="89">
        <v>2</v>
      </c>
      <c r="AD14" s="89">
        <v>1</v>
      </c>
      <c r="AE14" s="89">
        <v>1</v>
      </c>
      <c r="AF14" s="89">
        <v>1</v>
      </c>
      <c r="AG14" s="89">
        <v>1</v>
      </c>
      <c r="AH14" s="89">
        <v>2</v>
      </c>
      <c r="AI14" s="89">
        <v>1</v>
      </c>
      <c r="AJ14" s="89">
        <v>1</v>
      </c>
      <c r="AK14" s="65">
        <f t="shared" si="5"/>
        <v>0.55172413793103448</v>
      </c>
      <c r="AL14" s="66" t="str">
        <f t="shared" si="4"/>
        <v>Dipertimbangkan</v>
      </c>
      <c r="AM14" s="67" t="s">
        <v>235</v>
      </c>
      <c r="AN14" s="67" t="s">
        <v>235</v>
      </c>
      <c r="AO14" s="67" t="s">
        <v>235</v>
      </c>
      <c r="AP14" s="67" t="s">
        <v>236</v>
      </c>
      <c r="AQ14" s="67" t="s">
        <v>236</v>
      </c>
    </row>
    <row r="15" spans="1:43" ht="50" x14ac:dyDescent="0.35">
      <c r="A15" s="64">
        <v>75</v>
      </c>
      <c r="B15" s="67" t="s">
        <v>1225</v>
      </c>
      <c r="C15" s="67" t="str">
        <f t="shared" si="0"/>
        <v>Palangka Raya, 03 Agustus 2000</v>
      </c>
      <c r="D15" s="67" t="str">
        <f t="shared" si="1"/>
        <v>S1 - Psikologi</v>
      </c>
      <c r="E15" s="66">
        <f t="shared" si="2"/>
        <v>88</v>
      </c>
      <c r="F15" s="66" t="str">
        <f t="shared" si="3"/>
        <v>Kurang</v>
      </c>
      <c r="G15" s="88"/>
      <c r="H15" s="88"/>
      <c r="I15" s="88"/>
      <c r="J15" s="88"/>
      <c r="K15" s="88"/>
      <c r="L15" s="88"/>
      <c r="M15" s="88"/>
      <c r="N15" s="88"/>
      <c r="O15" s="88"/>
      <c r="P15" s="88"/>
      <c r="Q15" s="88"/>
      <c r="R15" s="88"/>
      <c r="S15" s="88"/>
      <c r="T15" s="88"/>
      <c r="U15" s="88"/>
      <c r="V15" s="88"/>
      <c r="W15" s="88"/>
      <c r="X15" s="89"/>
      <c r="Y15" s="89"/>
      <c r="Z15" s="89"/>
      <c r="AA15" s="89"/>
      <c r="AB15" s="89"/>
      <c r="AC15" s="89"/>
      <c r="AD15" s="89"/>
      <c r="AE15" s="89"/>
      <c r="AF15" s="89"/>
      <c r="AG15" s="89"/>
      <c r="AH15" s="89"/>
      <c r="AI15" s="89"/>
      <c r="AJ15" s="89"/>
      <c r="AK15" s="65">
        <f t="shared" si="5"/>
        <v>0</v>
      </c>
      <c r="AL15" s="66" t="str">
        <f t="shared" si="4"/>
        <v>Tidak disarankan</v>
      </c>
      <c r="AM15" s="67" t="s">
        <v>235</v>
      </c>
      <c r="AN15" s="67" t="s">
        <v>235</v>
      </c>
      <c r="AO15" s="67" t="s">
        <v>235</v>
      </c>
      <c r="AP15" s="67" t="s">
        <v>236</v>
      </c>
      <c r="AQ15" s="67" t="s">
        <v>236</v>
      </c>
    </row>
    <row r="16" spans="1:43" ht="50" x14ac:dyDescent="0.35">
      <c r="A16" s="64">
        <v>14</v>
      </c>
      <c r="B16" s="67" t="s">
        <v>1064</v>
      </c>
      <c r="C16" s="67" t="str">
        <f t="shared" si="0"/>
        <v>Sampit, 19 Agustus 1998</v>
      </c>
      <c r="D16" s="67" t="str">
        <f t="shared" si="1"/>
        <v>S1 - Ilmu Hukum</v>
      </c>
      <c r="E16" s="66">
        <f t="shared" si="2"/>
        <v>103</v>
      </c>
      <c r="F16" s="66" t="str">
        <f t="shared" si="3"/>
        <v>Rata-rata</v>
      </c>
      <c r="G16" s="88"/>
      <c r="H16" s="88"/>
      <c r="I16" s="88"/>
      <c r="J16" s="88"/>
      <c r="K16" s="88"/>
      <c r="L16" s="88"/>
      <c r="M16" s="88"/>
      <c r="N16" s="88"/>
      <c r="O16" s="88"/>
      <c r="P16" s="88"/>
      <c r="Q16" s="88"/>
      <c r="R16" s="88"/>
      <c r="S16" s="88"/>
      <c r="T16" s="88"/>
      <c r="U16" s="88"/>
      <c r="V16" s="88"/>
      <c r="W16" s="88"/>
      <c r="X16" s="89"/>
      <c r="Y16" s="89"/>
      <c r="Z16" s="89"/>
      <c r="AA16" s="89"/>
      <c r="AB16" s="89"/>
      <c r="AC16" s="89"/>
      <c r="AD16" s="89"/>
      <c r="AE16" s="89"/>
      <c r="AF16" s="89"/>
      <c r="AG16" s="89"/>
      <c r="AH16" s="89"/>
      <c r="AI16" s="89"/>
      <c r="AJ16" s="89"/>
      <c r="AK16" s="65">
        <f t="shared" si="5"/>
        <v>0</v>
      </c>
      <c r="AL16" s="66" t="str">
        <f t="shared" si="4"/>
        <v>Tidak disarankan</v>
      </c>
      <c r="AM16" s="67" t="s">
        <v>235</v>
      </c>
      <c r="AN16" s="67" t="s">
        <v>235</v>
      </c>
      <c r="AO16" s="67" t="s">
        <v>235</v>
      </c>
      <c r="AP16" s="67" t="s">
        <v>236</v>
      </c>
      <c r="AQ16" s="67" t="s">
        <v>236</v>
      </c>
    </row>
    <row r="17" spans="1:43" ht="50" x14ac:dyDescent="0.35">
      <c r="A17" s="64">
        <v>15</v>
      </c>
      <c r="B17" s="67" t="s">
        <v>268</v>
      </c>
      <c r="C17" s="67" t="str">
        <f t="shared" si="0"/>
        <v>Gohong, 29 Maret 2002</v>
      </c>
      <c r="D17" s="67" t="str">
        <f t="shared" si="1"/>
        <v>S1 - Teknik Informatika</v>
      </c>
      <c r="E17" s="66">
        <f t="shared" si="2"/>
        <v>120</v>
      </c>
      <c r="F17" s="66" t="str">
        <f t="shared" si="3"/>
        <v>Baik Sekali</v>
      </c>
      <c r="G17" s="88">
        <v>3</v>
      </c>
      <c r="H17" s="88">
        <v>2</v>
      </c>
      <c r="I17" s="88">
        <v>2</v>
      </c>
      <c r="J17" s="88">
        <v>3</v>
      </c>
      <c r="K17" s="88">
        <v>3</v>
      </c>
      <c r="L17" s="88">
        <v>2</v>
      </c>
      <c r="M17" s="88">
        <v>2</v>
      </c>
      <c r="N17" s="88">
        <v>3</v>
      </c>
      <c r="O17" s="88">
        <v>2</v>
      </c>
      <c r="P17" s="88">
        <v>3</v>
      </c>
      <c r="Q17" s="88">
        <v>2</v>
      </c>
      <c r="R17" s="88">
        <v>2</v>
      </c>
      <c r="S17" s="88">
        <v>2</v>
      </c>
      <c r="T17" s="88">
        <v>2</v>
      </c>
      <c r="U17" s="88">
        <v>2</v>
      </c>
      <c r="V17" s="88">
        <v>3</v>
      </c>
      <c r="W17" s="88">
        <v>2</v>
      </c>
      <c r="X17" s="89">
        <v>1</v>
      </c>
      <c r="Y17" s="89">
        <v>1</v>
      </c>
      <c r="Z17" s="89">
        <v>2</v>
      </c>
      <c r="AA17" s="89">
        <v>2</v>
      </c>
      <c r="AB17" s="89">
        <v>1</v>
      </c>
      <c r="AC17" s="89">
        <v>1</v>
      </c>
      <c r="AD17" s="89">
        <v>1</v>
      </c>
      <c r="AE17" s="89">
        <v>1</v>
      </c>
      <c r="AF17" s="89">
        <v>2</v>
      </c>
      <c r="AG17" s="89">
        <v>2</v>
      </c>
      <c r="AH17" s="89">
        <v>2</v>
      </c>
      <c r="AI17" s="89">
        <v>1</v>
      </c>
      <c r="AJ17" s="89">
        <v>1</v>
      </c>
      <c r="AK17" s="65">
        <f t="shared" si="5"/>
        <v>0.62068965517241381</v>
      </c>
      <c r="AL17" s="66" t="str">
        <f t="shared" si="4"/>
        <v>Dipertimbangkan</v>
      </c>
      <c r="AM17" s="67" t="s">
        <v>235</v>
      </c>
      <c r="AN17" s="67" t="s">
        <v>235</v>
      </c>
      <c r="AO17" s="67" t="s">
        <v>235</v>
      </c>
      <c r="AP17" s="67" t="s">
        <v>236</v>
      </c>
      <c r="AQ17" s="67" t="s">
        <v>236</v>
      </c>
    </row>
    <row r="18" spans="1:43" ht="50" x14ac:dyDescent="0.35">
      <c r="A18" s="64">
        <v>16</v>
      </c>
      <c r="B18" s="67" t="s">
        <v>1099</v>
      </c>
      <c r="C18" s="67" t="str">
        <f t="shared" si="0"/>
        <v>Goha, 23 Agustus 2000</v>
      </c>
      <c r="D18" s="67" t="str">
        <f t="shared" si="1"/>
        <v>S1 - Manajemen Transportasi Udara</v>
      </c>
      <c r="E18" s="66">
        <f t="shared" si="2"/>
        <v>109</v>
      </c>
      <c r="F18" s="66" t="str">
        <f t="shared" si="3"/>
        <v>Rata-rata</v>
      </c>
      <c r="G18" s="88"/>
      <c r="H18" s="88"/>
      <c r="I18" s="88"/>
      <c r="J18" s="88"/>
      <c r="K18" s="88"/>
      <c r="L18" s="88"/>
      <c r="M18" s="88"/>
      <c r="N18" s="88"/>
      <c r="O18" s="88"/>
      <c r="P18" s="88"/>
      <c r="Q18" s="88"/>
      <c r="R18" s="88"/>
      <c r="S18" s="88"/>
      <c r="T18" s="88"/>
      <c r="U18" s="88"/>
      <c r="V18" s="88"/>
      <c r="W18" s="88"/>
      <c r="X18" s="89"/>
      <c r="Y18" s="89"/>
      <c r="Z18" s="89"/>
      <c r="AA18" s="89"/>
      <c r="AB18" s="89"/>
      <c r="AC18" s="89"/>
      <c r="AD18" s="89"/>
      <c r="AE18" s="89"/>
      <c r="AF18" s="89"/>
      <c r="AG18" s="89"/>
      <c r="AH18" s="89"/>
      <c r="AI18" s="89"/>
      <c r="AJ18" s="89"/>
      <c r="AK18" s="65">
        <f t="shared" si="5"/>
        <v>0</v>
      </c>
      <c r="AL18" s="66" t="str">
        <f t="shared" si="4"/>
        <v>Tidak disarankan</v>
      </c>
      <c r="AM18" s="67" t="s">
        <v>235</v>
      </c>
      <c r="AN18" s="67" t="s">
        <v>235</v>
      </c>
      <c r="AO18" s="67" t="s">
        <v>235</v>
      </c>
      <c r="AP18" s="67" t="s">
        <v>236</v>
      </c>
      <c r="AQ18" s="67" t="s">
        <v>236</v>
      </c>
    </row>
    <row r="19" spans="1:43" ht="50" x14ac:dyDescent="0.35">
      <c r="A19" s="64">
        <v>17</v>
      </c>
      <c r="B19" s="67" t="s">
        <v>699</v>
      </c>
      <c r="C19" s="67" t="str">
        <f t="shared" si="0"/>
        <v>Pulang Pisau, 18 Agustus 1999</v>
      </c>
      <c r="D19" s="67" t="str">
        <f t="shared" si="1"/>
        <v>S1 - Pendidikan Ekonomi</v>
      </c>
      <c r="E19" s="66">
        <f t="shared" si="2"/>
        <v>115</v>
      </c>
      <c r="F19" s="66" t="str">
        <f t="shared" si="3"/>
        <v>Baik</v>
      </c>
      <c r="G19" s="88"/>
      <c r="H19" s="88"/>
      <c r="I19" s="88"/>
      <c r="J19" s="88"/>
      <c r="K19" s="88"/>
      <c r="L19" s="88"/>
      <c r="M19" s="88"/>
      <c r="N19" s="88"/>
      <c r="O19" s="88"/>
      <c r="P19" s="88"/>
      <c r="Q19" s="88"/>
      <c r="R19" s="88"/>
      <c r="S19" s="88"/>
      <c r="T19" s="88"/>
      <c r="U19" s="88"/>
      <c r="V19" s="88"/>
      <c r="W19" s="88"/>
      <c r="X19" s="89"/>
      <c r="Y19" s="89"/>
      <c r="Z19" s="89"/>
      <c r="AA19" s="89"/>
      <c r="AB19" s="89"/>
      <c r="AC19" s="89"/>
      <c r="AD19" s="89"/>
      <c r="AE19" s="89"/>
      <c r="AF19" s="89"/>
      <c r="AG19" s="89"/>
      <c r="AH19" s="89"/>
      <c r="AI19" s="89"/>
      <c r="AJ19" s="89"/>
      <c r="AK19" s="65">
        <f t="shared" si="5"/>
        <v>0</v>
      </c>
      <c r="AL19" s="66" t="str">
        <f t="shared" si="4"/>
        <v>Tidak disarankan</v>
      </c>
      <c r="AM19" s="67" t="s">
        <v>235</v>
      </c>
      <c r="AN19" s="67" t="s">
        <v>235</v>
      </c>
      <c r="AO19" s="67" t="s">
        <v>235</v>
      </c>
      <c r="AP19" s="67" t="s">
        <v>236</v>
      </c>
      <c r="AQ19" s="67" t="s">
        <v>236</v>
      </c>
    </row>
    <row r="20" spans="1:43" ht="50" x14ac:dyDescent="0.35">
      <c r="A20" s="64">
        <v>18</v>
      </c>
      <c r="B20" s="67" t="s">
        <v>1037</v>
      </c>
      <c r="C20" s="67" t="str">
        <f t="shared" si="0"/>
        <v>Semarang, 19 April 1996</v>
      </c>
      <c r="D20" s="67" t="str">
        <f t="shared" si="1"/>
        <v>S1 - Sistem Informasi</v>
      </c>
      <c r="E20" s="66">
        <f t="shared" si="2"/>
        <v>121</v>
      </c>
      <c r="F20" s="66" t="str">
        <f t="shared" si="3"/>
        <v>Baik Sekali</v>
      </c>
      <c r="G20" s="88"/>
      <c r="H20" s="88"/>
      <c r="I20" s="88"/>
      <c r="J20" s="88"/>
      <c r="K20" s="88"/>
      <c r="L20" s="88"/>
      <c r="M20" s="88"/>
      <c r="N20" s="88"/>
      <c r="O20" s="88"/>
      <c r="P20" s="88"/>
      <c r="Q20" s="88"/>
      <c r="R20" s="88"/>
      <c r="S20" s="88"/>
      <c r="T20" s="88"/>
      <c r="U20" s="88"/>
      <c r="V20" s="88"/>
      <c r="W20" s="88"/>
      <c r="X20" s="89"/>
      <c r="Y20" s="89"/>
      <c r="Z20" s="89"/>
      <c r="AA20" s="89"/>
      <c r="AB20" s="89"/>
      <c r="AC20" s="89"/>
      <c r="AD20" s="89"/>
      <c r="AE20" s="89"/>
      <c r="AF20" s="89"/>
      <c r="AG20" s="89"/>
      <c r="AH20" s="89"/>
      <c r="AI20" s="89"/>
      <c r="AJ20" s="89"/>
      <c r="AK20" s="65">
        <f t="shared" si="5"/>
        <v>0</v>
      </c>
      <c r="AL20" s="66" t="str">
        <f t="shared" si="4"/>
        <v>Tidak disarankan</v>
      </c>
      <c r="AM20" s="67" t="s">
        <v>235</v>
      </c>
      <c r="AN20" s="67" t="s">
        <v>235</v>
      </c>
      <c r="AO20" s="67" t="s">
        <v>235</v>
      </c>
      <c r="AP20" s="67" t="s">
        <v>236</v>
      </c>
      <c r="AQ20" s="67" t="s">
        <v>236</v>
      </c>
    </row>
    <row r="21" spans="1:43" ht="50" x14ac:dyDescent="0.35">
      <c r="A21" s="64">
        <v>19</v>
      </c>
      <c r="B21" s="67" t="s">
        <v>1079</v>
      </c>
      <c r="C21" s="67" t="str">
        <f t="shared" si="0"/>
        <v>Kapuas, 17 April 1999</v>
      </c>
      <c r="D21" s="67" t="str">
        <f t="shared" si="1"/>
        <v>S1 - Ilmu Administrasi Negara</v>
      </c>
      <c r="E21" s="66">
        <f t="shared" si="2"/>
        <v>118</v>
      </c>
      <c r="F21" s="66" t="str">
        <f t="shared" si="3"/>
        <v>Baik</v>
      </c>
      <c r="G21" s="88"/>
      <c r="H21" s="88"/>
      <c r="I21" s="88"/>
      <c r="J21" s="88"/>
      <c r="K21" s="88"/>
      <c r="L21" s="88"/>
      <c r="M21" s="88"/>
      <c r="N21" s="88"/>
      <c r="O21" s="88"/>
      <c r="P21" s="88"/>
      <c r="Q21" s="88"/>
      <c r="R21" s="88"/>
      <c r="S21" s="88"/>
      <c r="T21" s="88"/>
      <c r="U21" s="88"/>
      <c r="V21" s="88"/>
      <c r="W21" s="88"/>
      <c r="X21" s="89"/>
      <c r="Y21" s="89"/>
      <c r="Z21" s="89"/>
      <c r="AA21" s="89"/>
      <c r="AB21" s="89"/>
      <c r="AC21" s="89"/>
      <c r="AD21" s="89"/>
      <c r="AE21" s="89"/>
      <c r="AF21" s="89"/>
      <c r="AG21" s="89"/>
      <c r="AH21" s="89"/>
      <c r="AI21" s="89"/>
      <c r="AJ21" s="89"/>
      <c r="AK21" s="65">
        <f t="shared" si="5"/>
        <v>0</v>
      </c>
      <c r="AL21" s="66" t="str">
        <f t="shared" si="4"/>
        <v>Tidak disarankan</v>
      </c>
      <c r="AM21" s="67" t="s">
        <v>235</v>
      </c>
      <c r="AN21" s="67" t="s">
        <v>235</v>
      </c>
      <c r="AO21" s="67" t="s">
        <v>235</v>
      </c>
      <c r="AP21" s="67" t="s">
        <v>236</v>
      </c>
      <c r="AQ21" s="67" t="s">
        <v>236</v>
      </c>
    </row>
    <row r="22" spans="1:43" ht="50" x14ac:dyDescent="0.35">
      <c r="A22" s="64">
        <v>20</v>
      </c>
      <c r="B22" s="67" t="s">
        <v>1035</v>
      </c>
      <c r="C22" s="67" t="str">
        <f t="shared" si="0"/>
        <v>Pangkalan Bun, 01 Maret 1997</v>
      </c>
      <c r="D22" s="67" t="str">
        <f t="shared" si="1"/>
        <v>S1 - Manajemen</v>
      </c>
      <c r="E22" s="66">
        <f t="shared" si="2"/>
        <v>120</v>
      </c>
      <c r="F22" s="66" t="str">
        <f t="shared" si="3"/>
        <v>Baik Sekali</v>
      </c>
      <c r="G22" s="88"/>
      <c r="H22" s="88"/>
      <c r="I22" s="88"/>
      <c r="J22" s="88"/>
      <c r="K22" s="88"/>
      <c r="L22" s="88"/>
      <c r="M22" s="88"/>
      <c r="N22" s="88"/>
      <c r="O22" s="88"/>
      <c r="P22" s="88"/>
      <c r="Q22" s="88"/>
      <c r="R22" s="88"/>
      <c r="S22" s="88"/>
      <c r="T22" s="88"/>
      <c r="U22" s="88"/>
      <c r="V22" s="88"/>
      <c r="W22" s="88"/>
      <c r="X22" s="89"/>
      <c r="Y22" s="89"/>
      <c r="Z22" s="89"/>
      <c r="AA22" s="89"/>
      <c r="AB22" s="89"/>
      <c r="AC22" s="89"/>
      <c r="AD22" s="89"/>
      <c r="AE22" s="89"/>
      <c r="AF22" s="89"/>
      <c r="AG22" s="89"/>
      <c r="AH22" s="89"/>
      <c r="AI22" s="89"/>
      <c r="AJ22" s="89"/>
      <c r="AK22" s="65">
        <f t="shared" si="5"/>
        <v>0</v>
      </c>
      <c r="AL22" s="66" t="str">
        <f t="shared" si="4"/>
        <v>Tidak disarankan</v>
      </c>
      <c r="AM22" s="67" t="s">
        <v>235</v>
      </c>
      <c r="AN22" s="67" t="s">
        <v>235</v>
      </c>
      <c r="AO22" s="67" t="s">
        <v>235</v>
      </c>
      <c r="AP22" s="67" t="s">
        <v>236</v>
      </c>
      <c r="AQ22" s="67" t="s">
        <v>236</v>
      </c>
    </row>
    <row r="23" spans="1:43" ht="50" x14ac:dyDescent="0.35">
      <c r="A23" s="64">
        <v>21</v>
      </c>
      <c r="B23" s="67" t="s">
        <v>1144</v>
      </c>
      <c r="C23" s="67" t="str">
        <f t="shared" si="0"/>
        <v>Palangka Raya, 18 Februari 1996</v>
      </c>
      <c r="D23" s="67" t="str">
        <f t="shared" si="1"/>
        <v>S1 - Hukum Keluarga Islam</v>
      </c>
      <c r="E23" s="66">
        <f t="shared" si="2"/>
        <v>100</v>
      </c>
      <c r="F23" s="66" t="str">
        <f t="shared" si="3"/>
        <v>Rata-rata</v>
      </c>
      <c r="G23" s="88"/>
      <c r="H23" s="88"/>
      <c r="I23" s="88"/>
      <c r="J23" s="88"/>
      <c r="K23" s="88"/>
      <c r="L23" s="88"/>
      <c r="M23" s="88"/>
      <c r="N23" s="88"/>
      <c r="O23" s="88"/>
      <c r="P23" s="88"/>
      <c r="Q23" s="88"/>
      <c r="R23" s="88"/>
      <c r="S23" s="88"/>
      <c r="T23" s="88"/>
      <c r="U23" s="88"/>
      <c r="V23" s="88"/>
      <c r="W23" s="88"/>
      <c r="X23" s="89"/>
      <c r="Y23" s="89"/>
      <c r="Z23" s="89"/>
      <c r="AA23" s="89"/>
      <c r="AB23" s="89"/>
      <c r="AC23" s="89"/>
      <c r="AD23" s="89"/>
      <c r="AE23" s="89"/>
      <c r="AF23" s="89"/>
      <c r="AG23" s="89"/>
      <c r="AH23" s="89"/>
      <c r="AI23" s="89"/>
      <c r="AJ23" s="89"/>
      <c r="AK23" s="65">
        <f t="shared" si="5"/>
        <v>0</v>
      </c>
      <c r="AL23" s="66" t="str">
        <f t="shared" si="4"/>
        <v>Tidak disarankan</v>
      </c>
      <c r="AM23" s="67" t="s">
        <v>235</v>
      </c>
      <c r="AN23" s="67" t="s">
        <v>235</v>
      </c>
      <c r="AO23" s="67" t="s">
        <v>235</v>
      </c>
      <c r="AP23" s="67" t="s">
        <v>236</v>
      </c>
      <c r="AQ23" s="67" t="s">
        <v>236</v>
      </c>
    </row>
    <row r="24" spans="1:43" ht="50" x14ac:dyDescent="0.35">
      <c r="A24" s="64">
        <v>22</v>
      </c>
      <c r="B24" s="67" t="s">
        <v>1102</v>
      </c>
      <c r="C24" s="67" t="str">
        <f t="shared" si="0"/>
        <v>Palangkaraya, 12 Maret 1999</v>
      </c>
      <c r="D24" s="67" t="str">
        <f t="shared" si="1"/>
        <v>S1 - Akutansi</v>
      </c>
      <c r="E24" s="66">
        <f t="shared" si="2"/>
        <v>110</v>
      </c>
      <c r="F24" s="66" t="str">
        <f t="shared" si="3"/>
        <v>Baik</v>
      </c>
      <c r="G24" s="88"/>
      <c r="H24" s="88"/>
      <c r="I24" s="88"/>
      <c r="J24" s="88"/>
      <c r="K24" s="88"/>
      <c r="L24" s="88"/>
      <c r="M24" s="88"/>
      <c r="N24" s="88"/>
      <c r="O24" s="88"/>
      <c r="P24" s="88"/>
      <c r="Q24" s="88"/>
      <c r="R24" s="88"/>
      <c r="S24" s="88"/>
      <c r="T24" s="88"/>
      <c r="U24" s="88"/>
      <c r="V24" s="88"/>
      <c r="W24" s="88"/>
      <c r="X24" s="89"/>
      <c r="Y24" s="89"/>
      <c r="Z24" s="89"/>
      <c r="AA24" s="89"/>
      <c r="AB24" s="89"/>
      <c r="AC24" s="89"/>
      <c r="AD24" s="89"/>
      <c r="AE24" s="89"/>
      <c r="AF24" s="89"/>
      <c r="AG24" s="89"/>
      <c r="AH24" s="89"/>
      <c r="AI24" s="89"/>
      <c r="AJ24" s="89"/>
      <c r="AK24" s="65">
        <f t="shared" si="5"/>
        <v>0</v>
      </c>
      <c r="AL24" s="66" t="str">
        <f t="shared" si="4"/>
        <v>Tidak disarankan</v>
      </c>
      <c r="AM24" s="67" t="s">
        <v>235</v>
      </c>
      <c r="AN24" s="67" t="s">
        <v>235</v>
      </c>
      <c r="AO24" s="67" t="s">
        <v>235</v>
      </c>
      <c r="AP24" s="67" t="s">
        <v>236</v>
      </c>
      <c r="AQ24" s="67" t="s">
        <v>236</v>
      </c>
    </row>
    <row r="25" spans="1:43" ht="50" x14ac:dyDescent="0.35">
      <c r="A25" s="64">
        <v>23</v>
      </c>
      <c r="B25" s="67" t="s">
        <v>669</v>
      </c>
      <c r="C25" s="67" t="str">
        <f t="shared" si="0"/>
        <v>Palangka Raya, 28 Januari 1998</v>
      </c>
      <c r="D25" s="67" t="str">
        <f t="shared" si="1"/>
        <v>S1 - Sistem Informasi</v>
      </c>
      <c r="E25" s="66">
        <f t="shared" si="2"/>
        <v>116</v>
      </c>
      <c r="F25" s="66" t="str">
        <f t="shared" si="3"/>
        <v>Baik</v>
      </c>
      <c r="G25" s="88"/>
      <c r="H25" s="88"/>
      <c r="I25" s="88"/>
      <c r="J25" s="88"/>
      <c r="K25" s="88"/>
      <c r="L25" s="88"/>
      <c r="M25" s="88"/>
      <c r="N25" s="88"/>
      <c r="O25" s="88"/>
      <c r="P25" s="88"/>
      <c r="Q25" s="88"/>
      <c r="R25" s="88"/>
      <c r="S25" s="88"/>
      <c r="T25" s="88"/>
      <c r="U25" s="88"/>
      <c r="V25" s="88"/>
      <c r="W25" s="88"/>
      <c r="X25" s="89"/>
      <c r="Y25" s="89"/>
      <c r="Z25" s="89"/>
      <c r="AA25" s="89"/>
      <c r="AB25" s="89"/>
      <c r="AC25" s="89"/>
      <c r="AD25" s="89"/>
      <c r="AE25" s="89"/>
      <c r="AF25" s="89"/>
      <c r="AG25" s="89"/>
      <c r="AH25" s="89"/>
      <c r="AI25" s="89"/>
      <c r="AJ25" s="89"/>
      <c r="AK25" s="65">
        <f t="shared" si="5"/>
        <v>0</v>
      </c>
      <c r="AL25" s="66" t="str">
        <f t="shared" si="4"/>
        <v>Tidak disarankan</v>
      </c>
      <c r="AM25" s="67" t="s">
        <v>235</v>
      </c>
      <c r="AN25" s="67" t="s">
        <v>235</v>
      </c>
      <c r="AO25" s="67" t="s">
        <v>235</v>
      </c>
      <c r="AP25" s="67" t="s">
        <v>236</v>
      </c>
      <c r="AQ25" s="67" t="s">
        <v>236</v>
      </c>
    </row>
    <row r="26" spans="1:43" ht="50" x14ac:dyDescent="0.35">
      <c r="A26" s="64">
        <v>24</v>
      </c>
      <c r="B26" s="67" t="s">
        <v>1071</v>
      </c>
      <c r="C26" s="67" t="str">
        <f t="shared" si="0"/>
        <v>Pangkalan Bun, 04 Februari 1997</v>
      </c>
      <c r="D26" s="67" t="str">
        <f t="shared" si="1"/>
        <v>S1 - Ekonomi</v>
      </c>
      <c r="E26" s="66">
        <f t="shared" si="2"/>
        <v>110</v>
      </c>
      <c r="F26" s="66" t="str">
        <f t="shared" si="3"/>
        <v>Baik</v>
      </c>
      <c r="G26" s="88"/>
      <c r="H26" s="88"/>
      <c r="I26" s="88"/>
      <c r="J26" s="88"/>
      <c r="K26" s="88"/>
      <c r="L26" s="88"/>
      <c r="M26" s="88"/>
      <c r="N26" s="88"/>
      <c r="O26" s="88"/>
      <c r="P26" s="88"/>
      <c r="Q26" s="88"/>
      <c r="R26" s="88"/>
      <c r="S26" s="88"/>
      <c r="T26" s="88"/>
      <c r="U26" s="88"/>
      <c r="V26" s="88"/>
      <c r="W26" s="88"/>
      <c r="X26" s="89"/>
      <c r="Y26" s="89"/>
      <c r="Z26" s="89"/>
      <c r="AA26" s="89"/>
      <c r="AB26" s="89"/>
      <c r="AC26" s="89"/>
      <c r="AD26" s="89"/>
      <c r="AE26" s="89"/>
      <c r="AF26" s="89"/>
      <c r="AG26" s="89"/>
      <c r="AH26" s="89"/>
      <c r="AI26" s="89"/>
      <c r="AJ26" s="89"/>
      <c r="AK26" s="65">
        <f t="shared" si="5"/>
        <v>0</v>
      </c>
      <c r="AL26" s="66" t="str">
        <f t="shared" si="4"/>
        <v>Tidak disarankan</v>
      </c>
      <c r="AM26" s="67" t="s">
        <v>235</v>
      </c>
      <c r="AN26" s="67" t="s">
        <v>235</v>
      </c>
      <c r="AO26" s="67" t="s">
        <v>235</v>
      </c>
      <c r="AP26" s="67" t="s">
        <v>236</v>
      </c>
      <c r="AQ26" s="67" t="s">
        <v>236</v>
      </c>
    </row>
    <row r="27" spans="1:43" ht="50" x14ac:dyDescent="0.35">
      <c r="A27" s="64">
        <v>25</v>
      </c>
      <c r="B27" s="67" t="s">
        <v>708</v>
      </c>
      <c r="C27" s="67" t="str">
        <f t="shared" si="0"/>
        <v>Cempaka Mulia Timur, 28 Januari 2000</v>
      </c>
      <c r="D27" s="67" t="str">
        <f t="shared" si="1"/>
        <v>S1 - Ilmu Administrasi Negara</v>
      </c>
      <c r="E27" s="66">
        <f t="shared" si="2"/>
        <v>96</v>
      </c>
      <c r="F27" s="66" t="str">
        <f t="shared" si="3"/>
        <v>Rata-rata</v>
      </c>
      <c r="G27" s="88"/>
      <c r="H27" s="88"/>
      <c r="I27" s="88"/>
      <c r="J27" s="88"/>
      <c r="K27" s="88"/>
      <c r="L27" s="88"/>
      <c r="M27" s="88"/>
      <c r="N27" s="88"/>
      <c r="O27" s="88"/>
      <c r="P27" s="88"/>
      <c r="Q27" s="88"/>
      <c r="R27" s="88"/>
      <c r="S27" s="88"/>
      <c r="T27" s="88"/>
      <c r="U27" s="88"/>
      <c r="V27" s="88"/>
      <c r="W27" s="88"/>
      <c r="X27" s="89"/>
      <c r="Y27" s="89"/>
      <c r="Z27" s="89"/>
      <c r="AA27" s="89"/>
      <c r="AB27" s="89"/>
      <c r="AC27" s="89"/>
      <c r="AD27" s="89"/>
      <c r="AE27" s="89"/>
      <c r="AF27" s="89"/>
      <c r="AG27" s="89"/>
      <c r="AH27" s="89"/>
      <c r="AI27" s="89"/>
      <c r="AJ27" s="89"/>
      <c r="AK27" s="65">
        <f t="shared" si="5"/>
        <v>0</v>
      </c>
      <c r="AL27" s="66" t="str">
        <f t="shared" si="4"/>
        <v>Tidak disarankan</v>
      </c>
      <c r="AM27" s="67" t="s">
        <v>235</v>
      </c>
      <c r="AN27" s="67" t="s">
        <v>235</v>
      </c>
      <c r="AO27" s="67" t="s">
        <v>235</v>
      </c>
      <c r="AP27" s="67" t="s">
        <v>236</v>
      </c>
      <c r="AQ27" s="67" t="s">
        <v>236</v>
      </c>
    </row>
    <row r="28" spans="1:43" ht="50" x14ac:dyDescent="0.35">
      <c r="A28" s="64">
        <v>26</v>
      </c>
      <c r="B28" s="67" t="s">
        <v>664</v>
      </c>
      <c r="C28" s="67" t="str">
        <f t="shared" si="0"/>
        <v>Banjarmasin, 24 April 1998</v>
      </c>
      <c r="D28" s="67" t="str">
        <f t="shared" si="1"/>
        <v>S1 - Teknik Telekomunikasi</v>
      </c>
      <c r="E28" s="66">
        <f t="shared" si="2"/>
        <v>118</v>
      </c>
      <c r="F28" s="66" t="str">
        <f t="shared" si="3"/>
        <v>Baik</v>
      </c>
      <c r="G28" s="88"/>
      <c r="H28" s="88"/>
      <c r="I28" s="88"/>
      <c r="J28" s="88"/>
      <c r="K28" s="88"/>
      <c r="L28" s="88"/>
      <c r="M28" s="88"/>
      <c r="N28" s="88"/>
      <c r="O28" s="88"/>
      <c r="P28" s="88"/>
      <c r="Q28" s="88"/>
      <c r="R28" s="88"/>
      <c r="S28" s="88"/>
      <c r="T28" s="88"/>
      <c r="U28" s="88"/>
      <c r="V28" s="88"/>
      <c r="W28" s="88"/>
      <c r="X28" s="89"/>
      <c r="Y28" s="89"/>
      <c r="Z28" s="89"/>
      <c r="AA28" s="89"/>
      <c r="AB28" s="89"/>
      <c r="AC28" s="89"/>
      <c r="AD28" s="89"/>
      <c r="AE28" s="89"/>
      <c r="AF28" s="89"/>
      <c r="AG28" s="89"/>
      <c r="AH28" s="89"/>
      <c r="AI28" s="89"/>
      <c r="AJ28" s="89"/>
      <c r="AK28" s="65">
        <f t="shared" si="5"/>
        <v>0</v>
      </c>
      <c r="AL28" s="66" t="str">
        <f t="shared" si="4"/>
        <v>Tidak disarankan</v>
      </c>
      <c r="AM28" s="67" t="s">
        <v>235</v>
      </c>
      <c r="AN28" s="67" t="s">
        <v>235</v>
      </c>
      <c r="AO28" s="67" t="s">
        <v>235</v>
      </c>
      <c r="AP28" s="67" t="s">
        <v>236</v>
      </c>
      <c r="AQ28" s="67" t="s">
        <v>236</v>
      </c>
    </row>
    <row r="29" spans="1:43" ht="50" x14ac:dyDescent="0.35">
      <c r="A29" s="64">
        <v>27</v>
      </c>
      <c r="B29" s="67" t="s">
        <v>698</v>
      </c>
      <c r="C29" s="67" t="str">
        <f t="shared" si="0"/>
        <v>Palangka Raya, 09 November 2000</v>
      </c>
      <c r="D29" s="67" t="str">
        <f t="shared" si="1"/>
        <v>S1 - Ilmu Hukum</v>
      </c>
      <c r="E29" s="66">
        <f t="shared" si="2"/>
        <v>118</v>
      </c>
      <c r="F29" s="66" t="str">
        <f t="shared" si="3"/>
        <v>Baik</v>
      </c>
      <c r="G29" s="88"/>
      <c r="H29" s="88"/>
      <c r="I29" s="88"/>
      <c r="J29" s="88"/>
      <c r="K29" s="88"/>
      <c r="L29" s="88"/>
      <c r="M29" s="88"/>
      <c r="N29" s="88"/>
      <c r="O29" s="88"/>
      <c r="P29" s="88"/>
      <c r="Q29" s="88"/>
      <c r="R29" s="88"/>
      <c r="S29" s="88"/>
      <c r="T29" s="88"/>
      <c r="U29" s="88"/>
      <c r="V29" s="88"/>
      <c r="W29" s="88"/>
      <c r="X29" s="89"/>
      <c r="Y29" s="89"/>
      <c r="Z29" s="89"/>
      <c r="AA29" s="89"/>
      <c r="AB29" s="89"/>
      <c r="AC29" s="89"/>
      <c r="AD29" s="89"/>
      <c r="AE29" s="89"/>
      <c r="AF29" s="89"/>
      <c r="AG29" s="89"/>
      <c r="AH29" s="89"/>
      <c r="AI29" s="89"/>
      <c r="AJ29" s="89"/>
      <c r="AK29" s="65">
        <f t="shared" si="5"/>
        <v>0</v>
      </c>
      <c r="AL29" s="66" t="str">
        <f t="shared" si="4"/>
        <v>Tidak disarankan</v>
      </c>
      <c r="AM29" s="67" t="s">
        <v>235</v>
      </c>
      <c r="AN29" s="67" t="s">
        <v>235</v>
      </c>
      <c r="AO29" s="67" t="s">
        <v>235</v>
      </c>
      <c r="AP29" s="67" t="s">
        <v>236</v>
      </c>
      <c r="AQ29" s="67" t="s">
        <v>236</v>
      </c>
    </row>
    <row r="30" spans="1:43" ht="50" x14ac:dyDescent="0.35">
      <c r="A30" s="64">
        <v>28</v>
      </c>
      <c r="B30" s="67" t="s">
        <v>655</v>
      </c>
      <c r="C30" s="67" t="str">
        <f t="shared" si="0"/>
        <v>Palangka Raya, 08 September 1998</v>
      </c>
      <c r="D30" s="67" t="str">
        <f t="shared" si="1"/>
        <v>S1 - Ilmu Administrasi Negara</v>
      </c>
      <c r="E30" s="66">
        <f t="shared" si="2"/>
        <v>119</v>
      </c>
      <c r="F30" s="66" t="str">
        <f t="shared" si="3"/>
        <v>Baik</v>
      </c>
      <c r="G30" s="88"/>
      <c r="H30" s="88"/>
      <c r="I30" s="88"/>
      <c r="J30" s="88"/>
      <c r="K30" s="88"/>
      <c r="L30" s="88"/>
      <c r="M30" s="88"/>
      <c r="N30" s="88"/>
      <c r="O30" s="88"/>
      <c r="P30" s="88"/>
      <c r="Q30" s="88"/>
      <c r="R30" s="88"/>
      <c r="S30" s="88"/>
      <c r="T30" s="88"/>
      <c r="U30" s="88"/>
      <c r="V30" s="88"/>
      <c r="W30" s="88"/>
      <c r="X30" s="89"/>
      <c r="Y30" s="89"/>
      <c r="Z30" s="89"/>
      <c r="AA30" s="89"/>
      <c r="AB30" s="89"/>
      <c r="AC30" s="89"/>
      <c r="AD30" s="89"/>
      <c r="AE30" s="89"/>
      <c r="AF30" s="89"/>
      <c r="AG30" s="89"/>
      <c r="AH30" s="89"/>
      <c r="AI30" s="89"/>
      <c r="AJ30" s="89"/>
      <c r="AK30" s="65">
        <f t="shared" si="5"/>
        <v>0</v>
      </c>
      <c r="AL30" s="66" t="str">
        <f t="shared" si="4"/>
        <v>Tidak disarankan</v>
      </c>
      <c r="AM30" s="67" t="s">
        <v>235</v>
      </c>
      <c r="AN30" s="67" t="s">
        <v>235</v>
      </c>
      <c r="AO30" s="67" t="s">
        <v>235</v>
      </c>
      <c r="AP30" s="67" t="s">
        <v>236</v>
      </c>
      <c r="AQ30" s="67" t="s">
        <v>236</v>
      </c>
    </row>
    <row r="31" spans="1:43" ht="50" x14ac:dyDescent="0.35">
      <c r="A31" s="64">
        <v>29</v>
      </c>
      <c r="B31" s="67" t="s">
        <v>980</v>
      </c>
      <c r="C31" s="67" t="str">
        <f t="shared" si="0"/>
        <v>Pendahara, 09 Mei 1996</v>
      </c>
      <c r="D31" s="67" t="str">
        <f t="shared" si="1"/>
        <v>S1 - Ilmu Hukum</v>
      </c>
      <c r="E31" s="66">
        <f t="shared" si="2"/>
        <v>109</v>
      </c>
      <c r="F31" s="66" t="str">
        <f t="shared" si="3"/>
        <v>Rata-rata</v>
      </c>
      <c r="G31" s="88"/>
      <c r="H31" s="88"/>
      <c r="I31" s="88"/>
      <c r="J31" s="88"/>
      <c r="K31" s="88"/>
      <c r="L31" s="88"/>
      <c r="M31" s="88"/>
      <c r="N31" s="88"/>
      <c r="O31" s="88"/>
      <c r="P31" s="88"/>
      <c r="Q31" s="88"/>
      <c r="R31" s="88"/>
      <c r="S31" s="88"/>
      <c r="T31" s="88"/>
      <c r="U31" s="88"/>
      <c r="V31" s="88"/>
      <c r="W31" s="88"/>
      <c r="X31" s="89"/>
      <c r="Y31" s="89"/>
      <c r="Z31" s="89"/>
      <c r="AA31" s="89"/>
      <c r="AB31" s="89"/>
      <c r="AC31" s="89"/>
      <c r="AD31" s="89"/>
      <c r="AE31" s="89"/>
      <c r="AF31" s="89"/>
      <c r="AG31" s="89"/>
      <c r="AH31" s="89"/>
      <c r="AI31" s="89"/>
      <c r="AJ31" s="89"/>
      <c r="AK31" s="65">
        <f t="shared" si="5"/>
        <v>0</v>
      </c>
      <c r="AL31" s="66" t="str">
        <f t="shared" si="4"/>
        <v>Tidak disarankan</v>
      </c>
      <c r="AM31" s="67" t="s">
        <v>235</v>
      </c>
      <c r="AN31" s="67" t="s">
        <v>235</v>
      </c>
      <c r="AO31" s="67" t="s">
        <v>235</v>
      </c>
      <c r="AP31" s="67" t="s">
        <v>236</v>
      </c>
      <c r="AQ31" s="67" t="s">
        <v>236</v>
      </c>
    </row>
    <row r="32" spans="1:43" ht="50" x14ac:dyDescent="0.35">
      <c r="A32" s="64">
        <v>30</v>
      </c>
      <c r="B32" s="67" t="s">
        <v>685</v>
      </c>
      <c r="C32" s="67" t="str">
        <f t="shared" si="0"/>
        <v>Buntok, 18 Agustus 2000</v>
      </c>
      <c r="D32" s="67" t="str">
        <f t="shared" si="1"/>
        <v>S1 - Ilmu Komunikasi</v>
      </c>
      <c r="E32" s="66">
        <f t="shared" si="2"/>
        <v>115</v>
      </c>
      <c r="F32" s="66" t="str">
        <f t="shared" si="3"/>
        <v>Baik</v>
      </c>
      <c r="G32" s="88"/>
      <c r="H32" s="88"/>
      <c r="I32" s="88"/>
      <c r="J32" s="88"/>
      <c r="K32" s="88"/>
      <c r="L32" s="88"/>
      <c r="M32" s="88"/>
      <c r="N32" s="88"/>
      <c r="O32" s="88"/>
      <c r="P32" s="88"/>
      <c r="Q32" s="88"/>
      <c r="R32" s="88"/>
      <c r="S32" s="88"/>
      <c r="T32" s="88"/>
      <c r="U32" s="88"/>
      <c r="V32" s="88"/>
      <c r="W32" s="88"/>
      <c r="X32" s="89"/>
      <c r="Y32" s="89"/>
      <c r="Z32" s="89"/>
      <c r="AA32" s="89"/>
      <c r="AB32" s="89"/>
      <c r="AC32" s="89"/>
      <c r="AD32" s="89"/>
      <c r="AE32" s="89"/>
      <c r="AF32" s="89"/>
      <c r="AG32" s="89"/>
      <c r="AH32" s="89"/>
      <c r="AI32" s="89"/>
      <c r="AJ32" s="89"/>
      <c r="AK32" s="65">
        <f t="shared" si="5"/>
        <v>0</v>
      </c>
      <c r="AL32" s="66" t="str">
        <f t="shared" si="4"/>
        <v>Tidak disarankan</v>
      </c>
      <c r="AM32" s="67" t="s">
        <v>235</v>
      </c>
      <c r="AN32" s="67" t="s">
        <v>235</v>
      </c>
      <c r="AO32" s="67" t="s">
        <v>235</v>
      </c>
      <c r="AP32" s="67" t="s">
        <v>236</v>
      </c>
      <c r="AQ32" s="67" t="s">
        <v>236</v>
      </c>
    </row>
    <row r="33" spans="1:43" ht="50" x14ac:dyDescent="0.35">
      <c r="A33" s="64">
        <v>31</v>
      </c>
      <c r="B33" s="67" t="s">
        <v>275</v>
      </c>
      <c r="C33" s="67" t="str">
        <f t="shared" si="0"/>
        <v>Buntok, 13 November 1998</v>
      </c>
      <c r="D33" s="67" t="str">
        <f t="shared" si="1"/>
        <v>S1 - Teknik Komputer</v>
      </c>
      <c r="E33" s="66">
        <f t="shared" si="2"/>
        <v>113</v>
      </c>
      <c r="F33" s="66" t="str">
        <f t="shared" si="3"/>
        <v>Baik</v>
      </c>
      <c r="G33" s="88"/>
      <c r="H33" s="88"/>
      <c r="I33" s="88"/>
      <c r="J33" s="88"/>
      <c r="K33" s="88"/>
      <c r="L33" s="88"/>
      <c r="M33" s="88"/>
      <c r="N33" s="88"/>
      <c r="O33" s="88"/>
      <c r="P33" s="88"/>
      <c r="Q33" s="88"/>
      <c r="R33" s="88"/>
      <c r="S33" s="88"/>
      <c r="T33" s="88"/>
      <c r="U33" s="88"/>
      <c r="V33" s="88"/>
      <c r="W33" s="88"/>
      <c r="X33" s="89"/>
      <c r="Y33" s="89"/>
      <c r="Z33" s="89"/>
      <c r="AA33" s="89"/>
      <c r="AB33" s="89"/>
      <c r="AC33" s="89"/>
      <c r="AD33" s="89"/>
      <c r="AE33" s="89"/>
      <c r="AF33" s="89"/>
      <c r="AG33" s="89"/>
      <c r="AH33" s="89"/>
      <c r="AI33" s="89"/>
      <c r="AJ33" s="89"/>
      <c r="AK33" s="65">
        <f t="shared" si="5"/>
        <v>0</v>
      </c>
      <c r="AL33" s="66" t="str">
        <f t="shared" si="4"/>
        <v>Tidak disarankan</v>
      </c>
      <c r="AM33" s="67" t="s">
        <v>235</v>
      </c>
      <c r="AN33" s="67" t="s">
        <v>235</v>
      </c>
      <c r="AO33" s="67" t="s">
        <v>235</v>
      </c>
      <c r="AP33" s="67" t="s">
        <v>236</v>
      </c>
      <c r="AQ33" s="67" t="s">
        <v>236</v>
      </c>
    </row>
    <row r="34" spans="1:43" ht="50" x14ac:dyDescent="0.35">
      <c r="A34" s="64">
        <v>32</v>
      </c>
      <c r="B34" s="67" t="s">
        <v>1105</v>
      </c>
      <c r="C34" s="67" t="str">
        <f t="shared" si="0"/>
        <v>Pendahara, 02 Mei 1997</v>
      </c>
      <c r="D34" s="67" t="str">
        <f t="shared" si="1"/>
        <v>S1 - Ilmu Komunikasi</v>
      </c>
      <c r="E34" s="66">
        <f t="shared" si="2"/>
        <v>119</v>
      </c>
      <c r="F34" s="66" t="str">
        <f t="shared" si="3"/>
        <v>Baik</v>
      </c>
      <c r="G34" s="88"/>
      <c r="H34" s="88"/>
      <c r="I34" s="88"/>
      <c r="J34" s="88"/>
      <c r="K34" s="88"/>
      <c r="L34" s="88"/>
      <c r="M34" s="88"/>
      <c r="N34" s="88"/>
      <c r="O34" s="88"/>
      <c r="P34" s="88"/>
      <c r="Q34" s="88"/>
      <c r="R34" s="88"/>
      <c r="S34" s="88"/>
      <c r="T34" s="88"/>
      <c r="U34" s="88"/>
      <c r="V34" s="88"/>
      <c r="W34" s="88"/>
      <c r="X34" s="89"/>
      <c r="Y34" s="89"/>
      <c r="Z34" s="89"/>
      <c r="AA34" s="89"/>
      <c r="AB34" s="89"/>
      <c r="AC34" s="89"/>
      <c r="AD34" s="89"/>
      <c r="AE34" s="89"/>
      <c r="AF34" s="89"/>
      <c r="AG34" s="89"/>
      <c r="AH34" s="89"/>
      <c r="AI34" s="89"/>
      <c r="AJ34" s="89"/>
      <c r="AK34" s="65">
        <f t="shared" si="5"/>
        <v>0</v>
      </c>
      <c r="AL34" s="66" t="str">
        <f t="shared" si="4"/>
        <v>Tidak disarankan</v>
      </c>
      <c r="AM34" s="67" t="s">
        <v>235</v>
      </c>
      <c r="AN34" s="67" t="s">
        <v>235</v>
      </c>
      <c r="AO34" s="67" t="s">
        <v>235</v>
      </c>
      <c r="AP34" s="67" t="s">
        <v>236</v>
      </c>
      <c r="AQ34" s="67" t="s">
        <v>236</v>
      </c>
    </row>
    <row r="35" spans="1:43" ht="50" x14ac:dyDescent="0.35">
      <c r="A35" s="64">
        <v>33</v>
      </c>
      <c r="B35" s="67" t="s">
        <v>323</v>
      </c>
      <c r="C35" s="67" t="str">
        <f t="shared" si="0"/>
        <v>Tumbang Miri, 09 Juni 1997</v>
      </c>
      <c r="D35" s="67" t="str">
        <f t="shared" si="1"/>
        <v>S1 - Pendidikan Kimia</v>
      </c>
      <c r="E35" s="66">
        <f t="shared" si="2"/>
        <v>120</v>
      </c>
      <c r="F35" s="66" t="str">
        <f t="shared" si="3"/>
        <v>Baik Sekali</v>
      </c>
      <c r="G35" s="88"/>
      <c r="H35" s="88"/>
      <c r="I35" s="88"/>
      <c r="J35" s="88"/>
      <c r="K35" s="88"/>
      <c r="L35" s="88"/>
      <c r="M35" s="88"/>
      <c r="N35" s="88"/>
      <c r="O35" s="88"/>
      <c r="P35" s="88"/>
      <c r="Q35" s="88"/>
      <c r="R35" s="88"/>
      <c r="S35" s="88"/>
      <c r="T35" s="88"/>
      <c r="U35" s="88"/>
      <c r="V35" s="88"/>
      <c r="W35" s="88"/>
      <c r="X35" s="89"/>
      <c r="Y35" s="89"/>
      <c r="Z35" s="89"/>
      <c r="AA35" s="89"/>
      <c r="AB35" s="89"/>
      <c r="AC35" s="89"/>
      <c r="AD35" s="89"/>
      <c r="AE35" s="89"/>
      <c r="AF35" s="89"/>
      <c r="AG35" s="89"/>
      <c r="AH35" s="89"/>
      <c r="AI35" s="89"/>
      <c r="AJ35" s="89"/>
      <c r="AK35" s="65">
        <f t="shared" si="5"/>
        <v>0</v>
      </c>
      <c r="AL35" s="66" t="str">
        <f t="shared" si="4"/>
        <v>Tidak disarankan</v>
      </c>
      <c r="AM35" s="67" t="s">
        <v>235</v>
      </c>
      <c r="AN35" s="67" t="s">
        <v>235</v>
      </c>
      <c r="AO35" s="67" t="s">
        <v>235</v>
      </c>
      <c r="AP35" s="67" t="s">
        <v>236</v>
      </c>
      <c r="AQ35" s="67" t="s">
        <v>236</v>
      </c>
    </row>
    <row r="36" spans="1:43" ht="50" x14ac:dyDescent="0.35">
      <c r="A36" s="64">
        <v>34</v>
      </c>
      <c r="B36" s="67" t="s">
        <v>359</v>
      </c>
      <c r="C36" s="67" t="str">
        <f t="shared" si="0"/>
        <v>Yogyakarta, 09 November 1999</v>
      </c>
      <c r="D36" s="67" t="str">
        <f t="shared" si="1"/>
        <v>S1 - Hukum</v>
      </c>
      <c r="E36" s="66">
        <f t="shared" si="2"/>
        <v>110</v>
      </c>
      <c r="F36" s="66" t="str">
        <f t="shared" si="3"/>
        <v>Baik</v>
      </c>
      <c r="G36" s="88"/>
      <c r="H36" s="88"/>
      <c r="I36" s="88"/>
      <c r="J36" s="88"/>
      <c r="K36" s="88"/>
      <c r="L36" s="88"/>
      <c r="M36" s="88"/>
      <c r="N36" s="88"/>
      <c r="O36" s="88"/>
      <c r="P36" s="88"/>
      <c r="Q36" s="88"/>
      <c r="R36" s="88"/>
      <c r="S36" s="88"/>
      <c r="T36" s="88"/>
      <c r="U36" s="88"/>
      <c r="V36" s="88"/>
      <c r="W36" s="88"/>
      <c r="X36" s="89"/>
      <c r="Y36" s="89"/>
      <c r="Z36" s="89"/>
      <c r="AA36" s="89"/>
      <c r="AB36" s="89"/>
      <c r="AC36" s="89"/>
      <c r="AD36" s="89"/>
      <c r="AE36" s="89"/>
      <c r="AF36" s="89"/>
      <c r="AG36" s="89"/>
      <c r="AH36" s="89"/>
      <c r="AI36" s="89"/>
      <c r="AJ36" s="89"/>
      <c r="AK36" s="65">
        <f t="shared" si="5"/>
        <v>0</v>
      </c>
      <c r="AL36" s="66" t="str">
        <f t="shared" si="4"/>
        <v>Tidak disarankan</v>
      </c>
      <c r="AM36" s="67" t="s">
        <v>235</v>
      </c>
      <c r="AN36" s="67" t="s">
        <v>235</v>
      </c>
      <c r="AO36" s="67" t="s">
        <v>235</v>
      </c>
      <c r="AP36" s="67" t="s">
        <v>236</v>
      </c>
      <c r="AQ36" s="67" t="s">
        <v>236</v>
      </c>
    </row>
    <row r="37" spans="1:43" ht="50" x14ac:dyDescent="0.35">
      <c r="A37" s="64">
        <v>35</v>
      </c>
      <c r="B37" s="67" t="s">
        <v>693</v>
      </c>
      <c r="C37" s="67" t="str">
        <f t="shared" si="0"/>
        <v>Palangka Raya, 18 Maret 2001</v>
      </c>
      <c r="D37" s="67" t="str">
        <f t="shared" si="1"/>
        <v>S1 - Ilmu Pemerintahan</v>
      </c>
      <c r="E37" s="66">
        <f t="shared" si="2"/>
        <v>119</v>
      </c>
      <c r="F37" s="66" t="str">
        <f t="shared" si="3"/>
        <v>Baik</v>
      </c>
      <c r="G37" s="88"/>
      <c r="H37" s="88"/>
      <c r="I37" s="88"/>
      <c r="J37" s="88"/>
      <c r="K37" s="88"/>
      <c r="L37" s="88"/>
      <c r="M37" s="88"/>
      <c r="N37" s="88"/>
      <c r="O37" s="88"/>
      <c r="P37" s="88"/>
      <c r="Q37" s="88"/>
      <c r="R37" s="88"/>
      <c r="S37" s="88"/>
      <c r="T37" s="88"/>
      <c r="U37" s="88"/>
      <c r="V37" s="88"/>
      <c r="W37" s="88"/>
      <c r="X37" s="89"/>
      <c r="Y37" s="89"/>
      <c r="Z37" s="89"/>
      <c r="AA37" s="89"/>
      <c r="AB37" s="89"/>
      <c r="AC37" s="89"/>
      <c r="AD37" s="89"/>
      <c r="AE37" s="89"/>
      <c r="AF37" s="89"/>
      <c r="AG37" s="89"/>
      <c r="AH37" s="89"/>
      <c r="AI37" s="89"/>
      <c r="AJ37" s="89"/>
      <c r="AK37" s="65">
        <f t="shared" si="5"/>
        <v>0</v>
      </c>
      <c r="AL37" s="66" t="str">
        <f t="shared" si="4"/>
        <v>Tidak disarankan</v>
      </c>
      <c r="AM37" s="67" t="s">
        <v>235</v>
      </c>
      <c r="AN37" s="67" t="s">
        <v>235</v>
      </c>
      <c r="AO37" s="67" t="s">
        <v>235</v>
      </c>
      <c r="AP37" s="67" t="s">
        <v>236</v>
      </c>
      <c r="AQ37" s="67" t="s">
        <v>236</v>
      </c>
    </row>
    <row r="38" spans="1:43" ht="50" x14ac:dyDescent="0.35">
      <c r="A38" s="64">
        <v>36</v>
      </c>
      <c r="B38" s="67" t="s">
        <v>378</v>
      </c>
      <c r="C38" s="67" t="str">
        <f t="shared" si="0"/>
        <v>Palangka Raya, 29 Mei 1998</v>
      </c>
      <c r="D38" s="67" t="str">
        <f t="shared" si="1"/>
        <v>S1 - Hukum</v>
      </c>
      <c r="E38" s="66">
        <f t="shared" si="2"/>
        <v>118</v>
      </c>
      <c r="F38" s="66" t="str">
        <f t="shared" si="3"/>
        <v>Baik</v>
      </c>
      <c r="G38" s="88"/>
      <c r="H38" s="88"/>
      <c r="I38" s="88"/>
      <c r="J38" s="88"/>
      <c r="K38" s="88"/>
      <c r="L38" s="88"/>
      <c r="M38" s="88"/>
      <c r="N38" s="88"/>
      <c r="O38" s="88"/>
      <c r="P38" s="88"/>
      <c r="Q38" s="88"/>
      <c r="R38" s="88"/>
      <c r="S38" s="88"/>
      <c r="T38" s="88"/>
      <c r="U38" s="88"/>
      <c r="V38" s="88"/>
      <c r="W38" s="88"/>
      <c r="X38" s="89"/>
      <c r="Y38" s="89"/>
      <c r="Z38" s="89"/>
      <c r="AA38" s="89"/>
      <c r="AB38" s="89"/>
      <c r="AC38" s="89"/>
      <c r="AD38" s="89"/>
      <c r="AE38" s="89"/>
      <c r="AF38" s="89"/>
      <c r="AG38" s="89"/>
      <c r="AH38" s="89"/>
      <c r="AI38" s="89"/>
      <c r="AJ38" s="89"/>
      <c r="AK38" s="65">
        <f t="shared" si="5"/>
        <v>0</v>
      </c>
      <c r="AL38" s="66" t="str">
        <f t="shared" si="4"/>
        <v>Tidak disarankan</v>
      </c>
      <c r="AM38" s="67" t="s">
        <v>235</v>
      </c>
      <c r="AN38" s="67" t="s">
        <v>235</v>
      </c>
      <c r="AO38" s="67" t="s">
        <v>235</v>
      </c>
      <c r="AP38" s="67" t="s">
        <v>236</v>
      </c>
      <c r="AQ38" s="67" t="s">
        <v>236</v>
      </c>
    </row>
    <row r="39" spans="1:43" ht="50" x14ac:dyDescent="0.35">
      <c r="A39" s="64">
        <v>37</v>
      </c>
      <c r="B39" s="67" t="s">
        <v>1165</v>
      </c>
      <c r="C39" s="67" t="str">
        <f t="shared" si="0"/>
        <v>Palangka Raya, 12 September 2000</v>
      </c>
      <c r="D39" s="67" t="str">
        <f t="shared" si="1"/>
        <v>S1 - Psikologi</v>
      </c>
      <c r="E39" s="66">
        <f t="shared" si="2"/>
        <v>119</v>
      </c>
      <c r="F39" s="66" t="str">
        <f t="shared" si="3"/>
        <v>Baik</v>
      </c>
      <c r="G39" s="88"/>
      <c r="H39" s="88"/>
      <c r="I39" s="88"/>
      <c r="J39" s="88"/>
      <c r="K39" s="88"/>
      <c r="L39" s="88"/>
      <c r="M39" s="88"/>
      <c r="N39" s="88"/>
      <c r="O39" s="88"/>
      <c r="P39" s="88"/>
      <c r="Q39" s="88"/>
      <c r="R39" s="88"/>
      <c r="S39" s="88"/>
      <c r="T39" s="88"/>
      <c r="U39" s="88"/>
      <c r="V39" s="88"/>
      <c r="W39" s="88"/>
      <c r="X39" s="89"/>
      <c r="Y39" s="89"/>
      <c r="Z39" s="89"/>
      <c r="AA39" s="89"/>
      <c r="AB39" s="89"/>
      <c r="AC39" s="89"/>
      <c r="AD39" s="89"/>
      <c r="AE39" s="89"/>
      <c r="AF39" s="89"/>
      <c r="AG39" s="89"/>
      <c r="AH39" s="89"/>
      <c r="AI39" s="89"/>
      <c r="AJ39" s="89"/>
      <c r="AK39" s="65">
        <f t="shared" si="5"/>
        <v>0</v>
      </c>
      <c r="AL39" s="66" t="str">
        <f t="shared" si="4"/>
        <v>Tidak disarankan</v>
      </c>
      <c r="AM39" s="67" t="s">
        <v>235</v>
      </c>
      <c r="AN39" s="67" t="s">
        <v>235</v>
      </c>
      <c r="AO39" s="67" t="s">
        <v>235</v>
      </c>
      <c r="AP39" s="67" t="s">
        <v>236</v>
      </c>
      <c r="AQ39" s="67" t="s">
        <v>236</v>
      </c>
    </row>
    <row r="40" spans="1:43" ht="50" x14ac:dyDescent="0.35">
      <c r="A40" s="64">
        <v>38</v>
      </c>
      <c r="B40" s="67" t="s">
        <v>1011</v>
      </c>
      <c r="C40" s="67" t="str">
        <f t="shared" si="0"/>
        <v>Muara Teweh, 09 Februari 1997</v>
      </c>
      <c r="D40" s="67" t="str">
        <f t="shared" si="1"/>
        <v>S1 - Akuntansi</v>
      </c>
      <c r="E40" s="66">
        <f t="shared" si="2"/>
        <v>110</v>
      </c>
      <c r="F40" s="66" t="str">
        <f t="shared" si="3"/>
        <v>Baik</v>
      </c>
      <c r="G40" s="88"/>
      <c r="H40" s="88"/>
      <c r="I40" s="88"/>
      <c r="J40" s="88"/>
      <c r="K40" s="88"/>
      <c r="L40" s="88"/>
      <c r="M40" s="88"/>
      <c r="N40" s="88"/>
      <c r="O40" s="88"/>
      <c r="P40" s="88"/>
      <c r="Q40" s="88"/>
      <c r="R40" s="88"/>
      <c r="S40" s="88"/>
      <c r="T40" s="88"/>
      <c r="U40" s="88"/>
      <c r="V40" s="88"/>
      <c r="W40" s="88"/>
      <c r="X40" s="89"/>
      <c r="Y40" s="89"/>
      <c r="Z40" s="89"/>
      <c r="AA40" s="89"/>
      <c r="AB40" s="89"/>
      <c r="AC40" s="89"/>
      <c r="AD40" s="89"/>
      <c r="AE40" s="89"/>
      <c r="AF40" s="89"/>
      <c r="AG40" s="89"/>
      <c r="AH40" s="89"/>
      <c r="AI40" s="89"/>
      <c r="AJ40" s="89"/>
      <c r="AK40" s="65">
        <f t="shared" si="5"/>
        <v>0</v>
      </c>
      <c r="AL40" s="66" t="str">
        <f t="shared" si="4"/>
        <v>Tidak disarankan</v>
      </c>
      <c r="AM40" s="67" t="s">
        <v>235</v>
      </c>
      <c r="AN40" s="67" t="s">
        <v>235</v>
      </c>
      <c r="AO40" s="67" t="s">
        <v>235</v>
      </c>
      <c r="AP40" s="67" t="s">
        <v>236</v>
      </c>
      <c r="AQ40" s="67" t="s">
        <v>236</v>
      </c>
    </row>
    <row r="41" spans="1:43" ht="50" x14ac:dyDescent="0.35">
      <c r="A41" s="64">
        <v>39</v>
      </c>
      <c r="B41" s="67" t="s">
        <v>270</v>
      </c>
      <c r="C41" s="67" t="str">
        <f t="shared" si="0"/>
        <v>Palangka Raya, 07 April 1999</v>
      </c>
      <c r="D41" s="67" t="str">
        <f t="shared" si="1"/>
        <v>S1 - Hukum</v>
      </c>
      <c r="E41" s="66">
        <f t="shared" si="2"/>
        <v>118</v>
      </c>
      <c r="F41" s="66" t="str">
        <f t="shared" si="3"/>
        <v>Baik</v>
      </c>
      <c r="G41" s="88"/>
      <c r="H41" s="88"/>
      <c r="I41" s="88"/>
      <c r="J41" s="88"/>
      <c r="K41" s="88"/>
      <c r="L41" s="88"/>
      <c r="M41" s="88"/>
      <c r="N41" s="88"/>
      <c r="O41" s="88"/>
      <c r="P41" s="88"/>
      <c r="Q41" s="88"/>
      <c r="R41" s="88"/>
      <c r="S41" s="88"/>
      <c r="T41" s="88"/>
      <c r="U41" s="88"/>
      <c r="V41" s="88"/>
      <c r="W41" s="88"/>
      <c r="X41" s="89"/>
      <c r="Y41" s="89"/>
      <c r="Z41" s="89"/>
      <c r="AA41" s="89"/>
      <c r="AB41" s="89"/>
      <c r="AC41" s="89"/>
      <c r="AD41" s="89"/>
      <c r="AE41" s="89"/>
      <c r="AF41" s="89"/>
      <c r="AG41" s="89"/>
      <c r="AH41" s="89"/>
      <c r="AI41" s="89"/>
      <c r="AJ41" s="89"/>
      <c r="AK41" s="65">
        <f t="shared" si="5"/>
        <v>0</v>
      </c>
      <c r="AL41" s="66" t="str">
        <f t="shared" si="4"/>
        <v>Tidak disarankan</v>
      </c>
      <c r="AM41" s="67" t="s">
        <v>235</v>
      </c>
      <c r="AN41" s="67" t="s">
        <v>235</v>
      </c>
      <c r="AO41" s="67" t="s">
        <v>235</v>
      </c>
      <c r="AP41" s="67" t="s">
        <v>236</v>
      </c>
      <c r="AQ41" s="67" t="s">
        <v>236</v>
      </c>
    </row>
    <row r="42" spans="1:43" ht="50" x14ac:dyDescent="0.35">
      <c r="A42" s="64">
        <v>40</v>
      </c>
      <c r="B42" s="67" t="s">
        <v>1227</v>
      </c>
      <c r="C42" s="67" t="str">
        <f t="shared" si="0"/>
        <v>Palangka Raya, 01 November 1996</v>
      </c>
      <c r="D42" s="67" t="str">
        <f t="shared" si="1"/>
        <v>S1 - Teknik Lingkungan</v>
      </c>
      <c r="E42" s="66">
        <f t="shared" si="2"/>
        <v>111</v>
      </c>
      <c r="F42" s="66" t="str">
        <f t="shared" si="3"/>
        <v>Baik</v>
      </c>
      <c r="G42" s="88"/>
      <c r="H42" s="88"/>
      <c r="I42" s="88"/>
      <c r="J42" s="88"/>
      <c r="K42" s="88"/>
      <c r="L42" s="88"/>
      <c r="M42" s="88"/>
      <c r="N42" s="88"/>
      <c r="O42" s="88"/>
      <c r="P42" s="88"/>
      <c r="Q42" s="88"/>
      <c r="R42" s="88"/>
      <c r="S42" s="88"/>
      <c r="T42" s="88"/>
      <c r="U42" s="88"/>
      <c r="V42" s="88"/>
      <c r="W42" s="88"/>
      <c r="X42" s="89"/>
      <c r="Y42" s="89"/>
      <c r="Z42" s="89"/>
      <c r="AA42" s="89"/>
      <c r="AB42" s="89"/>
      <c r="AC42" s="89"/>
      <c r="AD42" s="89"/>
      <c r="AE42" s="89"/>
      <c r="AF42" s="89"/>
      <c r="AG42" s="89"/>
      <c r="AH42" s="89"/>
      <c r="AI42" s="89"/>
      <c r="AJ42" s="89"/>
      <c r="AK42" s="65">
        <f t="shared" si="5"/>
        <v>0</v>
      </c>
      <c r="AL42" s="66" t="str">
        <f t="shared" si="4"/>
        <v>Tidak disarankan</v>
      </c>
      <c r="AM42" s="67" t="s">
        <v>235</v>
      </c>
      <c r="AN42" s="67" t="s">
        <v>235</v>
      </c>
      <c r="AO42" s="67" t="s">
        <v>235</v>
      </c>
      <c r="AP42" s="67" t="s">
        <v>236</v>
      </c>
      <c r="AQ42" s="67" t="s">
        <v>236</v>
      </c>
    </row>
    <row r="43" spans="1:43" ht="50" x14ac:dyDescent="0.35">
      <c r="A43" s="64">
        <v>41</v>
      </c>
      <c r="B43" s="67" t="s">
        <v>665</v>
      </c>
      <c r="C43" s="67" t="str">
        <f t="shared" si="0"/>
        <v>Banjar Masin, 18 Juli 2001</v>
      </c>
      <c r="D43" s="67" t="str">
        <f t="shared" si="1"/>
        <v>S1 - Business And Finance</v>
      </c>
      <c r="E43" s="66">
        <f t="shared" si="2"/>
        <v>119</v>
      </c>
      <c r="F43" s="66" t="str">
        <f t="shared" si="3"/>
        <v>Baik</v>
      </c>
      <c r="G43" s="88"/>
      <c r="H43" s="88"/>
      <c r="I43" s="88"/>
      <c r="J43" s="88"/>
      <c r="K43" s="88"/>
      <c r="L43" s="88"/>
      <c r="M43" s="88"/>
      <c r="N43" s="88"/>
      <c r="O43" s="88"/>
      <c r="P43" s="88"/>
      <c r="Q43" s="88"/>
      <c r="R43" s="88"/>
      <c r="S43" s="88"/>
      <c r="T43" s="88"/>
      <c r="U43" s="88"/>
      <c r="V43" s="88"/>
      <c r="W43" s="88"/>
      <c r="X43" s="89"/>
      <c r="Y43" s="89"/>
      <c r="Z43" s="89"/>
      <c r="AA43" s="89"/>
      <c r="AB43" s="89"/>
      <c r="AC43" s="89"/>
      <c r="AD43" s="89"/>
      <c r="AE43" s="89"/>
      <c r="AF43" s="89"/>
      <c r="AG43" s="89"/>
      <c r="AH43" s="89"/>
      <c r="AI43" s="89"/>
      <c r="AJ43" s="89"/>
      <c r="AK43" s="65">
        <f t="shared" si="5"/>
        <v>0</v>
      </c>
      <c r="AL43" s="66" t="str">
        <f t="shared" si="4"/>
        <v>Tidak disarankan</v>
      </c>
      <c r="AM43" s="67" t="s">
        <v>235</v>
      </c>
      <c r="AN43" s="67" t="s">
        <v>235</v>
      </c>
      <c r="AO43" s="67" t="s">
        <v>235</v>
      </c>
      <c r="AP43" s="67" t="s">
        <v>236</v>
      </c>
      <c r="AQ43" s="67" t="s">
        <v>236</v>
      </c>
    </row>
    <row r="44" spans="1:43" ht="50" x14ac:dyDescent="0.35">
      <c r="A44" s="64">
        <v>42</v>
      </c>
      <c r="B44" s="67" t="s">
        <v>1173</v>
      </c>
      <c r="C44" s="67" t="str">
        <f t="shared" si="0"/>
        <v>Palangka Raya, 06 September 1998</v>
      </c>
      <c r="D44" s="67" t="str">
        <f t="shared" si="1"/>
        <v>S1 - Pendidikan Bahasa Inggris</v>
      </c>
      <c r="E44" s="66">
        <f t="shared" si="2"/>
        <v>123</v>
      </c>
      <c r="F44" s="66" t="str">
        <f t="shared" si="3"/>
        <v>Baik Sekali</v>
      </c>
      <c r="G44" s="88"/>
      <c r="H44" s="88"/>
      <c r="I44" s="88"/>
      <c r="J44" s="88"/>
      <c r="K44" s="88"/>
      <c r="L44" s="88"/>
      <c r="M44" s="88"/>
      <c r="N44" s="88"/>
      <c r="O44" s="88"/>
      <c r="P44" s="88"/>
      <c r="Q44" s="88"/>
      <c r="R44" s="88"/>
      <c r="S44" s="88"/>
      <c r="T44" s="88"/>
      <c r="U44" s="88"/>
      <c r="V44" s="88"/>
      <c r="W44" s="88"/>
      <c r="X44" s="89"/>
      <c r="Y44" s="89"/>
      <c r="Z44" s="89"/>
      <c r="AA44" s="89"/>
      <c r="AB44" s="89"/>
      <c r="AC44" s="89"/>
      <c r="AD44" s="89"/>
      <c r="AE44" s="89"/>
      <c r="AF44" s="89"/>
      <c r="AG44" s="89"/>
      <c r="AH44" s="89"/>
      <c r="AI44" s="89"/>
      <c r="AJ44" s="89"/>
      <c r="AK44" s="65">
        <f t="shared" si="5"/>
        <v>0</v>
      </c>
      <c r="AL44" s="66" t="str">
        <f t="shared" si="4"/>
        <v>Tidak disarankan</v>
      </c>
      <c r="AM44" s="67" t="s">
        <v>235</v>
      </c>
      <c r="AN44" s="67" t="s">
        <v>235</v>
      </c>
      <c r="AO44" s="67" t="s">
        <v>235</v>
      </c>
      <c r="AP44" s="67" t="s">
        <v>236</v>
      </c>
      <c r="AQ44" s="67" t="s">
        <v>236</v>
      </c>
    </row>
    <row r="45" spans="1:43" ht="50" x14ac:dyDescent="0.35">
      <c r="A45" s="64">
        <v>43</v>
      </c>
      <c r="B45" s="67" t="s">
        <v>956</v>
      </c>
      <c r="C45" s="67" t="str">
        <f t="shared" si="0"/>
        <v>Sampit, 16 Februari 1998</v>
      </c>
      <c r="D45" s="67" t="str">
        <f t="shared" si="1"/>
        <v>S1 - Psikologi</v>
      </c>
      <c r="E45" s="66">
        <f t="shared" si="2"/>
        <v>123</v>
      </c>
      <c r="F45" s="66" t="str">
        <f t="shared" si="3"/>
        <v>Baik Sekali</v>
      </c>
      <c r="G45" s="88"/>
      <c r="H45" s="88"/>
      <c r="I45" s="88"/>
      <c r="J45" s="88"/>
      <c r="K45" s="88"/>
      <c r="L45" s="88"/>
      <c r="M45" s="88"/>
      <c r="N45" s="88"/>
      <c r="O45" s="88"/>
      <c r="P45" s="88"/>
      <c r="Q45" s="88"/>
      <c r="R45" s="88"/>
      <c r="S45" s="88"/>
      <c r="T45" s="88"/>
      <c r="U45" s="88"/>
      <c r="V45" s="88"/>
      <c r="W45" s="88"/>
      <c r="X45" s="89"/>
      <c r="Y45" s="89"/>
      <c r="Z45" s="89"/>
      <c r="AA45" s="89"/>
      <c r="AB45" s="89"/>
      <c r="AC45" s="89"/>
      <c r="AD45" s="89"/>
      <c r="AE45" s="89"/>
      <c r="AF45" s="89"/>
      <c r="AG45" s="89"/>
      <c r="AH45" s="89"/>
      <c r="AI45" s="89"/>
      <c r="AJ45" s="89"/>
      <c r="AK45" s="65">
        <f t="shared" si="5"/>
        <v>0</v>
      </c>
      <c r="AL45" s="66" t="str">
        <f t="shared" si="4"/>
        <v>Tidak disarankan</v>
      </c>
      <c r="AM45" s="67" t="s">
        <v>235</v>
      </c>
      <c r="AN45" s="67" t="s">
        <v>235</v>
      </c>
      <c r="AO45" s="67" t="s">
        <v>235</v>
      </c>
      <c r="AP45" s="67" t="s">
        <v>236</v>
      </c>
      <c r="AQ45" s="67" t="s">
        <v>236</v>
      </c>
    </row>
    <row r="46" spans="1:43" ht="50" x14ac:dyDescent="0.35">
      <c r="A46" s="64">
        <v>44</v>
      </c>
      <c r="B46" s="67" t="s">
        <v>1247</v>
      </c>
      <c r="C46" s="67" t="str">
        <f t="shared" si="0"/>
        <v>Pangkalan Bun, 03 Desember 1999</v>
      </c>
      <c r="D46" s="67" t="str">
        <f t="shared" si="1"/>
        <v>S1 - Perbankan Syariah</v>
      </c>
      <c r="E46" s="66">
        <f t="shared" si="2"/>
        <v>103</v>
      </c>
      <c r="F46" s="66" t="str">
        <f t="shared" si="3"/>
        <v>Rata-rata</v>
      </c>
      <c r="G46" s="88">
        <v>3</v>
      </c>
      <c r="H46" s="88">
        <v>2</v>
      </c>
      <c r="I46" s="88">
        <v>2</v>
      </c>
      <c r="J46" s="88">
        <v>3</v>
      </c>
      <c r="K46" s="88">
        <v>3</v>
      </c>
      <c r="L46" s="88">
        <v>2</v>
      </c>
      <c r="M46" s="88">
        <v>2</v>
      </c>
      <c r="N46" s="88">
        <v>3</v>
      </c>
      <c r="O46" s="88">
        <v>2</v>
      </c>
      <c r="P46" s="88">
        <v>3</v>
      </c>
      <c r="Q46" s="88">
        <v>2</v>
      </c>
      <c r="R46" s="88">
        <v>2</v>
      </c>
      <c r="S46" s="88">
        <v>2</v>
      </c>
      <c r="T46" s="88">
        <v>2</v>
      </c>
      <c r="U46" s="88">
        <v>2</v>
      </c>
      <c r="V46" s="88">
        <v>3</v>
      </c>
      <c r="W46" s="88">
        <v>2</v>
      </c>
      <c r="X46" s="89">
        <v>1</v>
      </c>
      <c r="Y46" s="89">
        <v>1</v>
      </c>
      <c r="Z46" s="89">
        <v>2</v>
      </c>
      <c r="AA46" s="89">
        <v>1</v>
      </c>
      <c r="AB46" s="89">
        <v>0</v>
      </c>
      <c r="AC46" s="89">
        <v>1</v>
      </c>
      <c r="AD46" s="89">
        <v>1</v>
      </c>
      <c r="AE46" s="89">
        <v>1</v>
      </c>
      <c r="AF46" s="89">
        <v>2</v>
      </c>
      <c r="AG46" s="89">
        <v>1</v>
      </c>
      <c r="AH46" s="89">
        <v>1</v>
      </c>
      <c r="AI46" s="89">
        <v>1</v>
      </c>
      <c r="AJ46" s="89">
        <v>1</v>
      </c>
      <c r="AK46" s="65">
        <f t="shared" si="5"/>
        <v>0.48275862068965519</v>
      </c>
      <c r="AL46" s="66" t="str">
        <f t="shared" si="4"/>
        <v>Tidak disarankan</v>
      </c>
      <c r="AM46" s="67" t="s">
        <v>235</v>
      </c>
      <c r="AN46" s="67" t="s">
        <v>235</v>
      </c>
      <c r="AO46" s="67" t="s">
        <v>235</v>
      </c>
      <c r="AP46" s="67" t="s">
        <v>236</v>
      </c>
      <c r="AQ46" s="67" t="s">
        <v>236</v>
      </c>
    </row>
    <row r="47" spans="1:43" ht="50" x14ac:dyDescent="0.35">
      <c r="A47" s="64">
        <v>45</v>
      </c>
      <c r="B47" s="67" t="s">
        <v>349</v>
      </c>
      <c r="C47" s="67" t="str">
        <f t="shared" si="0"/>
        <v>Pangkalan Bun, 24 April 2001</v>
      </c>
      <c r="D47" s="67" t="str">
        <f t="shared" si="1"/>
        <v>S1 - Manajemen</v>
      </c>
      <c r="E47" s="66">
        <f t="shared" si="2"/>
        <v>119</v>
      </c>
      <c r="F47" s="66" t="str">
        <f t="shared" si="3"/>
        <v>Baik</v>
      </c>
      <c r="G47" s="88"/>
      <c r="H47" s="88"/>
      <c r="I47" s="88"/>
      <c r="J47" s="88"/>
      <c r="K47" s="88"/>
      <c r="L47" s="88"/>
      <c r="M47" s="88"/>
      <c r="N47" s="88"/>
      <c r="O47" s="88"/>
      <c r="P47" s="88"/>
      <c r="Q47" s="88"/>
      <c r="R47" s="88"/>
      <c r="S47" s="88"/>
      <c r="T47" s="88"/>
      <c r="U47" s="88"/>
      <c r="V47" s="88"/>
      <c r="W47" s="88"/>
      <c r="X47" s="89"/>
      <c r="Y47" s="89"/>
      <c r="Z47" s="89"/>
      <c r="AA47" s="89"/>
      <c r="AB47" s="89"/>
      <c r="AC47" s="89"/>
      <c r="AD47" s="89"/>
      <c r="AE47" s="89"/>
      <c r="AF47" s="89"/>
      <c r="AG47" s="89"/>
      <c r="AH47" s="89"/>
      <c r="AI47" s="89"/>
      <c r="AJ47" s="89"/>
      <c r="AK47" s="65">
        <f t="shared" si="5"/>
        <v>0</v>
      </c>
      <c r="AL47" s="66" t="str">
        <f t="shared" si="4"/>
        <v>Tidak disarankan</v>
      </c>
      <c r="AM47" s="67" t="s">
        <v>235</v>
      </c>
      <c r="AN47" s="67" t="s">
        <v>235</v>
      </c>
      <c r="AO47" s="67" t="s">
        <v>235</v>
      </c>
      <c r="AP47" s="67" t="s">
        <v>236</v>
      </c>
      <c r="AQ47" s="67" t="s">
        <v>236</v>
      </c>
    </row>
    <row r="48" spans="1:43" ht="50" x14ac:dyDescent="0.35">
      <c r="A48" s="64">
        <v>46</v>
      </c>
      <c r="B48" s="67" t="s">
        <v>1081</v>
      </c>
      <c r="C48" s="67" t="str">
        <f t="shared" si="0"/>
        <v>Banjarmasin, 10 Juli 1996</v>
      </c>
      <c r="D48" s="67" t="str">
        <f t="shared" si="1"/>
        <v>S1 - Perbankan Syariah</v>
      </c>
      <c r="E48" s="66">
        <f t="shared" si="2"/>
        <v>118</v>
      </c>
      <c r="F48" s="66" t="str">
        <f t="shared" si="3"/>
        <v>Baik</v>
      </c>
      <c r="G48" s="88"/>
      <c r="H48" s="88"/>
      <c r="I48" s="88"/>
      <c r="J48" s="88"/>
      <c r="K48" s="88"/>
      <c r="L48" s="88"/>
      <c r="M48" s="88"/>
      <c r="N48" s="88"/>
      <c r="O48" s="88"/>
      <c r="P48" s="88"/>
      <c r="Q48" s="88"/>
      <c r="R48" s="88"/>
      <c r="S48" s="88"/>
      <c r="T48" s="88"/>
      <c r="U48" s="88"/>
      <c r="V48" s="88"/>
      <c r="W48" s="88"/>
      <c r="X48" s="89"/>
      <c r="Y48" s="89"/>
      <c r="Z48" s="89"/>
      <c r="AA48" s="89"/>
      <c r="AB48" s="89"/>
      <c r="AC48" s="89"/>
      <c r="AD48" s="89"/>
      <c r="AE48" s="89"/>
      <c r="AF48" s="89"/>
      <c r="AG48" s="89"/>
      <c r="AH48" s="89"/>
      <c r="AI48" s="89"/>
      <c r="AJ48" s="89"/>
      <c r="AK48" s="65">
        <f t="shared" si="5"/>
        <v>0</v>
      </c>
      <c r="AL48" s="66" t="str">
        <f t="shared" si="4"/>
        <v>Tidak disarankan</v>
      </c>
      <c r="AM48" s="67" t="s">
        <v>235</v>
      </c>
      <c r="AN48" s="67" t="s">
        <v>235</v>
      </c>
      <c r="AO48" s="67" t="s">
        <v>235</v>
      </c>
      <c r="AP48" s="67" t="s">
        <v>236</v>
      </c>
      <c r="AQ48" s="67" t="s">
        <v>236</v>
      </c>
    </row>
    <row r="49" spans="1:43" ht="50" x14ac:dyDescent="0.35">
      <c r="A49" s="64">
        <v>47</v>
      </c>
      <c r="B49" s="67" t="s">
        <v>958</v>
      </c>
      <c r="C49" s="67" t="str">
        <f t="shared" si="0"/>
        <v>Kasongan, 15 Maret 1999</v>
      </c>
      <c r="D49" s="67" t="str">
        <f t="shared" si="1"/>
        <v>S1 - Manajemen</v>
      </c>
      <c r="E49" s="66">
        <f t="shared" si="2"/>
        <v>128</v>
      </c>
      <c r="F49" s="66" t="str">
        <f t="shared" si="3"/>
        <v>Baik Sekali</v>
      </c>
      <c r="G49" s="88"/>
      <c r="H49" s="88"/>
      <c r="I49" s="88"/>
      <c r="J49" s="88"/>
      <c r="K49" s="88"/>
      <c r="L49" s="88"/>
      <c r="M49" s="88"/>
      <c r="N49" s="88"/>
      <c r="O49" s="88"/>
      <c r="P49" s="88"/>
      <c r="Q49" s="88"/>
      <c r="R49" s="88"/>
      <c r="S49" s="88"/>
      <c r="T49" s="88"/>
      <c r="U49" s="88"/>
      <c r="V49" s="88"/>
      <c r="W49" s="88"/>
      <c r="X49" s="89"/>
      <c r="Y49" s="89"/>
      <c r="Z49" s="89"/>
      <c r="AA49" s="89"/>
      <c r="AB49" s="89"/>
      <c r="AC49" s="89"/>
      <c r="AD49" s="89"/>
      <c r="AE49" s="89"/>
      <c r="AF49" s="89"/>
      <c r="AG49" s="89"/>
      <c r="AH49" s="89"/>
      <c r="AI49" s="89"/>
      <c r="AJ49" s="89"/>
      <c r="AK49" s="65">
        <f t="shared" si="5"/>
        <v>0</v>
      </c>
      <c r="AL49" s="66" t="str">
        <f t="shared" si="4"/>
        <v>Tidak disarankan</v>
      </c>
      <c r="AM49" s="67" t="s">
        <v>235</v>
      </c>
      <c r="AN49" s="67" t="s">
        <v>235</v>
      </c>
      <c r="AO49" s="67" t="s">
        <v>235</v>
      </c>
      <c r="AP49" s="67" t="s">
        <v>236</v>
      </c>
      <c r="AQ49" s="67" t="s">
        <v>236</v>
      </c>
    </row>
    <row r="50" spans="1:43" ht="50" x14ac:dyDescent="0.35">
      <c r="A50" s="64">
        <v>48</v>
      </c>
      <c r="B50" s="67" t="s">
        <v>705</v>
      </c>
      <c r="C50" s="67" t="str">
        <f t="shared" si="0"/>
        <v>Kasongan, 03 Maret 1997</v>
      </c>
      <c r="D50" s="67" t="str">
        <f t="shared" si="1"/>
        <v>S1 - Teknik Informatika</v>
      </c>
      <c r="E50" s="66">
        <f t="shared" si="2"/>
        <v>109</v>
      </c>
      <c r="F50" s="66" t="str">
        <f t="shared" si="3"/>
        <v>Rata-rata</v>
      </c>
      <c r="G50" s="88"/>
      <c r="H50" s="88"/>
      <c r="I50" s="88"/>
      <c r="J50" s="88"/>
      <c r="K50" s="88"/>
      <c r="L50" s="88"/>
      <c r="M50" s="88"/>
      <c r="N50" s="88"/>
      <c r="O50" s="88"/>
      <c r="P50" s="88"/>
      <c r="Q50" s="88"/>
      <c r="R50" s="88"/>
      <c r="S50" s="88"/>
      <c r="T50" s="88"/>
      <c r="U50" s="88"/>
      <c r="V50" s="88"/>
      <c r="W50" s="88"/>
      <c r="X50" s="89"/>
      <c r="Y50" s="89"/>
      <c r="Z50" s="89"/>
      <c r="AA50" s="89"/>
      <c r="AB50" s="89"/>
      <c r="AC50" s="89"/>
      <c r="AD50" s="89"/>
      <c r="AE50" s="89"/>
      <c r="AF50" s="89"/>
      <c r="AG50" s="89"/>
      <c r="AH50" s="89"/>
      <c r="AI50" s="89"/>
      <c r="AJ50" s="89"/>
      <c r="AK50" s="65">
        <f t="shared" si="5"/>
        <v>0</v>
      </c>
      <c r="AL50" s="66" t="str">
        <f t="shared" si="4"/>
        <v>Tidak disarankan</v>
      </c>
      <c r="AM50" s="67" t="s">
        <v>235</v>
      </c>
      <c r="AN50" s="67" t="s">
        <v>235</v>
      </c>
      <c r="AO50" s="67" t="s">
        <v>235</v>
      </c>
      <c r="AP50" s="67" t="s">
        <v>236</v>
      </c>
      <c r="AQ50" s="67" t="s">
        <v>236</v>
      </c>
    </row>
    <row r="51" spans="1:43" ht="50" x14ac:dyDescent="0.35">
      <c r="A51" s="64">
        <v>49</v>
      </c>
      <c r="B51" s="67" t="s">
        <v>1083</v>
      </c>
      <c r="C51" s="67" t="str">
        <f t="shared" si="0"/>
        <v>Kuala Kapuas, 08 Januari 1999</v>
      </c>
      <c r="D51" s="67" t="str">
        <f t="shared" si="1"/>
        <v>S1 - Teknik Sipil</v>
      </c>
      <c r="E51" s="66" t="e">
        <f t="shared" si="2"/>
        <v>#N/A</v>
      </c>
      <c r="F51" s="66" t="e">
        <f t="shared" si="3"/>
        <v>#N/A</v>
      </c>
      <c r="G51" s="88"/>
      <c r="H51" s="88"/>
      <c r="I51" s="88"/>
      <c r="J51" s="88"/>
      <c r="K51" s="88"/>
      <c r="L51" s="88"/>
      <c r="M51" s="88"/>
      <c r="N51" s="88"/>
      <c r="O51" s="88"/>
      <c r="P51" s="88"/>
      <c r="Q51" s="88"/>
      <c r="R51" s="88"/>
      <c r="S51" s="88"/>
      <c r="T51" s="88"/>
      <c r="U51" s="88"/>
      <c r="V51" s="88"/>
      <c r="W51" s="88"/>
      <c r="X51" s="89"/>
      <c r="Y51" s="89"/>
      <c r="Z51" s="89"/>
      <c r="AA51" s="89"/>
      <c r="AB51" s="89"/>
      <c r="AC51" s="89"/>
      <c r="AD51" s="89"/>
      <c r="AE51" s="89"/>
      <c r="AF51" s="89"/>
      <c r="AG51" s="89"/>
      <c r="AH51" s="89"/>
      <c r="AI51" s="89"/>
      <c r="AJ51" s="89"/>
      <c r="AK51" s="65">
        <f t="shared" si="5"/>
        <v>0</v>
      </c>
      <c r="AL51" s="66" t="str">
        <f t="shared" si="4"/>
        <v>Tidak disarankan</v>
      </c>
      <c r="AM51" s="67" t="s">
        <v>235</v>
      </c>
      <c r="AN51" s="67" t="s">
        <v>235</v>
      </c>
      <c r="AO51" s="67" t="s">
        <v>235</v>
      </c>
      <c r="AP51" s="67" t="s">
        <v>236</v>
      </c>
      <c r="AQ51" s="67" t="s">
        <v>236</v>
      </c>
    </row>
    <row r="52" spans="1:43" ht="50" x14ac:dyDescent="0.35">
      <c r="A52" s="64">
        <v>50</v>
      </c>
      <c r="B52" s="67" t="s">
        <v>311</v>
      </c>
      <c r="C52" s="67" t="str">
        <f t="shared" si="0"/>
        <v>Kuala Kapuas, 27 Oktober 1999</v>
      </c>
      <c r="D52" s="67" t="str">
        <f t="shared" si="1"/>
        <v>S1 - Akuntansi</v>
      </c>
      <c r="E52" s="66">
        <f t="shared" si="2"/>
        <v>113</v>
      </c>
      <c r="F52" s="66" t="str">
        <f t="shared" si="3"/>
        <v>Baik</v>
      </c>
      <c r="G52" s="88"/>
      <c r="H52" s="88"/>
      <c r="I52" s="88"/>
      <c r="J52" s="88"/>
      <c r="K52" s="88"/>
      <c r="L52" s="88"/>
      <c r="M52" s="88"/>
      <c r="N52" s="88"/>
      <c r="O52" s="88"/>
      <c r="P52" s="88"/>
      <c r="Q52" s="88"/>
      <c r="R52" s="88"/>
      <c r="S52" s="88"/>
      <c r="T52" s="88"/>
      <c r="U52" s="88"/>
      <c r="V52" s="88"/>
      <c r="W52" s="88"/>
      <c r="X52" s="89"/>
      <c r="Y52" s="89"/>
      <c r="Z52" s="89"/>
      <c r="AA52" s="89"/>
      <c r="AB52" s="89"/>
      <c r="AC52" s="89"/>
      <c r="AD52" s="89"/>
      <c r="AE52" s="89"/>
      <c r="AF52" s="89"/>
      <c r="AG52" s="89"/>
      <c r="AH52" s="89"/>
      <c r="AI52" s="89"/>
      <c r="AJ52" s="89"/>
      <c r="AK52" s="65">
        <f t="shared" si="5"/>
        <v>0</v>
      </c>
      <c r="AL52" s="66" t="str">
        <f t="shared" si="4"/>
        <v>Tidak disarankan</v>
      </c>
      <c r="AM52" s="67" t="s">
        <v>235</v>
      </c>
      <c r="AN52" s="67" t="s">
        <v>235</v>
      </c>
      <c r="AO52" s="67" t="s">
        <v>235</v>
      </c>
      <c r="AP52" s="67" t="s">
        <v>236</v>
      </c>
      <c r="AQ52" s="67" t="s">
        <v>236</v>
      </c>
    </row>
    <row r="53" spans="1:43" ht="50" x14ac:dyDescent="0.35">
      <c r="A53" s="64">
        <v>51</v>
      </c>
      <c r="B53" s="67" t="s">
        <v>1024</v>
      </c>
      <c r="C53" s="67" t="str">
        <f t="shared" si="0"/>
        <v>Tabak Kanilan, 03 November 1997</v>
      </c>
      <c r="D53" s="67" t="str">
        <f t="shared" si="1"/>
        <v>S1 - Ilmu Hukum</v>
      </c>
      <c r="E53" s="66">
        <f t="shared" si="2"/>
        <v>115</v>
      </c>
      <c r="F53" s="66" t="str">
        <f t="shared" si="3"/>
        <v>Baik</v>
      </c>
      <c r="G53" s="88"/>
      <c r="H53" s="88"/>
      <c r="I53" s="88"/>
      <c r="J53" s="88"/>
      <c r="K53" s="88"/>
      <c r="L53" s="88"/>
      <c r="M53" s="88"/>
      <c r="N53" s="88"/>
      <c r="O53" s="88"/>
      <c r="P53" s="88"/>
      <c r="Q53" s="88"/>
      <c r="R53" s="88"/>
      <c r="S53" s="88"/>
      <c r="T53" s="88"/>
      <c r="U53" s="88"/>
      <c r="V53" s="88"/>
      <c r="W53" s="88"/>
      <c r="X53" s="89"/>
      <c r="Y53" s="89"/>
      <c r="Z53" s="89"/>
      <c r="AA53" s="89"/>
      <c r="AB53" s="89"/>
      <c r="AC53" s="89"/>
      <c r="AD53" s="89"/>
      <c r="AE53" s="89"/>
      <c r="AF53" s="89"/>
      <c r="AG53" s="89"/>
      <c r="AH53" s="89"/>
      <c r="AI53" s="89"/>
      <c r="AJ53" s="89"/>
      <c r="AK53" s="65">
        <f t="shared" si="5"/>
        <v>0</v>
      </c>
      <c r="AL53" s="66" t="str">
        <f t="shared" si="4"/>
        <v>Tidak disarankan</v>
      </c>
      <c r="AM53" s="67" t="s">
        <v>235</v>
      </c>
      <c r="AN53" s="67" t="s">
        <v>235</v>
      </c>
      <c r="AO53" s="67" t="s">
        <v>235</v>
      </c>
      <c r="AP53" s="67" t="s">
        <v>236</v>
      </c>
      <c r="AQ53" s="67" t="s">
        <v>236</v>
      </c>
    </row>
    <row r="54" spans="1:43" ht="50" x14ac:dyDescent="0.35">
      <c r="A54" s="64">
        <v>52</v>
      </c>
      <c r="B54" s="67" t="s">
        <v>314</v>
      </c>
      <c r="C54" s="67" t="str">
        <f t="shared" si="0"/>
        <v>Jombang, 23 Mei 2000</v>
      </c>
      <c r="D54" s="67" t="str">
        <f t="shared" si="1"/>
        <v>S1 - Ilmu Komputer</v>
      </c>
      <c r="E54" s="66">
        <f t="shared" si="2"/>
        <v>114</v>
      </c>
      <c r="F54" s="66" t="str">
        <f t="shared" si="3"/>
        <v>Baik</v>
      </c>
      <c r="G54" s="88"/>
      <c r="H54" s="88"/>
      <c r="I54" s="88"/>
      <c r="J54" s="88"/>
      <c r="K54" s="88"/>
      <c r="L54" s="88"/>
      <c r="M54" s="88"/>
      <c r="N54" s="88"/>
      <c r="O54" s="88"/>
      <c r="P54" s="88"/>
      <c r="Q54" s="88"/>
      <c r="R54" s="88"/>
      <c r="S54" s="88"/>
      <c r="T54" s="88"/>
      <c r="U54" s="88"/>
      <c r="V54" s="88"/>
      <c r="W54" s="88"/>
      <c r="X54" s="89"/>
      <c r="Y54" s="89"/>
      <c r="Z54" s="89"/>
      <c r="AA54" s="89"/>
      <c r="AB54" s="89"/>
      <c r="AC54" s="89"/>
      <c r="AD54" s="89"/>
      <c r="AE54" s="89"/>
      <c r="AF54" s="89"/>
      <c r="AG54" s="89"/>
      <c r="AH54" s="89"/>
      <c r="AI54" s="89"/>
      <c r="AJ54" s="89"/>
      <c r="AK54" s="65">
        <f t="shared" si="5"/>
        <v>0</v>
      </c>
      <c r="AL54" s="66" t="str">
        <f t="shared" si="4"/>
        <v>Tidak disarankan</v>
      </c>
      <c r="AM54" s="67" t="s">
        <v>235</v>
      </c>
      <c r="AN54" s="67" t="s">
        <v>235</v>
      </c>
      <c r="AO54" s="67" t="s">
        <v>235</v>
      </c>
      <c r="AP54" s="67" t="s">
        <v>236</v>
      </c>
      <c r="AQ54" s="67" t="s">
        <v>236</v>
      </c>
    </row>
    <row r="55" spans="1:43" ht="50" x14ac:dyDescent="0.35">
      <c r="A55" s="64">
        <v>53</v>
      </c>
      <c r="B55" s="67" t="s">
        <v>1046</v>
      </c>
      <c r="C55" s="67" t="str">
        <f t="shared" si="0"/>
        <v>Banyumas, 12 September 2000</v>
      </c>
      <c r="D55" s="67" t="str">
        <f t="shared" si="1"/>
        <v>S1 - Ilmu Hukum</v>
      </c>
      <c r="E55" s="66">
        <f t="shared" si="2"/>
        <v>118</v>
      </c>
      <c r="F55" s="66" t="str">
        <f t="shared" si="3"/>
        <v>Baik</v>
      </c>
      <c r="G55" s="88"/>
      <c r="H55" s="88"/>
      <c r="I55" s="88"/>
      <c r="J55" s="88"/>
      <c r="K55" s="88"/>
      <c r="L55" s="88"/>
      <c r="M55" s="88"/>
      <c r="N55" s="88"/>
      <c r="O55" s="88"/>
      <c r="P55" s="88"/>
      <c r="Q55" s="88"/>
      <c r="R55" s="88"/>
      <c r="S55" s="88"/>
      <c r="T55" s="88"/>
      <c r="U55" s="88"/>
      <c r="V55" s="88"/>
      <c r="W55" s="88"/>
      <c r="X55" s="89"/>
      <c r="Y55" s="89"/>
      <c r="Z55" s="89"/>
      <c r="AA55" s="89"/>
      <c r="AB55" s="89"/>
      <c r="AC55" s="89"/>
      <c r="AD55" s="89"/>
      <c r="AE55" s="89"/>
      <c r="AF55" s="89"/>
      <c r="AG55" s="89"/>
      <c r="AH55" s="89"/>
      <c r="AI55" s="89"/>
      <c r="AJ55" s="89"/>
      <c r="AK55" s="65">
        <f t="shared" si="5"/>
        <v>0</v>
      </c>
      <c r="AL55" s="66" t="str">
        <f t="shared" si="4"/>
        <v>Tidak disarankan</v>
      </c>
      <c r="AM55" s="67" t="s">
        <v>235</v>
      </c>
      <c r="AN55" s="67" t="s">
        <v>235</v>
      </c>
      <c r="AO55" s="67" t="s">
        <v>235</v>
      </c>
      <c r="AP55" s="67" t="s">
        <v>236</v>
      </c>
      <c r="AQ55" s="67" t="s">
        <v>236</v>
      </c>
    </row>
    <row r="56" spans="1:43" ht="50" x14ac:dyDescent="0.35">
      <c r="A56" s="64">
        <v>54</v>
      </c>
      <c r="B56" s="67" t="s">
        <v>943</v>
      </c>
      <c r="C56" s="67" t="str">
        <f t="shared" si="0"/>
        <v>Kotawaringin Barat, 05 April 1997</v>
      </c>
      <c r="D56" s="67" t="str">
        <f t="shared" si="1"/>
        <v>S1 - Informatika</v>
      </c>
      <c r="E56" s="66">
        <f t="shared" si="2"/>
        <v>116</v>
      </c>
      <c r="F56" s="66" t="str">
        <f t="shared" si="3"/>
        <v>Baik</v>
      </c>
      <c r="G56" s="88"/>
      <c r="H56" s="88"/>
      <c r="I56" s="88"/>
      <c r="J56" s="88"/>
      <c r="K56" s="88"/>
      <c r="L56" s="88"/>
      <c r="M56" s="88"/>
      <c r="N56" s="88"/>
      <c r="O56" s="88"/>
      <c r="P56" s="88"/>
      <c r="Q56" s="88"/>
      <c r="R56" s="88"/>
      <c r="S56" s="88"/>
      <c r="T56" s="88"/>
      <c r="U56" s="88"/>
      <c r="V56" s="88"/>
      <c r="W56" s="88"/>
      <c r="X56" s="89"/>
      <c r="Y56" s="89"/>
      <c r="Z56" s="89"/>
      <c r="AA56" s="89"/>
      <c r="AB56" s="89"/>
      <c r="AC56" s="89"/>
      <c r="AD56" s="89"/>
      <c r="AE56" s="89"/>
      <c r="AF56" s="89"/>
      <c r="AG56" s="89"/>
      <c r="AH56" s="89"/>
      <c r="AI56" s="89"/>
      <c r="AJ56" s="89"/>
      <c r="AK56" s="65">
        <f t="shared" si="5"/>
        <v>0</v>
      </c>
      <c r="AL56" s="66" t="str">
        <f t="shared" si="4"/>
        <v>Tidak disarankan</v>
      </c>
      <c r="AM56" s="67" t="s">
        <v>235</v>
      </c>
      <c r="AN56" s="67" t="s">
        <v>235</v>
      </c>
      <c r="AO56" s="67" t="s">
        <v>235</v>
      </c>
      <c r="AP56" s="67" t="s">
        <v>236</v>
      </c>
      <c r="AQ56" s="67" t="s">
        <v>236</v>
      </c>
    </row>
    <row r="57" spans="1:43" ht="50" x14ac:dyDescent="0.35">
      <c r="A57" s="64">
        <v>55</v>
      </c>
      <c r="B57" s="67" t="s">
        <v>943</v>
      </c>
      <c r="C57" s="67" t="str">
        <f t="shared" si="0"/>
        <v>Kotawaringin Barat, 05 April 1997</v>
      </c>
      <c r="D57" s="67" t="str">
        <f t="shared" si="1"/>
        <v>S1 - Informatika</v>
      </c>
      <c r="E57" s="66">
        <f t="shared" si="2"/>
        <v>116</v>
      </c>
      <c r="F57" s="66" t="str">
        <f t="shared" si="3"/>
        <v>Baik</v>
      </c>
      <c r="G57" s="88"/>
      <c r="H57" s="88"/>
      <c r="I57" s="88"/>
      <c r="J57" s="88"/>
      <c r="K57" s="88"/>
      <c r="L57" s="88"/>
      <c r="M57" s="88"/>
      <c r="N57" s="88"/>
      <c r="O57" s="88"/>
      <c r="P57" s="88"/>
      <c r="Q57" s="88"/>
      <c r="R57" s="88"/>
      <c r="S57" s="88"/>
      <c r="T57" s="88"/>
      <c r="U57" s="88"/>
      <c r="V57" s="88"/>
      <c r="W57" s="88"/>
      <c r="X57" s="89"/>
      <c r="Y57" s="89"/>
      <c r="Z57" s="89"/>
      <c r="AA57" s="89"/>
      <c r="AB57" s="89"/>
      <c r="AC57" s="89"/>
      <c r="AD57" s="89"/>
      <c r="AE57" s="89"/>
      <c r="AF57" s="89"/>
      <c r="AG57" s="89"/>
      <c r="AH57" s="89"/>
      <c r="AI57" s="89"/>
      <c r="AJ57" s="89"/>
      <c r="AK57" s="65">
        <f t="shared" si="5"/>
        <v>0</v>
      </c>
      <c r="AL57" s="66" t="str">
        <f t="shared" si="4"/>
        <v>Tidak disarankan</v>
      </c>
      <c r="AM57" s="67" t="s">
        <v>235</v>
      </c>
      <c r="AN57" s="67" t="s">
        <v>235</v>
      </c>
      <c r="AO57" s="67" t="s">
        <v>235</v>
      </c>
      <c r="AP57" s="67" t="s">
        <v>236</v>
      </c>
      <c r="AQ57" s="67" t="s">
        <v>236</v>
      </c>
    </row>
    <row r="58" spans="1:43" ht="50" x14ac:dyDescent="0.35">
      <c r="A58" s="64">
        <v>56</v>
      </c>
      <c r="B58" s="67" t="s">
        <v>673</v>
      </c>
      <c r="C58" s="67" t="str">
        <f t="shared" si="0"/>
        <v>Sapporo, 12 Februari 2000</v>
      </c>
      <c r="D58" s="67" t="str">
        <f t="shared" si="1"/>
        <v>S1 - Psikologi</v>
      </c>
      <c r="E58" s="66">
        <f t="shared" si="2"/>
        <v>106</v>
      </c>
      <c r="F58" s="66" t="str">
        <f t="shared" si="3"/>
        <v>Rata-rata</v>
      </c>
      <c r="G58" s="88"/>
      <c r="H58" s="88"/>
      <c r="I58" s="88"/>
      <c r="J58" s="88"/>
      <c r="K58" s="88"/>
      <c r="L58" s="88"/>
      <c r="M58" s="88"/>
      <c r="N58" s="88"/>
      <c r="O58" s="88"/>
      <c r="P58" s="88"/>
      <c r="Q58" s="88"/>
      <c r="R58" s="88"/>
      <c r="S58" s="88"/>
      <c r="T58" s="88"/>
      <c r="U58" s="88"/>
      <c r="V58" s="88"/>
      <c r="W58" s="88"/>
      <c r="X58" s="89"/>
      <c r="Y58" s="89"/>
      <c r="Z58" s="89"/>
      <c r="AA58" s="89"/>
      <c r="AB58" s="89"/>
      <c r="AC58" s="89"/>
      <c r="AD58" s="89"/>
      <c r="AE58" s="89"/>
      <c r="AF58" s="89"/>
      <c r="AG58" s="89"/>
      <c r="AH58" s="89"/>
      <c r="AI58" s="89"/>
      <c r="AJ58" s="89"/>
      <c r="AK58" s="65">
        <f t="shared" si="5"/>
        <v>0</v>
      </c>
      <c r="AL58" s="66" t="str">
        <f t="shared" si="4"/>
        <v>Tidak disarankan</v>
      </c>
      <c r="AM58" s="67" t="s">
        <v>235</v>
      </c>
      <c r="AN58" s="67" t="s">
        <v>235</v>
      </c>
      <c r="AO58" s="67" t="s">
        <v>235</v>
      </c>
      <c r="AP58" s="67" t="s">
        <v>236</v>
      </c>
      <c r="AQ58" s="67" t="s">
        <v>236</v>
      </c>
    </row>
    <row r="59" spans="1:43" ht="50" x14ac:dyDescent="0.35">
      <c r="A59" s="64">
        <v>57</v>
      </c>
      <c r="B59" s="67" t="s">
        <v>1075</v>
      </c>
      <c r="C59" s="67" t="str">
        <f t="shared" si="0"/>
        <v>Muara Teweh, 12 September 2000</v>
      </c>
      <c r="D59" s="67" t="str">
        <f t="shared" si="1"/>
        <v>S1 - Teknik Sipil</v>
      </c>
      <c r="E59" s="66">
        <f t="shared" si="2"/>
        <v>114</v>
      </c>
      <c r="F59" s="66" t="str">
        <f t="shared" si="3"/>
        <v>Baik</v>
      </c>
      <c r="G59" s="88"/>
      <c r="H59" s="88"/>
      <c r="I59" s="88"/>
      <c r="J59" s="88"/>
      <c r="K59" s="88"/>
      <c r="L59" s="88"/>
      <c r="M59" s="88"/>
      <c r="N59" s="88"/>
      <c r="O59" s="88"/>
      <c r="P59" s="88"/>
      <c r="Q59" s="88"/>
      <c r="R59" s="88"/>
      <c r="S59" s="88"/>
      <c r="T59" s="88"/>
      <c r="U59" s="88"/>
      <c r="V59" s="88"/>
      <c r="W59" s="88"/>
      <c r="X59" s="89"/>
      <c r="Y59" s="89"/>
      <c r="Z59" s="89"/>
      <c r="AA59" s="89"/>
      <c r="AB59" s="89"/>
      <c r="AC59" s="89"/>
      <c r="AD59" s="89"/>
      <c r="AE59" s="89"/>
      <c r="AF59" s="89"/>
      <c r="AG59" s="89"/>
      <c r="AH59" s="89"/>
      <c r="AI59" s="89"/>
      <c r="AJ59" s="89"/>
      <c r="AK59" s="65">
        <f t="shared" si="5"/>
        <v>0</v>
      </c>
      <c r="AL59" s="66" t="str">
        <f t="shared" si="4"/>
        <v>Tidak disarankan</v>
      </c>
      <c r="AM59" s="67" t="s">
        <v>235</v>
      </c>
      <c r="AN59" s="67" t="s">
        <v>235</v>
      </c>
      <c r="AO59" s="67" t="s">
        <v>235</v>
      </c>
      <c r="AP59" s="67" t="s">
        <v>236</v>
      </c>
      <c r="AQ59" s="67" t="s">
        <v>236</v>
      </c>
    </row>
    <row r="60" spans="1:43" ht="50" x14ac:dyDescent="0.35">
      <c r="A60" s="64">
        <v>58</v>
      </c>
      <c r="B60" s="67" t="s">
        <v>289</v>
      </c>
      <c r="C60" s="67" t="str">
        <f t="shared" si="0"/>
        <v>Sampit, 17 Maret 1999</v>
      </c>
      <c r="D60" s="67" t="str">
        <f t="shared" si="1"/>
        <v>S2 - Magister Manajemen</v>
      </c>
      <c r="E60" s="66">
        <f t="shared" si="2"/>
        <v>103</v>
      </c>
      <c r="F60" s="66" t="str">
        <f t="shared" si="3"/>
        <v>Rata-rata</v>
      </c>
      <c r="G60" s="88"/>
      <c r="H60" s="88"/>
      <c r="I60" s="88"/>
      <c r="J60" s="88"/>
      <c r="K60" s="88"/>
      <c r="L60" s="88"/>
      <c r="M60" s="88"/>
      <c r="N60" s="88"/>
      <c r="O60" s="88"/>
      <c r="P60" s="88"/>
      <c r="Q60" s="88"/>
      <c r="R60" s="88"/>
      <c r="S60" s="88"/>
      <c r="T60" s="88"/>
      <c r="U60" s="88"/>
      <c r="V60" s="88"/>
      <c r="W60" s="88"/>
      <c r="X60" s="89"/>
      <c r="Y60" s="89"/>
      <c r="Z60" s="89"/>
      <c r="AA60" s="89"/>
      <c r="AB60" s="89"/>
      <c r="AC60" s="89"/>
      <c r="AD60" s="89"/>
      <c r="AE60" s="89"/>
      <c r="AF60" s="89"/>
      <c r="AG60" s="89"/>
      <c r="AH60" s="89"/>
      <c r="AI60" s="89"/>
      <c r="AJ60" s="89"/>
      <c r="AK60" s="65">
        <f t="shared" si="5"/>
        <v>0</v>
      </c>
      <c r="AL60" s="66" t="str">
        <f t="shared" si="4"/>
        <v>Tidak disarankan</v>
      </c>
      <c r="AM60" s="67" t="s">
        <v>235</v>
      </c>
      <c r="AN60" s="67" t="s">
        <v>235</v>
      </c>
      <c r="AO60" s="67" t="s">
        <v>235</v>
      </c>
      <c r="AP60" s="67" t="s">
        <v>236</v>
      </c>
      <c r="AQ60" s="67" t="s">
        <v>236</v>
      </c>
    </row>
    <row r="61" spans="1:43" ht="50" x14ac:dyDescent="0.35">
      <c r="A61" s="64">
        <v>59</v>
      </c>
      <c r="B61" s="67" t="s">
        <v>1230</v>
      </c>
      <c r="C61" s="67" t="str">
        <f t="shared" si="0"/>
        <v>Palangka Raya, 10 Juli 1998</v>
      </c>
      <c r="D61" s="67" t="str">
        <f t="shared" si="1"/>
        <v>S1 - Teknik Sipil</v>
      </c>
      <c r="E61" s="66">
        <f t="shared" si="2"/>
        <v>98</v>
      </c>
      <c r="F61" s="66" t="str">
        <f t="shared" si="3"/>
        <v>Rata-rata</v>
      </c>
      <c r="G61" s="88"/>
      <c r="H61" s="88"/>
      <c r="I61" s="88"/>
      <c r="J61" s="88"/>
      <c r="K61" s="88"/>
      <c r="L61" s="88"/>
      <c r="M61" s="88"/>
      <c r="N61" s="88"/>
      <c r="O61" s="88"/>
      <c r="P61" s="88"/>
      <c r="Q61" s="88"/>
      <c r="R61" s="88"/>
      <c r="S61" s="88"/>
      <c r="T61" s="88"/>
      <c r="U61" s="88"/>
      <c r="V61" s="88"/>
      <c r="W61" s="88"/>
      <c r="X61" s="89"/>
      <c r="Y61" s="89"/>
      <c r="Z61" s="89"/>
      <c r="AA61" s="89"/>
      <c r="AB61" s="89"/>
      <c r="AC61" s="89"/>
      <c r="AD61" s="89"/>
      <c r="AE61" s="89"/>
      <c r="AF61" s="89"/>
      <c r="AG61" s="89"/>
      <c r="AH61" s="89"/>
      <c r="AI61" s="89"/>
      <c r="AJ61" s="89"/>
      <c r="AK61" s="65">
        <f t="shared" si="5"/>
        <v>0</v>
      </c>
      <c r="AL61" s="66" t="str">
        <f t="shared" si="4"/>
        <v>Tidak disarankan</v>
      </c>
      <c r="AM61" s="67" t="s">
        <v>235</v>
      </c>
      <c r="AN61" s="67" t="s">
        <v>235</v>
      </c>
      <c r="AO61" s="67" t="s">
        <v>235</v>
      </c>
      <c r="AP61" s="67" t="s">
        <v>236</v>
      </c>
      <c r="AQ61" s="67" t="s">
        <v>236</v>
      </c>
    </row>
    <row r="62" spans="1:43" ht="50" x14ac:dyDescent="0.35">
      <c r="A62" s="64">
        <v>60</v>
      </c>
      <c r="B62" s="67" t="s">
        <v>1232</v>
      </c>
      <c r="C62" s="67" t="str">
        <f t="shared" si="0"/>
        <v>Palangka Raya, 17 Juli 1996</v>
      </c>
      <c r="D62" s="67" t="str">
        <f t="shared" si="1"/>
        <v>S1 - Sistem Informasi</v>
      </c>
      <c r="E62" s="66">
        <f t="shared" si="2"/>
        <v>114</v>
      </c>
      <c r="F62" s="66" t="str">
        <f t="shared" si="3"/>
        <v>Baik</v>
      </c>
      <c r="G62" s="88"/>
      <c r="H62" s="88"/>
      <c r="I62" s="88"/>
      <c r="J62" s="88"/>
      <c r="K62" s="88"/>
      <c r="L62" s="88"/>
      <c r="M62" s="88"/>
      <c r="N62" s="88"/>
      <c r="O62" s="88"/>
      <c r="P62" s="88"/>
      <c r="Q62" s="88"/>
      <c r="R62" s="88"/>
      <c r="S62" s="88"/>
      <c r="T62" s="88"/>
      <c r="U62" s="88"/>
      <c r="V62" s="88"/>
      <c r="W62" s="88"/>
      <c r="X62" s="89"/>
      <c r="Y62" s="89"/>
      <c r="Z62" s="89"/>
      <c r="AA62" s="89"/>
      <c r="AB62" s="89"/>
      <c r="AC62" s="89"/>
      <c r="AD62" s="89"/>
      <c r="AE62" s="89"/>
      <c r="AF62" s="89"/>
      <c r="AG62" s="89"/>
      <c r="AH62" s="89"/>
      <c r="AI62" s="89"/>
      <c r="AJ62" s="89"/>
      <c r="AK62" s="65">
        <f t="shared" si="5"/>
        <v>0</v>
      </c>
      <c r="AL62" s="66" t="str">
        <f t="shared" si="4"/>
        <v>Tidak disarankan</v>
      </c>
      <c r="AM62" s="67" t="s">
        <v>235</v>
      </c>
      <c r="AN62" s="67" t="s">
        <v>235</v>
      </c>
      <c r="AO62" s="67" t="s">
        <v>235</v>
      </c>
      <c r="AP62" s="67" t="s">
        <v>236</v>
      </c>
      <c r="AQ62" s="67" t="s">
        <v>236</v>
      </c>
    </row>
    <row r="63" spans="1:43" ht="50" x14ac:dyDescent="0.35">
      <c r="A63" s="64">
        <v>61</v>
      </c>
      <c r="B63" s="67" t="s">
        <v>667</v>
      </c>
      <c r="C63" s="67" t="str">
        <f t="shared" si="0"/>
        <v>Sampit, 19 Juni 1999</v>
      </c>
      <c r="D63" s="67" t="str">
        <f t="shared" si="1"/>
        <v>S1 - Manajemen Keuangan</v>
      </c>
      <c r="E63" s="66">
        <f t="shared" si="2"/>
        <v>118</v>
      </c>
      <c r="F63" s="66" t="str">
        <f t="shared" si="3"/>
        <v>Baik</v>
      </c>
      <c r="G63" s="88"/>
      <c r="H63" s="88"/>
      <c r="I63" s="88"/>
      <c r="J63" s="88"/>
      <c r="K63" s="88"/>
      <c r="L63" s="88"/>
      <c r="M63" s="88"/>
      <c r="N63" s="88"/>
      <c r="O63" s="88"/>
      <c r="P63" s="88"/>
      <c r="Q63" s="88"/>
      <c r="R63" s="88"/>
      <c r="S63" s="88"/>
      <c r="T63" s="88"/>
      <c r="U63" s="88"/>
      <c r="V63" s="88"/>
      <c r="W63" s="88"/>
      <c r="X63" s="89"/>
      <c r="Y63" s="89"/>
      <c r="Z63" s="89"/>
      <c r="AA63" s="89"/>
      <c r="AB63" s="89"/>
      <c r="AC63" s="89"/>
      <c r="AD63" s="89"/>
      <c r="AE63" s="89"/>
      <c r="AF63" s="89"/>
      <c r="AG63" s="89"/>
      <c r="AH63" s="89"/>
      <c r="AI63" s="89"/>
      <c r="AJ63" s="89"/>
      <c r="AK63" s="65">
        <f t="shared" si="5"/>
        <v>0</v>
      </c>
      <c r="AL63" s="66" t="str">
        <f t="shared" si="4"/>
        <v>Tidak disarankan</v>
      </c>
      <c r="AM63" s="67" t="s">
        <v>235</v>
      </c>
      <c r="AN63" s="67" t="s">
        <v>235</v>
      </c>
      <c r="AO63" s="67" t="s">
        <v>235</v>
      </c>
      <c r="AP63" s="67" t="s">
        <v>236</v>
      </c>
      <c r="AQ63" s="67" t="s">
        <v>236</v>
      </c>
    </row>
    <row r="64" spans="1:43" ht="50" x14ac:dyDescent="0.35">
      <c r="A64" s="64">
        <v>62</v>
      </c>
      <c r="B64" s="67" t="s">
        <v>689</v>
      </c>
      <c r="C64" s="67" t="str">
        <f t="shared" si="0"/>
        <v>Sampit, 11 Juli 1999</v>
      </c>
      <c r="D64" s="67" t="str">
        <f t="shared" si="1"/>
        <v>S1 - Agribisnis Sosial Ekonomi Pertanian</v>
      </c>
      <c r="E64" s="66">
        <f t="shared" si="2"/>
        <v>121</v>
      </c>
      <c r="F64" s="66" t="str">
        <f t="shared" si="3"/>
        <v>Baik Sekali</v>
      </c>
      <c r="G64" s="88"/>
      <c r="H64" s="88"/>
      <c r="I64" s="88"/>
      <c r="J64" s="88"/>
      <c r="K64" s="88"/>
      <c r="L64" s="88"/>
      <c r="M64" s="88"/>
      <c r="N64" s="88"/>
      <c r="O64" s="88"/>
      <c r="P64" s="88"/>
      <c r="Q64" s="88"/>
      <c r="R64" s="88"/>
      <c r="S64" s="88"/>
      <c r="T64" s="88"/>
      <c r="U64" s="88"/>
      <c r="V64" s="88"/>
      <c r="W64" s="88"/>
      <c r="X64" s="89"/>
      <c r="Y64" s="89"/>
      <c r="Z64" s="89"/>
      <c r="AA64" s="89"/>
      <c r="AB64" s="89"/>
      <c r="AC64" s="89"/>
      <c r="AD64" s="89"/>
      <c r="AE64" s="89"/>
      <c r="AF64" s="89"/>
      <c r="AG64" s="89"/>
      <c r="AH64" s="89"/>
      <c r="AI64" s="89"/>
      <c r="AJ64" s="89"/>
      <c r="AK64" s="65">
        <f t="shared" si="5"/>
        <v>0</v>
      </c>
      <c r="AL64" s="66" t="str">
        <f t="shared" si="4"/>
        <v>Tidak disarankan</v>
      </c>
      <c r="AM64" s="67" t="s">
        <v>235</v>
      </c>
      <c r="AN64" s="67" t="s">
        <v>235</v>
      </c>
      <c r="AO64" s="67" t="s">
        <v>235</v>
      </c>
      <c r="AP64" s="67" t="s">
        <v>236</v>
      </c>
      <c r="AQ64" s="67" t="s">
        <v>236</v>
      </c>
    </row>
    <row r="65" spans="1:43" ht="50" x14ac:dyDescent="0.35">
      <c r="A65" s="64">
        <v>63</v>
      </c>
      <c r="B65" s="67" t="s">
        <v>1204</v>
      </c>
      <c r="C65" s="67" t="str">
        <f t="shared" si="0"/>
        <v>Palangka Raya, 03 Desember 1999</v>
      </c>
      <c r="D65" s="67" t="str">
        <f t="shared" si="1"/>
        <v>S1 - Pendidikan Bahasa Jerman</v>
      </c>
      <c r="E65" s="66">
        <f t="shared" si="2"/>
        <v>103</v>
      </c>
      <c r="F65" s="66" t="str">
        <f t="shared" si="3"/>
        <v>Rata-rata</v>
      </c>
      <c r="G65" s="88"/>
      <c r="H65" s="88"/>
      <c r="I65" s="88"/>
      <c r="J65" s="88"/>
      <c r="K65" s="88"/>
      <c r="L65" s="88"/>
      <c r="M65" s="88"/>
      <c r="N65" s="88"/>
      <c r="O65" s="88"/>
      <c r="P65" s="88"/>
      <c r="Q65" s="88"/>
      <c r="R65" s="88"/>
      <c r="S65" s="88"/>
      <c r="T65" s="88"/>
      <c r="U65" s="88"/>
      <c r="V65" s="88"/>
      <c r="W65" s="88"/>
      <c r="X65" s="89"/>
      <c r="Y65" s="89"/>
      <c r="Z65" s="89"/>
      <c r="AA65" s="89"/>
      <c r="AB65" s="89"/>
      <c r="AC65" s="89"/>
      <c r="AD65" s="89"/>
      <c r="AE65" s="89"/>
      <c r="AF65" s="89"/>
      <c r="AG65" s="89"/>
      <c r="AH65" s="89"/>
      <c r="AI65" s="89"/>
      <c r="AJ65" s="89"/>
      <c r="AK65" s="65">
        <f t="shared" si="5"/>
        <v>0</v>
      </c>
      <c r="AL65" s="66" t="str">
        <f t="shared" si="4"/>
        <v>Tidak disarankan</v>
      </c>
      <c r="AM65" s="67" t="s">
        <v>235</v>
      </c>
      <c r="AN65" s="67" t="s">
        <v>235</v>
      </c>
      <c r="AO65" s="67" t="s">
        <v>235</v>
      </c>
      <c r="AP65" s="67" t="s">
        <v>236</v>
      </c>
      <c r="AQ65" s="67" t="s">
        <v>236</v>
      </c>
    </row>
    <row r="66" spans="1:43" ht="50" x14ac:dyDescent="0.35">
      <c r="A66" s="64">
        <v>64</v>
      </c>
      <c r="B66" s="67" t="s">
        <v>1048</v>
      </c>
      <c r="C66" s="67" t="str">
        <f t="shared" si="0"/>
        <v>Sampirang Ii, 01 Desember 2000</v>
      </c>
      <c r="D66" s="67" t="str">
        <f t="shared" si="1"/>
        <v>S1 - Sistem Informasi</v>
      </c>
      <c r="E66" s="66">
        <f t="shared" si="2"/>
        <v>109</v>
      </c>
      <c r="F66" s="66" t="str">
        <f t="shared" si="3"/>
        <v>Rata-rata</v>
      </c>
      <c r="G66" s="88"/>
      <c r="H66" s="88"/>
      <c r="I66" s="88"/>
      <c r="J66" s="88"/>
      <c r="K66" s="88"/>
      <c r="L66" s="88"/>
      <c r="M66" s="88"/>
      <c r="N66" s="88"/>
      <c r="O66" s="88"/>
      <c r="P66" s="88"/>
      <c r="Q66" s="88"/>
      <c r="R66" s="88"/>
      <c r="S66" s="88"/>
      <c r="T66" s="88"/>
      <c r="U66" s="88"/>
      <c r="V66" s="88"/>
      <c r="W66" s="88"/>
      <c r="X66" s="89"/>
      <c r="Y66" s="89"/>
      <c r="Z66" s="89"/>
      <c r="AA66" s="89"/>
      <c r="AB66" s="89"/>
      <c r="AC66" s="89"/>
      <c r="AD66" s="89"/>
      <c r="AE66" s="89"/>
      <c r="AF66" s="89"/>
      <c r="AG66" s="89"/>
      <c r="AH66" s="89"/>
      <c r="AI66" s="89"/>
      <c r="AJ66" s="89"/>
      <c r="AK66" s="65">
        <f t="shared" si="5"/>
        <v>0</v>
      </c>
      <c r="AL66" s="66" t="str">
        <f t="shared" si="4"/>
        <v>Tidak disarankan</v>
      </c>
      <c r="AM66" s="67" t="s">
        <v>235</v>
      </c>
      <c r="AN66" s="67" t="s">
        <v>235</v>
      </c>
      <c r="AO66" s="67" t="s">
        <v>235</v>
      </c>
      <c r="AP66" s="67" t="s">
        <v>236</v>
      </c>
      <c r="AQ66" s="67" t="s">
        <v>236</v>
      </c>
    </row>
    <row r="67" spans="1:43" ht="50" x14ac:dyDescent="0.35">
      <c r="A67" s="64">
        <v>65</v>
      </c>
      <c r="B67" s="67" t="s">
        <v>250</v>
      </c>
      <c r="C67" s="67" t="str">
        <f t="shared" ref="C67:C130" si="6">VLOOKUP(B67,datadiri,3,FALSE)</f>
        <v>Palangka Raya, 28 Oktober 1999</v>
      </c>
      <c r="D67" s="67" t="str">
        <f t="shared" ref="D67:D130" si="7">VLOOKUP(B67,datadiri,4,FALSE)</f>
        <v>S1 - Sastra Inggris</v>
      </c>
      <c r="E67" s="66">
        <f t="shared" ref="E67:E130" si="8">VLOOKUP(B67,tiunam,2,FALSE)</f>
        <v>120</v>
      </c>
      <c r="F67" s="66" t="str">
        <f t="shared" ref="F67:F130" si="9">VLOOKUP(B67,tiunam,3,FALSE)</f>
        <v>Baik Sekali</v>
      </c>
      <c r="G67" s="88"/>
      <c r="H67" s="88"/>
      <c r="I67" s="88"/>
      <c r="J67" s="88"/>
      <c r="K67" s="88"/>
      <c r="L67" s="88"/>
      <c r="M67" s="88"/>
      <c r="N67" s="88"/>
      <c r="O67" s="88"/>
      <c r="P67" s="88"/>
      <c r="Q67" s="88"/>
      <c r="R67" s="88"/>
      <c r="S67" s="88"/>
      <c r="T67" s="88"/>
      <c r="U67" s="88"/>
      <c r="V67" s="88"/>
      <c r="W67" s="88"/>
      <c r="X67" s="89"/>
      <c r="Y67" s="89"/>
      <c r="Z67" s="89"/>
      <c r="AA67" s="89"/>
      <c r="AB67" s="89"/>
      <c r="AC67" s="89"/>
      <c r="AD67" s="89"/>
      <c r="AE67" s="89"/>
      <c r="AF67" s="89"/>
      <c r="AG67" s="89"/>
      <c r="AH67" s="89"/>
      <c r="AI67" s="89"/>
      <c r="AJ67" s="89"/>
      <c r="AK67" s="65">
        <f t="shared" si="5"/>
        <v>0</v>
      </c>
      <c r="AL67" s="66" t="str">
        <f t="shared" ref="AL67:AL130" si="10">VLOOKUP(AK67,judge,2,TRUE)</f>
        <v>Tidak disarankan</v>
      </c>
      <c r="AM67" s="67" t="s">
        <v>235</v>
      </c>
      <c r="AN67" s="67" t="s">
        <v>235</v>
      </c>
      <c r="AO67" s="67" t="s">
        <v>235</v>
      </c>
      <c r="AP67" s="67" t="s">
        <v>236</v>
      </c>
      <c r="AQ67" s="67" t="s">
        <v>236</v>
      </c>
    </row>
    <row r="68" spans="1:43" ht="50" x14ac:dyDescent="0.35">
      <c r="A68" s="64">
        <v>66</v>
      </c>
      <c r="B68" s="67" t="s">
        <v>1107</v>
      </c>
      <c r="C68" s="67" t="str">
        <f t="shared" si="6"/>
        <v>Palangka Raya, 25 Mei 1996</v>
      </c>
      <c r="D68" s="67" t="str">
        <f t="shared" si="7"/>
        <v>S1 - Pendidikan Bahasa Inggris</v>
      </c>
      <c r="E68" s="66">
        <f t="shared" si="8"/>
        <v>90</v>
      </c>
      <c r="F68" s="66" t="str">
        <f t="shared" si="9"/>
        <v>Rata-rata</v>
      </c>
      <c r="G68" s="88"/>
      <c r="H68" s="88"/>
      <c r="I68" s="88"/>
      <c r="J68" s="88"/>
      <c r="K68" s="88"/>
      <c r="L68" s="88"/>
      <c r="M68" s="88"/>
      <c r="N68" s="88"/>
      <c r="O68" s="88"/>
      <c r="P68" s="88"/>
      <c r="Q68" s="88"/>
      <c r="R68" s="88"/>
      <c r="S68" s="88"/>
      <c r="T68" s="88"/>
      <c r="U68" s="88"/>
      <c r="V68" s="88"/>
      <c r="W68" s="88"/>
      <c r="X68" s="89"/>
      <c r="Y68" s="89"/>
      <c r="Z68" s="89"/>
      <c r="AA68" s="89"/>
      <c r="AB68" s="89"/>
      <c r="AC68" s="89"/>
      <c r="AD68" s="89"/>
      <c r="AE68" s="89"/>
      <c r="AF68" s="89"/>
      <c r="AG68" s="89"/>
      <c r="AH68" s="89"/>
      <c r="AI68" s="89"/>
      <c r="AJ68" s="89"/>
      <c r="AK68" s="65">
        <f t="shared" ref="AK68:AK131" si="11">SUM(X68:AJ68)/29</f>
        <v>0</v>
      </c>
      <c r="AL68" s="66" t="str">
        <f t="shared" si="10"/>
        <v>Tidak disarankan</v>
      </c>
      <c r="AM68" s="67" t="s">
        <v>235</v>
      </c>
      <c r="AN68" s="67" t="s">
        <v>235</v>
      </c>
      <c r="AO68" s="67" t="s">
        <v>235</v>
      </c>
      <c r="AP68" s="67" t="s">
        <v>236</v>
      </c>
      <c r="AQ68" s="67" t="s">
        <v>236</v>
      </c>
    </row>
    <row r="69" spans="1:43" ht="50" x14ac:dyDescent="0.35">
      <c r="A69" s="64">
        <v>67</v>
      </c>
      <c r="B69" s="67" t="s">
        <v>1050</v>
      </c>
      <c r="C69" s="67" t="str">
        <f t="shared" si="6"/>
        <v>Pangkalan Bun, 26 Juli 1998</v>
      </c>
      <c r="D69" s="67" t="str">
        <f t="shared" si="7"/>
        <v>D3 - Agribisnis</v>
      </c>
      <c r="E69" s="66">
        <f t="shared" si="8"/>
        <v>120</v>
      </c>
      <c r="F69" s="66" t="str">
        <f t="shared" si="9"/>
        <v>Baik Sekali</v>
      </c>
      <c r="G69" s="88"/>
      <c r="H69" s="88"/>
      <c r="I69" s="88"/>
      <c r="J69" s="88"/>
      <c r="K69" s="88"/>
      <c r="L69" s="88"/>
      <c r="M69" s="88"/>
      <c r="N69" s="88"/>
      <c r="O69" s="88"/>
      <c r="P69" s="88"/>
      <c r="Q69" s="88"/>
      <c r="R69" s="88"/>
      <c r="S69" s="88"/>
      <c r="T69" s="88"/>
      <c r="U69" s="88"/>
      <c r="V69" s="88"/>
      <c r="W69" s="88"/>
      <c r="X69" s="89"/>
      <c r="Y69" s="89"/>
      <c r="Z69" s="89"/>
      <c r="AA69" s="89"/>
      <c r="AB69" s="89"/>
      <c r="AC69" s="89"/>
      <c r="AD69" s="89"/>
      <c r="AE69" s="89"/>
      <c r="AF69" s="89"/>
      <c r="AG69" s="89"/>
      <c r="AH69" s="89"/>
      <c r="AI69" s="89"/>
      <c r="AJ69" s="89"/>
      <c r="AK69" s="65">
        <f t="shared" si="11"/>
        <v>0</v>
      </c>
      <c r="AL69" s="66" t="str">
        <f t="shared" si="10"/>
        <v>Tidak disarankan</v>
      </c>
      <c r="AM69" s="67" t="s">
        <v>235</v>
      </c>
      <c r="AN69" s="67" t="s">
        <v>235</v>
      </c>
      <c r="AO69" s="67" t="s">
        <v>235</v>
      </c>
      <c r="AP69" s="67" t="s">
        <v>236</v>
      </c>
      <c r="AQ69" s="67" t="s">
        <v>236</v>
      </c>
    </row>
    <row r="70" spans="1:43" ht="50" x14ac:dyDescent="0.35">
      <c r="A70" s="64">
        <v>68</v>
      </c>
      <c r="B70" s="67" t="s">
        <v>1109</v>
      </c>
      <c r="C70" s="67" t="str">
        <f t="shared" si="6"/>
        <v>Kujan, 18 Juni 1998</v>
      </c>
      <c r="D70" s="67" t="str">
        <f t="shared" si="7"/>
        <v>S1 - Sistem Informasi</v>
      </c>
      <c r="E70" s="66">
        <f t="shared" si="8"/>
        <v>123</v>
      </c>
      <c r="F70" s="66" t="str">
        <f t="shared" si="9"/>
        <v>Baik Sekali</v>
      </c>
      <c r="G70" s="88"/>
      <c r="H70" s="88"/>
      <c r="I70" s="88"/>
      <c r="J70" s="88"/>
      <c r="K70" s="88"/>
      <c r="L70" s="88"/>
      <c r="M70" s="88"/>
      <c r="N70" s="88"/>
      <c r="O70" s="88"/>
      <c r="P70" s="88"/>
      <c r="Q70" s="88"/>
      <c r="R70" s="88"/>
      <c r="S70" s="88"/>
      <c r="T70" s="88"/>
      <c r="U70" s="88"/>
      <c r="V70" s="88"/>
      <c r="W70" s="88"/>
      <c r="X70" s="89"/>
      <c r="Y70" s="89"/>
      <c r="Z70" s="89"/>
      <c r="AA70" s="89"/>
      <c r="AB70" s="89"/>
      <c r="AC70" s="89"/>
      <c r="AD70" s="89"/>
      <c r="AE70" s="89"/>
      <c r="AF70" s="89"/>
      <c r="AG70" s="89"/>
      <c r="AH70" s="89"/>
      <c r="AI70" s="89"/>
      <c r="AJ70" s="89"/>
      <c r="AK70" s="65">
        <f t="shared" si="11"/>
        <v>0</v>
      </c>
      <c r="AL70" s="66" t="str">
        <f t="shared" si="10"/>
        <v>Tidak disarankan</v>
      </c>
      <c r="AM70" s="67" t="s">
        <v>235</v>
      </c>
      <c r="AN70" s="67" t="s">
        <v>235</v>
      </c>
      <c r="AO70" s="67" t="s">
        <v>235</v>
      </c>
      <c r="AP70" s="67" t="s">
        <v>236</v>
      </c>
      <c r="AQ70" s="67" t="s">
        <v>236</v>
      </c>
    </row>
    <row r="71" spans="1:43" ht="50" x14ac:dyDescent="0.35">
      <c r="A71" s="64">
        <v>69</v>
      </c>
      <c r="B71" s="67" t="s">
        <v>1219</v>
      </c>
      <c r="C71" s="67" t="str">
        <f t="shared" si="6"/>
        <v>Palangka Raya, 19 Desember 1998</v>
      </c>
      <c r="D71" s="67" t="str">
        <f t="shared" si="7"/>
        <v>S1 - Manajemen</v>
      </c>
      <c r="E71" s="66">
        <f t="shared" si="8"/>
        <v>114</v>
      </c>
      <c r="F71" s="66" t="str">
        <f t="shared" si="9"/>
        <v>Baik</v>
      </c>
      <c r="G71" s="88"/>
      <c r="H71" s="88"/>
      <c r="I71" s="88"/>
      <c r="J71" s="88"/>
      <c r="K71" s="88"/>
      <c r="L71" s="88"/>
      <c r="M71" s="88"/>
      <c r="N71" s="88"/>
      <c r="O71" s="88"/>
      <c r="P71" s="88"/>
      <c r="Q71" s="88"/>
      <c r="R71" s="88"/>
      <c r="S71" s="88"/>
      <c r="T71" s="88"/>
      <c r="U71" s="88"/>
      <c r="V71" s="88"/>
      <c r="W71" s="88"/>
      <c r="X71" s="89"/>
      <c r="Y71" s="89"/>
      <c r="Z71" s="89"/>
      <c r="AA71" s="89"/>
      <c r="AB71" s="89"/>
      <c r="AC71" s="89"/>
      <c r="AD71" s="89"/>
      <c r="AE71" s="89"/>
      <c r="AF71" s="89"/>
      <c r="AG71" s="89"/>
      <c r="AH71" s="89"/>
      <c r="AI71" s="89"/>
      <c r="AJ71" s="89"/>
      <c r="AK71" s="65">
        <f t="shared" si="11"/>
        <v>0</v>
      </c>
      <c r="AL71" s="66" t="str">
        <f t="shared" si="10"/>
        <v>Tidak disarankan</v>
      </c>
      <c r="AM71" s="67" t="s">
        <v>235</v>
      </c>
      <c r="AN71" s="67" t="s">
        <v>235</v>
      </c>
      <c r="AO71" s="67" t="s">
        <v>235</v>
      </c>
      <c r="AP71" s="67" t="s">
        <v>236</v>
      </c>
      <c r="AQ71" s="67" t="s">
        <v>236</v>
      </c>
    </row>
    <row r="72" spans="1:43" ht="50" x14ac:dyDescent="0.35">
      <c r="A72" s="64">
        <v>70</v>
      </c>
      <c r="B72" s="67" t="s">
        <v>1209</v>
      </c>
      <c r="C72" s="67" t="str">
        <f t="shared" si="6"/>
        <v>Palangka Raya, 14 Desember 1996</v>
      </c>
      <c r="D72" s="67" t="str">
        <f t="shared" si="7"/>
        <v>S1 - Ilmu Hukum</v>
      </c>
      <c r="E72" s="66">
        <f t="shared" si="8"/>
        <v>116</v>
      </c>
      <c r="F72" s="66" t="str">
        <f t="shared" si="9"/>
        <v>Baik</v>
      </c>
      <c r="G72" s="88"/>
      <c r="H72" s="88"/>
      <c r="I72" s="88"/>
      <c r="J72" s="88"/>
      <c r="K72" s="88"/>
      <c r="L72" s="88"/>
      <c r="M72" s="88"/>
      <c r="N72" s="88"/>
      <c r="O72" s="88"/>
      <c r="P72" s="88"/>
      <c r="Q72" s="88"/>
      <c r="R72" s="88"/>
      <c r="S72" s="88"/>
      <c r="T72" s="88"/>
      <c r="U72" s="88"/>
      <c r="V72" s="88"/>
      <c r="W72" s="88"/>
      <c r="X72" s="89"/>
      <c r="Y72" s="89"/>
      <c r="Z72" s="89"/>
      <c r="AA72" s="89"/>
      <c r="AB72" s="89"/>
      <c r="AC72" s="89"/>
      <c r="AD72" s="89"/>
      <c r="AE72" s="89"/>
      <c r="AF72" s="89"/>
      <c r="AG72" s="89"/>
      <c r="AH72" s="89"/>
      <c r="AI72" s="89"/>
      <c r="AJ72" s="89"/>
      <c r="AK72" s="65">
        <f t="shared" si="11"/>
        <v>0</v>
      </c>
      <c r="AL72" s="66" t="str">
        <f t="shared" si="10"/>
        <v>Tidak disarankan</v>
      </c>
      <c r="AM72" s="67" t="s">
        <v>235</v>
      </c>
      <c r="AN72" s="67" t="s">
        <v>235</v>
      </c>
      <c r="AO72" s="67" t="s">
        <v>235</v>
      </c>
      <c r="AP72" s="67" t="s">
        <v>236</v>
      </c>
      <c r="AQ72" s="67" t="s">
        <v>236</v>
      </c>
    </row>
    <row r="73" spans="1:43" ht="50" x14ac:dyDescent="0.35">
      <c r="A73" s="64">
        <v>71</v>
      </c>
      <c r="B73" s="67" t="s">
        <v>1221</v>
      </c>
      <c r="C73" s="67" t="str">
        <f t="shared" si="6"/>
        <v>Palangka Raya, 19 Februari 1998</v>
      </c>
      <c r="D73" s="67" t="str">
        <f t="shared" si="7"/>
        <v>S1 - Pendidikan Bahasa Inggris</v>
      </c>
      <c r="E73" s="66">
        <f t="shared" si="8"/>
        <v>111</v>
      </c>
      <c r="F73" s="66" t="str">
        <f t="shared" si="9"/>
        <v>Baik</v>
      </c>
      <c r="G73" s="88"/>
      <c r="H73" s="88"/>
      <c r="I73" s="88"/>
      <c r="J73" s="88"/>
      <c r="K73" s="88"/>
      <c r="L73" s="88"/>
      <c r="M73" s="88"/>
      <c r="N73" s="88"/>
      <c r="O73" s="88"/>
      <c r="P73" s="88"/>
      <c r="Q73" s="88"/>
      <c r="R73" s="88"/>
      <c r="S73" s="88"/>
      <c r="T73" s="88"/>
      <c r="U73" s="88"/>
      <c r="V73" s="88"/>
      <c r="W73" s="88"/>
      <c r="X73" s="89"/>
      <c r="Y73" s="89"/>
      <c r="Z73" s="89"/>
      <c r="AA73" s="89"/>
      <c r="AB73" s="89"/>
      <c r="AC73" s="89"/>
      <c r="AD73" s="89"/>
      <c r="AE73" s="89"/>
      <c r="AF73" s="89"/>
      <c r="AG73" s="89"/>
      <c r="AH73" s="89"/>
      <c r="AI73" s="89"/>
      <c r="AJ73" s="89"/>
      <c r="AK73" s="65">
        <f t="shared" si="11"/>
        <v>0</v>
      </c>
      <c r="AL73" s="66" t="str">
        <f t="shared" si="10"/>
        <v>Tidak disarankan</v>
      </c>
      <c r="AM73" s="67" t="s">
        <v>235</v>
      </c>
      <c r="AN73" s="67" t="s">
        <v>235</v>
      </c>
      <c r="AO73" s="67" t="s">
        <v>235</v>
      </c>
      <c r="AP73" s="67" t="s">
        <v>236</v>
      </c>
      <c r="AQ73" s="67" t="s">
        <v>236</v>
      </c>
    </row>
    <row r="74" spans="1:43" ht="50" x14ac:dyDescent="0.35">
      <c r="A74" s="64">
        <v>72</v>
      </c>
      <c r="B74" s="67" t="s">
        <v>1026</v>
      </c>
      <c r="C74" s="67" t="str">
        <f t="shared" si="6"/>
        <v>Pangkalan Bun, 26 Agustus 1998</v>
      </c>
      <c r="D74" s="67" t="str">
        <f t="shared" si="7"/>
        <v>S1 - Manajemen Konsentrasi Keuangan</v>
      </c>
      <c r="E74" s="66">
        <f t="shared" si="8"/>
        <v>100</v>
      </c>
      <c r="F74" s="66" t="str">
        <f t="shared" si="9"/>
        <v>Rata-rata</v>
      </c>
      <c r="G74" s="88"/>
      <c r="H74" s="88"/>
      <c r="I74" s="88"/>
      <c r="J74" s="88"/>
      <c r="K74" s="88"/>
      <c r="L74" s="88"/>
      <c r="M74" s="88"/>
      <c r="N74" s="88"/>
      <c r="O74" s="88"/>
      <c r="P74" s="88"/>
      <c r="Q74" s="88"/>
      <c r="R74" s="88"/>
      <c r="S74" s="88"/>
      <c r="T74" s="88"/>
      <c r="U74" s="88"/>
      <c r="V74" s="88"/>
      <c r="W74" s="88"/>
      <c r="X74" s="89"/>
      <c r="Y74" s="89"/>
      <c r="Z74" s="89"/>
      <c r="AA74" s="89"/>
      <c r="AB74" s="89"/>
      <c r="AC74" s="89"/>
      <c r="AD74" s="89"/>
      <c r="AE74" s="89"/>
      <c r="AF74" s="89"/>
      <c r="AG74" s="89"/>
      <c r="AH74" s="89"/>
      <c r="AI74" s="89"/>
      <c r="AJ74" s="89"/>
      <c r="AK74" s="65">
        <f t="shared" si="11"/>
        <v>0</v>
      </c>
      <c r="AL74" s="66" t="str">
        <f t="shared" si="10"/>
        <v>Tidak disarankan</v>
      </c>
      <c r="AM74" s="67" t="s">
        <v>235</v>
      </c>
      <c r="AN74" s="67" t="s">
        <v>235</v>
      </c>
      <c r="AO74" s="67" t="s">
        <v>235</v>
      </c>
      <c r="AP74" s="67" t="s">
        <v>236</v>
      </c>
      <c r="AQ74" s="67" t="s">
        <v>236</v>
      </c>
    </row>
    <row r="75" spans="1:43" ht="50" x14ac:dyDescent="0.35">
      <c r="A75" s="64">
        <v>73</v>
      </c>
      <c r="B75" s="67" t="s">
        <v>711</v>
      </c>
      <c r="C75" s="67" t="str">
        <f t="shared" si="6"/>
        <v>Palangka Raya, 21 Desember 1996</v>
      </c>
      <c r="D75" s="67" t="str">
        <f t="shared" si="7"/>
        <v>S1 - Ilmu Komputer</v>
      </c>
      <c r="E75" s="66">
        <f t="shared" si="8"/>
        <v>121</v>
      </c>
      <c r="F75" s="66" t="str">
        <f t="shared" si="9"/>
        <v>Baik Sekali</v>
      </c>
      <c r="G75" s="88"/>
      <c r="H75" s="88"/>
      <c r="I75" s="88"/>
      <c r="J75" s="88"/>
      <c r="K75" s="88"/>
      <c r="L75" s="88"/>
      <c r="M75" s="88"/>
      <c r="N75" s="88"/>
      <c r="O75" s="88"/>
      <c r="P75" s="88"/>
      <c r="Q75" s="88"/>
      <c r="R75" s="88"/>
      <c r="S75" s="88"/>
      <c r="T75" s="88"/>
      <c r="U75" s="88"/>
      <c r="V75" s="88"/>
      <c r="W75" s="88"/>
      <c r="X75" s="89"/>
      <c r="Y75" s="89"/>
      <c r="Z75" s="89"/>
      <c r="AA75" s="89"/>
      <c r="AB75" s="89"/>
      <c r="AC75" s="89"/>
      <c r="AD75" s="89"/>
      <c r="AE75" s="89"/>
      <c r="AF75" s="89"/>
      <c r="AG75" s="89"/>
      <c r="AH75" s="89"/>
      <c r="AI75" s="89"/>
      <c r="AJ75" s="89"/>
      <c r="AK75" s="65">
        <f t="shared" si="11"/>
        <v>0</v>
      </c>
      <c r="AL75" s="66" t="str">
        <f t="shared" si="10"/>
        <v>Tidak disarankan</v>
      </c>
      <c r="AM75" s="67" t="s">
        <v>235</v>
      </c>
      <c r="AN75" s="67" t="s">
        <v>235</v>
      </c>
      <c r="AO75" s="67" t="s">
        <v>235</v>
      </c>
      <c r="AP75" s="67" t="s">
        <v>236</v>
      </c>
      <c r="AQ75" s="67" t="s">
        <v>236</v>
      </c>
    </row>
    <row r="76" spans="1:43" ht="50" x14ac:dyDescent="0.35">
      <c r="A76" s="64">
        <v>74</v>
      </c>
      <c r="B76" s="67" t="s">
        <v>295</v>
      </c>
      <c r="C76" s="67" t="str">
        <f t="shared" si="6"/>
        <v>Tumbang Lahang, 23 Desember 1998</v>
      </c>
      <c r="D76" s="67" t="str">
        <f t="shared" si="7"/>
        <v>S1 - Manajemen</v>
      </c>
      <c r="E76" s="66">
        <f t="shared" si="8"/>
        <v>100</v>
      </c>
      <c r="F76" s="66" t="str">
        <f t="shared" si="9"/>
        <v>Rata-rata</v>
      </c>
      <c r="G76" s="88"/>
      <c r="H76" s="88"/>
      <c r="I76" s="88"/>
      <c r="J76" s="88"/>
      <c r="K76" s="88"/>
      <c r="L76" s="88"/>
      <c r="M76" s="88"/>
      <c r="N76" s="88"/>
      <c r="O76" s="88"/>
      <c r="P76" s="88"/>
      <c r="Q76" s="88"/>
      <c r="R76" s="88"/>
      <c r="S76" s="88"/>
      <c r="T76" s="88"/>
      <c r="U76" s="88"/>
      <c r="V76" s="88"/>
      <c r="W76" s="88"/>
      <c r="X76" s="89"/>
      <c r="Y76" s="89"/>
      <c r="Z76" s="89"/>
      <c r="AA76" s="89"/>
      <c r="AB76" s="89"/>
      <c r="AC76" s="89"/>
      <c r="AD76" s="89"/>
      <c r="AE76" s="89"/>
      <c r="AF76" s="89"/>
      <c r="AG76" s="89"/>
      <c r="AH76" s="89"/>
      <c r="AI76" s="89"/>
      <c r="AJ76" s="89"/>
      <c r="AK76" s="65">
        <f t="shared" si="11"/>
        <v>0</v>
      </c>
      <c r="AL76" s="66" t="str">
        <f t="shared" si="10"/>
        <v>Tidak disarankan</v>
      </c>
      <c r="AM76" s="67" t="s">
        <v>235</v>
      </c>
      <c r="AN76" s="67" t="s">
        <v>235</v>
      </c>
      <c r="AO76" s="67" t="s">
        <v>235</v>
      </c>
      <c r="AP76" s="67" t="s">
        <v>236</v>
      </c>
      <c r="AQ76" s="67" t="s">
        <v>236</v>
      </c>
    </row>
    <row r="77" spans="1:43" ht="50" x14ac:dyDescent="0.35">
      <c r="A77" s="64">
        <v>75</v>
      </c>
      <c r="B77" s="67" t="s">
        <v>1111</v>
      </c>
      <c r="C77" s="67" t="str">
        <f t="shared" si="6"/>
        <v>Sampit, 21 April 1999</v>
      </c>
      <c r="D77" s="67" t="str">
        <f t="shared" si="7"/>
        <v>S1 - Ilmu Ekonomi Studi Pembangunan</v>
      </c>
      <c r="E77" s="66">
        <f t="shared" si="8"/>
        <v>118</v>
      </c>
      <c r="F77" s="66" t="str">
        <f t="shared" si="9"/>
        <v>Baik</v>
      </c>
      <c r="G77" s="88"/>
      <c r="H77" s="88"/>
      <c r="I77" s="88"/>
      <c r="J77" s="88"/>
      <c r="K77" s="88"/>
      <c r="L77" s="88"/>
      <c r="M77" s="88"/>
      <c r="N77" s="88"/>
      <c r="O77" s="88"/>
      <c r="P77" s="88"/>
      <c r="Q77" s="88"/>
      <c r="R77" s="88"/>
      <c r="S77" s="88"/>
      <c r="T77" s="88"/>
      <c r="U77" s="88"/>
      <c r="V77" s="88"/>
      <c r="W77" s="88"/>
      <c r="X77" s="89"/>
      <c r="Y77" s="89"/>
      <c r="Z77" s="89"/>
      <c r="AA77" s="89"/>
      <c r="AB77" s="89"/>
      <c r="AC77" s="89"/>
      <c r="AD77" s="89"/>
      <c r="AE77" s="89"/>
      <c r="AF77" s="89"/>
      <c r="AG77" s="89"/>
      <c r="AH77" s="89"/>
      <c r="AI77" s="89"/>
      <c r="AJ77" s="89"/>
      <c r="AK77" s="65">
        <f t="shared" si="11"/>
        <v>0</v>
      </c>
      <c r="AL77" s="66" t="str">
        <f t="shared" si="10"/>
        <v>Tidak disarankan</v>
      </c>
      <c r="AM77" s="67" t="s">
        <v>235</v>
      </c>
      <c r="AN77" s="67" t="s">
        <v>235</v>
      </c>
      <c r="AO77" s="67" t="s">
        <v>235</v>
      </c>
      <c r="AP77" s="67" t="s">
        <v>236</v>
      </c>
      <c r="AQ77" s="67" t="s">
        <v>236</v>
      </c>
    </row>
    <row r="78" spans="1:43" ht="50" x14ac:dyDescent="0.35">
      <c r="A78" s="64">
        <v>76</v>
      </c>
      <c r="B78" s="67" t="s">
        <v>352</v>
      </c>
      <c r="C78" s="67" t="str">
        <f t="shared" si="6"/>
        <v>Palangka Raya, 22 Maret 1996</v>
      </c>
      <c r="D78" s="67" t="str">
        <f t="shared" si="7"/>
        <v>S1 - Arsitektur</v>
      </c>
      <c r="E78" s="66">
        <f t="shared" si="8"/>
        <v>125</v>
      </c>
      <c r="F78" s="66" t="str">
        <f t="shared" si="9"/>
        <v>Baik Sekali</v>
      </c>
      <c r="G78" s="88"/>
      <c r="H78" s="88"/>
      <c r="I78" s="88"/>
      <c r="J78" s="88"/>
      <c r="K78" s="88"/>
      <c r="L78" s="88"/>
      <c r="M78" s="88"/>
      <c r="N78" s="88"/>
      <c r="O78" s="88"/>
      <c r="P78" s="88"/>
      <c r="Q78" s="88"/>
      <c r="R78" s="88"/>
      <c r="S78" s="88"/>
      <c r="T78" s="88"/>
      <c r="U78" s="88"/>
      <c r="V78" s="88"/>
      <c r="W78" s="88"/>
      <c r="X78" s="89"/>
      <c r="Y78" s="89"/>
      <c r="Z78" s="89"/>
      <c r="AA78" s="89"/>
      <c r="AB78" s="89"/>
      <c r="AC78" s="89"/>
      <c r="AD78" s="89"/>
      <c r="AE78" s="89"/>
      <c r="AF78" s="89"/>
      <c r="AG78" s="89"/>
      <c r="AH78" s="89"/>
      <c r="AI78" s="89"/>
      <c r="AJ78" s="89"/>
      <c r="AK78" s="65">
        <f t="shared" si="11"/>
        <v>0</v>
      </c>
      <c r="AL78" s="66" t="str">
        <f t="shared" si="10"/>
        <v>Tidak disarankan</v>
      </c>
      <c r="AM78" s="67" t="s">
        <v>235</v>
      </c>
      <c r="AN78" s="67" t="s">
        <v>235</v>
      </c>
      <c r="AO78" s="67" t="s">
        <v>235</v>
      </c>
      <c r="AP78" s="67" t="s">
        <v>236</v>
      </c>
      <c r="AQ78" s="67" t="s">
        <v>236</v>
      </c>
    </row>
    <row r="79" spans="1:43" ht="50" x14ac:dyDescent="0.35">
      <c r="A79" s="64">
        <v>77</v>
      </c>
      <c r="B79" s="67" t="s">
        <v>1029</v>
      </c>
      <c r="C79" s="67" t="str">
        <f t="shared" si="6"/>
        <v>Pangkalan Bun, 05 Agustus 1999</v>
      </c>
      <c r="D79" s="67" t="str">
        <f t="shared" si="7"/>
        <v>S1 - Ilmu Hukum</v>
      </c>
      <c r="E79" s="66">
        <f t="shared" si="8"/>
        <v>111</v>
      </c>
      <c r="F79" s="66" t="str">
        <f t="shared" si="9"/>
        <v>Baik</v>
      </c>
      <c r="G79" s="88"/>
      <c r="H79" s="88"/>
      <c r="I79" s="88"/>
      <c r="J79" s="88"/>
      <c r="K79" s="88"/>
      <c r="L79" s="88"/>
      <c r="M79" s="88"/>
      <c r="N79" s="88"/>
      <c r="O79" s="88"/>
      <c r="P79" s="88"/>
      <c r="Q79" s="88"/>
      <c r="R79" s="88"/>
      <c r="S79" s="88"/>
      <c r="T79" s="88"/>
      <c r="U79" s="88"/>
      <c r="V79" s="88"/>
      <c r="W79" s="88"/>
      <c r="X79" s="89"/>
      <c r="Y79" s="89"/>
      <c r="Z79" s="89"/>
      <c r="AA79" s="89"/>
      <c r="AB79" s="89"/>
      <c r="AC79" s="89"/>
      <c r="AD79" s="89"/>
      <c r="AE79" s="89"/>
      <c r="AF79" s="89"/>
      <c r="AG79" s="89"/>
      <c r="AH79" s="89"/>
      <c r="AI79" s="89"/>
      <c r="AJ79" s="89"/>
      <c r="AK79" s="65">
        <f t="shared" si="11"/>
        <v>0</v>
      </c>
      <c r="AL79" s="66" t="str">
        <f t="shared" si="10"/>
        <v>Tidak disarankan</v>
      </c>
      <c r="AM79" s="67" t="s">
        <v>235</v>
      </c>
      <c r="AN79" s="67" t="s">
        <v>235</v>
      </c>
      <c r="AO79" s="67" t="s">
        <v>235</v>
      </c>
      <c r="AP79" s="67" t="s">
        <v>236</v>
      </c>
      <c r="AQ79" s="67" t="s">
        <v>236</v>
      </c>
    </row>
    <row r="80" spans="1:43" ht="50" x14ac:dyDescent="0.35">
      <c r="A80" s="64">
        <v>78</v>
      </c>
      <c r="B80" s="67" t="s">
        <v>360</v>
      </c>
      <c r="C80" s="67" t="str">
        <f t="shared" si="6"/>
        <v>Palangka Raya, 24 Mei 1998</v>
      </c>
      <c r="D80" s="67" t="str">
        <f t="shared" si="7"/>
        <v>S1 - Sarjana Terapan Gizi Dan Dietetika</v>
      </c>
      <c r="E80" s="66">
        <f t="shared" si="8"/>
        <v>113</v>
      </c>
      <c r="F80" s="66" t="str">
        <f t="shared" si="9"/>
        <v>Baik</v>
      </c>
      <c r="G80" s="88"/>
      <c r="H80" s="88"/>
      <c r="I80" s="88"/>
      <c r="J80" s="88"/>
      <c r="K80" s="88"/>
      <c r="L80" s="88"/>
      <c r="M80" s="88"/>
      <c r="N80" s="88"/>
      <c r="O80" s="88"/>
      <c r="P80" s="88"/>
      <c r="Q80" s="88"/>
      <c r="R80" s="88"/>
      <c r="S80" s="88"/>
      <c r="T80" s="88"/>
      <c r="U80" s="88"/>
      <c r="V80" s="88"/>
      <c r="W80" s="88"/>
      <c r="X80" s="89"/>
      <c r="Y80" s="89"/>
      <c r="Z80" s="89"/>
      <c r="AA80" s="89"/>
      <c r="AB80" s="89"/>
      <c r="AC80" s="89"/>
      <c r="AD80" s="89"/>
      <c r="AE80" s="89"/>
      <c r="AF80" s="89"/>
      <c r="AG80" s="89"/>
      <c r="AH80" s="89"/>
      <c r="AI80" s="89"/>
      <c r="AJ80" s="89"/>
      <c r="AK80" s="65">
        <f t="shared" si="11"/>
        <v>0</v>
      </c>
      <c r="AL80" s="66" t="str">
        <f t="shared" si="10"/>
        <v>Tidak disarankan</v>
      </c>
      <c r="AM80" s="67" t="s">
        <v>235</v>
      </c>
      <c r="AN80" s="67" t="s">
        <v>235</v>
      </c>
      <c r="AO80" s="67" t="s">
        <v>235</v>
      </c>
      <c r="AP80" s="67" t="s">
        <v>236</v>
      </c>
      <c r="AQ80" s="67" t="s">
        <v>236</v>
      </c>
    </row>
    <row r="81" spans="1:43" ht="50" x14ac:dyDescent="0.35">
      <c r="A81" s="64">
        <v>79</v>
      </c>
      <c r="B81" s="67" t="s">
        <v>1114</v>
      </c>
      <c r="C81" s="67" t="str">
        <f t="shared" si="6"/>
        <v>Buntok, 10 April 2001</v>
      </c>
      <c r="D81" s="67" t="str">
        <f t="shared" si="7"/>
        <v>D3 - Diii Keperawatan</v>
      </c>
      <c r="E81" s="66">
        <f t="shared" si="8"/>
        <v>121</v>
      </c>
      <c r="F81" s="66" t="str">
        <f t="shared" si="9"/>
        <v>Baik Sekali</v>
      </c>
      <c r="G81" s="88"/>
      <c r="H81" s="88"/>
      <c r="I81" s="88"/>
      <c r="J81" s="88"/>
      <c r="K81" s="88"/>
      <c r="L81" s="88"/>
      <c r="M81" s="88"/>
      <c r="N81" s="88"/>
      <c r="O81" s="88"/>
      <c r="P81" s="88"/>
      <c r="Q81" s="88"/>
      <c r="R81" s="88"/>
      <c r="S81" s="88"/>
      <c r="T81" s="88"/>
      <c r="U81" s="88"/>
      <c r="V81" s="88"/>
      <c r="W81" s="88"/>
      <c r="X81" s="89"/>
      <c r="Y81" s="89"/>
      <c r="Z81" s="89"/>
      <c r="AA81" s="89"/>
      <c r="AB81" s="89"/>
      <c r="AC81" s="89"/>
      <c r="AD81" s="89"/>
      <c r="AE81" s="89"/>
      <c r="AF81" s="89"/>
      <c r="AG81" s="89"/>
      <c r="AH81" s="89"/>
      <c r="AI81" s="89"/>
      <c r="AJ81" s="89"/>
      <c r="AK81" s="65">
        <f t="shared" si="11"/>
        <v>0</v>
      </c>
      <c r="AL81" s="66" t="str">
        <f t="shared" si="10"/>
        <v>Tidak disarankan</v>
      </c>
      <c r="AM81" s="67" t="s">
        <v>235</v>
      </c>
      <c r="AN81" s="67" t="s">
        <v>235</v>
      </c>
      <c r="AO81" s="67" t="s">
        <v>235</v>
      </c>
      <c r="AP81" s="67" t="s">
        <v>236</v>
      </c>
      <c r="AQ81" s="67" t="s">
        <v>236</v>
      </c>
    </row>
    <row r="82" spans="1:43" ht="50" x14ac:dyDescent="0.35">
      <c r="A82" s="64">
        <v>80</v>
      </c>
      <c r="B82" s="67" t="s">
        <v>692</v>
      </c>
      <c r="C82" s="67" t="str">
        <f t="shared" si="6"/>
        <v>Kuala Kapuas, 23 Desember 1999</v>
      </c>
      <c r="D82" s="67" t="str">
        <f t="shared" si="7"/>
        <v>S1 - Akuntansi</v>
      </c>
      <c r="E82" s="66">
        <f t="shared" si="8"/>
        <v>120</v>
      </c>
      <c r="F82" s="66" t="str">
        <f t="shared" si="9"/>
        <v>Baik Sekali</v>
      </c>
      <c r="G82" s="88"/>
      <c r="H82" s="88"/>
      <c r="I82" s="88"/>
      <c r="J82" s="88"/>
      <c r="K82" s="88"/>
      <c r="L82" s="88"/>
      <c r="M82" s="88"/>
      <c r="N82" s="88"/>
      <c r="O82" s="88"/>
      <c r="P82" s="88"/>
      <c r="Q82" s="88"/>
      <c r="R82" s="88"/>
      <c r="S82" s="88"/>
      <c r="T82" s="88"/>
      <c r="U82" s="88"/>
      <c r="V82" s="88"/>
      <c r="W82" s="88"/>
      <c r="X82" s="89"/>
      <c r="Y82" s="89"/>
      <c r="Z82" s="89"/>
      <c r="AA82" s="89"/>
      <c r="AB82" s="89"/>
      <c r="AC82" s="89"/>
      <c r="AD82" s="89"/>
      <c r="AE82" s="89"/>
      <c r="AF82" s="89"/>
      <c r="AG82" s="89"/>
      <c r="AH82" s="89"/>
      <c r="AI82" s="89"/>
      <c r="AJ82" s="89"/>
      <c r="AK82" s="65">
        <f t="shared" si="11"/>
        <v>0</v>
      </c>
      <c r="AL82" s="66" t="str">
        <f t="shared" si="10"/>
        <v>Tidak disarankan</v>
      </c>
      <c r="AM82" s="67" t="s">
        <v>235</v>
      </c>
      <c r="AN82" s="67" t="s">
        <v>235</v>
      </c>
      <c r="AO82" s="67" t="s">
        <v>235</v>
      </c>
      <c r="AP82" s="67" t="s">
        <v>236</v>
      </c>
      <c r="AQ82" s="67" t="s">
        <v>236</v>
      </c>
    </row>
    <row r="83" spans="1:43" ht="50" x14ac:dyDescent="0.35">
      <c r="A83" s="64">
        <v>81</v>
      </c>
      <c r="B83" s="67" t="s">
        <v>291</v>
      </c>
      <c r="C83" s="67" t="str">
        <f t="shared" si="6"/>
        <v>Aek Baru Jae, 29 Oktober 1997</v>
      </c>
      <c r="D83" s="67" t="str">
        <f t="shared" si="7"/>
        <v>S1 - Perbankan Syariah</v>
      </c>
      <c r="E83" s="66">
        <f t="shared" si="8"/>
        <v>93</v>
      </c>
      <c r="F83" s="66" t="str">
        <f t="shared" si="9"/>
        <v>Rata-rata</v>
      </c>
      <c r="G83" s="88"/>
      <c r="H83" s="88"/>
      <c r="I83" s="88"/>
      <c r="J83" s="88"/>
      <c r="K83" s="88"/>
      <c r="L83" s="88"/>
      <c r="M83" s="88"/>
      <c r="N83" s="88"/>
      <c r="O83" s="88"/>
      <c r="P83" s="88"/>
      <c r="Q83" s="88"/>
      <c r="R83" s="88"/>
      <c r="S83" s="88"/>
      <c r="T83" s="88"/>
      <c r="U83" s="88"/>
      <c r="V83" s="88"/>
      <c r="W83" s="88"/>
      <c r="X83" s="89"/>
      <c r="Y83" s="89"/>
      <c r="Z83" s="89"/>
      <c r="AA83" s="89"/>
      <c r="AB83" s="89"/>
      <c r="AC83" s="89"/>
      <c r="AD83" s="89"/>
      <c r="AE83" s="89"/>
      <c r="AF83" s="89"/>
      <c r="AG83" s="89"/>
      <c r="AH83" s="89"/>
      <c r="AI83" s="89"/>
      <c r="AJ83" s="89"/>
      <c r="AK83" s="65">
        <f t="shared" si="11"/>
        <v>0</v>
      </c>
      <c r="AL83" s="66" t="str">
        <f t="shared" si="10"/>
        <v>Tidak disarankan</v>
      </c>
      <c r="AM83" s="67" t="s">
        <v>235</v>
      </c>
      <c r="AN83" s="67" t="s">
        <v>235</v>
      </c>
      <c r="AO83" s="67" t="s">
        <v>235</v>
      </c>
      <c r="AP83" s="67" t="s">
        <v>236</v>
      </c>
      <c r="AQ83" s="67" t="s">
        <v>236</v>
      </c>
    </row>
    <row r="84" spans="1:43" ht="50" x14ac:dyDescent="0.35">
      <c r="A84" s="64">
        <v>82</v>
      </c>
      <c r="B84" s="67" t="s">
        <v>371</v>
      </c>
      <c r="C84" s="67" t="str">
        <f t="shared" si="6"/>
        <v>Tumbang Tahai, 25 Mei 2001</v>
      </c>
      <c r="D84" s="67" t="str">
        <f t="shared" si="7"/>
        <v>S1 - Teknik Informatika</v>
      </c>
      <c r="E84" s="66">
        <f t="shared" si="8"/>
        <v>119</v>
      </c>
      <c r="F84" s="66" t="str">
        <f t="shared" si="9"/>
        <v>Baik</v>
      </c>
      <c r="G84" s="88"/>
      <c r="H84" s="88"/>
      <c r="I84" s="88"/>
      <c r="J84" s="88"/>
      <c r="K84" s="88"/>
      <c r="L84" s="88"/>
      <c r="M84" s="88"/>
      <c r="N84" s="88"/>
      <c r="O84" s="88"/>
      <c r="P84" s="88"/>
      <c r="Q84" s="88"/>
      <c r="R84" s="88"/>
      <c r="S84" s="88"/>
      <c r="T84" s="88"/>
      <c r="U84" s="88"/>
      <c r="V84" s="88"/>
      <c r="W84" s="88"/>
      <c r="X84" s="89"/>
      <c r="Y84" s="89"/>
      <c r="Z84" s="89"/>
      <c r="AA84" s="89"/>
      <c r="AB84" s="89"/>
      <c r="AC84" s="89"/>
      <c r="AD84" s="89"/>
      <c r="AE84" s="89"/>
      <c r="AF84" s="89"/>
      <c r="AG84" s="89"/>
      <c r="AH84" s="89"/>
      <c r="AI84" s="89"/>
      <c r="AJ84" s="89"/>
      <c r="AK84" s="65">
        <f t="shared" si="11"/>
        <v>0</v>
      </c>
      <c r="AL84" s="66" t="str">
        <f t="shared" si="10"/>
        <v>Tidak disarankan</v>
      </c>
      <c r="AM84" s="67" t="s">
        <v>235</v>
      </c>
      <c r="AN84" s="67" t="s">
        <v>235</v>
      </c>
      <c r="AO84" s="67" t="s">
        <v>235</v>
      </c>
      <c r="AP84" s="67" t="s">
        <v>236</v>
      </c>
      <c r="AQ84" s="67" t="s">
        <v>236</v>
      </c>
    </row>
    <row r="85" spans="1:43" ht="50" x14ac:dyDescent="0.35">
      <c r="A85" s="64">
        <v>83</v>
      </c>
      <c r="B85" s="67" t="s">
        <v>280</v>
      </c>
      <c r="C85" s="67" t="str">
        <f t="shared" si="6"/>
        <v>Anjir Pulang Pisau, 23 Oktober 1995</v>
      </c>
      <c r="D85" s="67" t="str">
        <f t="shared" si="7"/>
        <v>S1 - Akuntansi</v>
      </c>
      <c r="E85" s="66">
        <f t="shared" si="8"/>
        <v>111</v>
      </c>
      <c r="F85" s="66" t="str">
        <f t="shared" si="9"/>
        <v>Baik</v>
      </c>
      <c r="G85" s="88"/>
      <c r="H85" s="88"/>
      <c r="I85" s="88"/>
      <c r="J85" s="88"/>
      <c r="K85" s="88"/>
      <c r="L85" s="88"/>
      <c r="M85" s="88"/>
      <c r="N85" s="88"/>
      <c r="O85" s="88"/>
      <c r="P85" s="88"/>
      <c r="Q85" s="88"/>
      <c r="R85" s="88"/>
      <c r="S85" s="88"/>
      <c r="T85" s="88"/>
      <c r="U85" s="88"/>
      <c r="V85" s="88"/>
      <c r="W85" s="88"/>
      <c r="X85" s="89"/>
      <c r="Y85" s="89"/>
      <c r="Z85" s="89"/>
      <c r="AA85" s="89"/>
      <c r="AB85" s="89"/>
      <c r="AC85" s="89"/>
      <c r="AD85" s="89"/>
      <c r="AE85" s="89"/>
      <c r="AF85" s="89"/>
      <c r="AG85" s="89"/>
      <c r="AH85" s="89"/>
      <c r="AI85" s="89"/>
      <c r="AJ85" s="89"/>
      <c r="AK85" s="65">
        <f t="shared" si="11"/>
        <v>0</v>
      </c>
      <c r="AL85" s="66" t="str">
        <f t="shared" si="10"/>
        <v>Tidak disarankan</v>
      </c>
      <c r="AM85" s="67" t="s">
        <v>235</v>
      </c>
      <c r="AN85" s="67" t="s">
        <v>235</v>
      </c>
      <c r="AO85" s="67" t="s">
        <v>235</v>
      </c>
      <c r="AP85" s="67" t="s">
        <v>236</v>
      </c>
      <c r="AQ85" s="67" t="s">
        <v>236</v>
      </c>
    </row>
    <row r="86" spans="1:43" ht="50" x14ac:dyDescent="0.35">
      <c r="A86" s="64">
        <v>84</v>
      </c>
      <c r="B86" s="67" t="s">
        <v>668</v>
      </c>
      <c r="C86" s="67" t="str">
        <f t="shared" si="6"/>
        <v>Bangkuang, 02 Agustus 1999</v>
      </c>
      <c r="D86" s="67" t="str">
        <f t="shared" si="7"/>
        <v>S1 - Pjkr</v>
      </c>
      <c r="E86" s="66">
        <f t="shared" si="8"/>
        <v>111</v>
      </c>
      <c r="F86" s="66" t="str">
        <f t="shared" si="9"/>
        <v>Baik</v>
      </c>
      <c r="G86" s="88"/>
      <c r="H86" s="88"/>
      <c r="I86" s="88"/>
      <c r="J86" s="88"/>
      <c r="K86" s="88"/>
      <c r="L86" s="88"/>
      <c r="M86" s="88"/>
      <c r="N86" s="88"/>
      <c r="O86" s="88"/>
      <c r="P86" s="88"/>
      <c r="Q86" s="88"/>
      <c r="R86" s="88"/>
      <c r="S86" s="88"/>
      <c r="T86" s="88"/>
      <c r="U86" s="88"/>
      <c r="V86" s="88"/>
      <c r="W86" s="88"/>
      <c r="X86" s="89"/>
      <c r="Y86" s="89"/>
      <c r="Z86" s="89"/>
      <c r="AA86" s="89"/>
      <c r="AB86" s="89"/>
      <c r="AC86" s="89"/>
      <c r="AD86" s="89"/>
      <c r="AE86" s="89"/>
      <c r="AF86" s="89"/>
      <c r="AG86" s="89"/>
      <c r="AH86" s="89"/>
      <c r="AI86" s="89"/>
      <c r="AJ86" s="89"/>
      <c r="AK86" s="65">
        <f t="shared" si="11"/>
        <v>0</v>
      </c>
      <c r="AL86" s="66" t="str">
        <f t="shared" si="10"/>
        <v>Tidak disarankan</v>
      </c>
      <c r="AM86" s="67" t="s">
        <v>235</v>
      </c>
      <c r="AN86" s="67" t="s">
        <v>235</v>
      </c>
      <c r="AO86" s="67" t="s">
        <v>235</v>
      </c>
      <c r="AP86" s="67" t="s">
        <v>236</v>
      </c>
      <c r="AQ86" s="67" t="s">
        <v>236</v>
      </c>
    </row>
    <row r="87" spans="1:43" ht="50" x14ac:dyDescent="0.35">
      <c r="A87" s="64">
        <v>85</v>
      </c>
      <c r="B87" s="67" t="s">
        <v>1116</v>
      </c>
      <c r="C87" s="67" t="str">
        <f t="shared" si="6"/>
        <v>Tanjung Gunung, 24 September 1996</v>
      </c>
      <c r="D87" s="67" t="str">
        <f t="shared" si="7"/>
        <v>S1 - Manajemen Sumberdaya Perairan</v>
      </c>
      <c r="E87" s="66">
        <f t="shared" si="8"/>
        <v>113</v>
      </c>
      <c r="F87" s="66" t="str">
        <f t="shared" si="9"/>
        <v>Baik</v>
      </c>
      <c r="G87" s="88"/>
      <c r="H87" s="88"/>
      <c r="I87" s="88"/>
      <c r="J87" s="88"/>
      <c r="K87" s="88"/>
      <c r="L87" s="88"/>
      <c r="M87" s="88"/>
      <c r="N87" s="88"/>
      <c r="O87" s="88"/>
      <c r="P87" s="88"/>
      <c r="Q87" s="88"/>
      <c r="R87" s="88"/>
      <c r="S87" s="88"/>
      <c r="T87" s="88"/>
      <c r="U87" s="88"/>
      <c r="V87" s="88"/>
      <c r="W87" s="88"/>
      <c r="X87" s="89"/>
      <c r="Y87" s="89"/>
      <c r="Z87" s="89"/>
      <c r="AA87" s="89"/>
      <c r="AB87" s="89"/>
      <c r="AC87" s="89"/>
      <c r="AD87" s="89"/>
      <c r="AE87" s="89"/>
      <c r="AF87" s="89"/>
      <c r="AG87" s="89"/>
      <c r="AH87" s="89"/>
      <c r="AI87" s="89"/>
      <c r="AJ87" s="89"/>
      <c r="AK87" s="65">
        <f t="shared" si="11"/>
        <v>0</v>
      </c>
      <c r="AL87" s="66" t="str">
        <f t="shared" si="10"/>
        <v>Tidak disarankan</v>
      </c>
      <c r="AM87" s="67" t="s">
        <v>235</v>
      </c>
      <c r="AN87" s="67" t="s">
        <v>235</v>
      </c>
      <c r="AO87" s="67" t="s">
        <v>235</v>
      </c>
      <c r="AP87" s="67" t="s">
        <v>236</v>
      </c>
      <c r="AQ87" s="67" t="s">
        <v>236</v>
      </c>
    </row>
    <row r="88" spans="1:43" ht="50" x14ac:dyDescent="0.35">
      <c r="A88" s="64">
        <v>86</v>
      </c>
      <c r="B88" s="67" t="s">
        <v>687</v>
      </c>
      <c r="C88" s="67" t="str">
        <f t="shared" si="6"/>
        <v>Kuala Kapuas, 30 Juni 1997</v>
      </c>
      <c r="D88" s="67" t="str">
        <f t="shared" si="7"/>
        <v>S1 - Sistem Informasi</v>
      </c>
      <c r="E88" s="66">
        <f t="shared" si="8"/>
        <v>111</v>
      </c>
      <c r="F88" s="66" t="str">
        <f t="shared" si="9"/>
        <v>Baik</v>
      </c>
      <c r="G88" s="88"/>
      <c r="H88" s="88"/>
      <c r="I88" s="88"/>
      <c r="J88" s="88"/>
      <c r="K88" s="88"/>
      <c r="L88" s="88"/>
      <c r="M88" s="88"/>
      <c r="N88" s="88"/>
      <c r="O88" s="88"/>
      <c r="P88" s="88"/>
      <c r="Q88" s="88"/>
      <c r="R88" s="88"/>
      <c r="S88" s="88"/>
      <c r="T88" s="88"/>
      <c r="U88" s="88"/>
      <c r="V88" s="88"/>
      <c r="W88" s="88"/>
      <c r="X88" s="89"/>
      <c r="Y88" s="89"/>
      <c r="Z88" s="89"/>
      <c r="AA88" s="89"/>
      <c r="AB88" s="89"/>
      <c r="AC88" s="89"/>
      <c r="AD88" s="89"/>
      <c r="AE88" s="89"/>
      <c r="AF88" s="89"/>
      <c r="AG88" s="89"/>
      <c r="AH88" s="89"/>
      <c r="AI88" s="89"/>
      <c r="AJ88" s="89"/>
      <c r="AK88" s="65">
        <f t="shared" si="11"/>
        <v>0</v>
      </c>
      <c r="AL88" s="66" t="str">
        <f t="shared" si="10"/>
        <v>Tidak disarankan</v>
      </c>
      <c r="AM88" s="67" t="s">
        <v>235</v>
      </c>
      <c r="AN88" s="67" t="s">
        <v>235</v>
      </c>
      <c r="AO88" s="67" t="s">
        <v>235</v>
      </c>
      <c r="AP88" s="67" t="s">
        <v>236</v>
      </c>
      <c r="AQ88" s="67" t="s">
        <v>236</v>
      </c>
    </row>
    <row r="89" spans="1:43" ht="50" x14ac:dyDescent="0.35">
      <c r="A89" s="64">
        <v>87</v>
      </c>
      <c r="B89" s="67" t="s">
        <v>722</v>
      </c>
      <c r="C89" s="67" t="str">
        <f t="shared" si="6"/>
        <v>Gunung Mas, 12 September 2002</v>
      </c>
      <c r="D89" s="67" t="str">
        <f t="shared" si="7"/>
        <v>S1 - Manajemen</v>
      </c>
      <c r="E89" s="66">
        <f t="shared" si="8"/>
        <v>100</v>
      </c>
      <c r="F89" s="66" t="str">
        <f t="shared" si="9"/>
        <v>Rata-rata</v>
      </c>
      <c r="G89" s="88"/>
      <c r="H89" s="88"/>
      <c r="I89" s="88"/>
      <c r="J89" s="88"/>
      <c r="K89" s="88"/>
      <c r="L89" s="88"/>
      <c r="M89" s="88"/>
      <c r="N89" s="88"/>
      <c r="O89" s="88"/>
      <c r="P89" s="88"/>
      <c r="Q89" s="88"/>
      <c r="R89" s="88"/>
      <c r="S89" s="88"/>
      <c r="T89" s="88"/>
      <c r="U89" s="88"/>
      <c r="V89" s="88"/>
      <c r="W89" s="88"/>
      <c r="X89" s="89"/>
      <c r="Y89" s="89"/>
      <c r="Z89" s="89"/>
      <c r="AA89" s="89"/>
      <c r="AB89" s="89"/>
      <c r="AC89" s="89"/>
      <c r="AD89" s="89"/>
      <c r="AE89" s="89"/>
      <c r="AF89" s="89"/>
      <c r="AG89" s="89"/>
      <c r="AH89" s="89"/>
      <c r="AI89" s="89"/>
      <c r="AJ89" s="89"/>
      <c r="AK89" s="65">
        <f t="shared" si="11"/>
        <v>0</v>
      </c>
      <c r="AL89" s="66" t="str">
        <f t="shared" si="10"/>
        <v>Tidak disarankan</v>
      </c>
      <c r="AM89" s="67" t="s">
        <v>235</v>
      </c>
      <c r="AN89" s="67" t="s">
        <v>235</v>
      </c>
      <c r="AO89" s="67" t="s">
        <v>235</v>
      </c>
      <c r="AP89" s="67" t="s">
        <v>236</v>
      </c>
      <c r="AQ89" s="67" t="s">
        <v>236</v>
      </c>
    </row>
    <row r="90" spans="1:43" ht="50" x14ac:dyDescent="0.35">
      <c r="A90" s="64">
        <v>88</v>
      </c>
      <c r="B90" s="67" t="s">
        <v>302</v>
      </c>
      <c r="C90" s="67" t="str">
        <f t="shared" si="6"/>
        <v>Jangkit, 24 Desember 1998</v>
      </c>
      <c r="D90" s="67" t="str">
        <f t="shared" si="7"/>
        <v>S1 - Pendidikan Agama Kristen</v>
      </c>
      <c r="E90" s="66">
        <f t="shared" si="8"/>
        <v>119</v>
      </c>
      <c r="F90" s="66" t="str">
        <f t="shared" si="9"/>
        <v>Baik</v>
      </c>
      <c r="G90" s="88"/>
      <c r="H90" s="88"/>
      <c r="I90" s="88"/>
      <c r="J90" s="88"/>
      <c r="K90" s="88"/>
      <c r="L90" s="88"/>
      <c r="M90" s="88"/>
      <c r="N90" s="88"/>
      <c r="O90" s="88"/>
      <c r="P90" s="88"/>
      <c r="Q90" s="88"/>
      <c r="R90" s="88"/>
      <c r="S90" s="88"/>
      <c r="T90" s="88"/>
      <c r="U90" s="88"/>
      <c r="V90" s="88"/>
      <c r="W90" s="88"/>
      <c r="X90" s="89"/>
      <c r="Y90" s="89"/>
      <c r="Z90" s="89"/>
      <c r="AA90" s="89"/>
      <c r="AB90" s="89"/>
      <c r="AC90" s="89"/>
      <c r="AD90" s="89"/>
      <c r="AE90" s="89"/>
      <c r="AF90" s="89"/>
      <c r="AG90" s="89"/>
      <c r="AH90" s="89"/>
      <c r="AI90" s="89"/>
      <c r="AJ90" s="89"/>
      <c r="AK90" s="65">
        <f t="shared" si="11"/>
        <v>0</v>
      </c>
      <c r="AL90" s="66" t="str">
        <f t="shared" si="10"/>
        <v>Tidak disarankan</v>
      </c>
      <c r="AM90" s="67" t="s">
        <v>235</v>
      </c>
      <c r="AN90" s="67" t="s">
        <v>235</v>
      </c>
      <c r="AO90" s="67" t="s">
        <v>235</v>
      </c>
      <c r="AP90" s="67" t="s">
        <v>236</v>
      </c>
      <c r="AQ90" s="67" t="s">
        <v>236</v>
      </c>
    </row>
    <row r="91" spans="1:43" ht="50" x14ac:dyDescent="0.35">
      <c r="A91" s="64">
        <v>89</v>
      </c>
      <c r="B91" s="67" t="s">
        <v>656</v>
      </c>
      <c r="C91" s="67" t="str">
        <f t="shared" si="6"/>
        <v>Palangka Raya, 01 Juli 1999</v>
      </c>
      <c r="D91" s="67" t="str">
        <f t="shared" si="7"/>
        <v>S1 - Akuntansi</v>
      </c>
      <c r="E91" s="66">
        <f t="shared" si="8"/>
        <v>121</v>
      </c>
      <c r="F91" s="66" t="str">
        <f t="shared" si="9"/>
        <v>Baik Sekali</v>
      </c>
      <c r="G91" s="88"/>
      <c r="H91" s="88"/>
      <c r="I91" s="88"/>
      <c r="J91" s="88"/>
      <c r="K91" s="88"/>
      <c r="L91" s="88"/>
      <c r="M91" s="88"/>
      <c r="N91" s="88"/>
      <c r="O91" s="88"/>
      <c r="P91" s="88"/>
      <c r="Q91" s="88"/>
      <c r="R91" s="88"/>
      <c r="S91" s="88"/>
      <c r="T91" s="88"/>
      <c r="U91" s="88"/>
      <c r="V91" s="88"/>
      <c r="W91" s="88"/>
      <c r="X91" s="89"/>
      <c r="Y91" s="89"/>
      <c r="Z91" s="89"/>
      <c r="AA91" s="89"/>
      <c r="AB91" s="89"/>
      <c r="AC91" s="89"/>
      <c r="AD91" s="89"/>
      <c r="AE91" s="89"/>
      <c r="AF91" s="89"/>
      <c r="AG91" s="89"/>
      <c r="AH91" s="89"/>
      <c r="AI91" s="89"/>
      <c r="AJ91" s="89"/>
      <c r="AK91" s="65">
        <f t="shared" si="11"/>
        <v>0</v>
      </c>
      <c r="AL91" s="66" t="str">
        <f t="shared" si="10"/>
        <v>Tidak disarankan</v>
      </c>
      <c r="AM91" s="67" t="s">
        <v>235</v>
      </c>
      <c r="AN91" s="67" t="s">
        <v>235</v>
      </c>
      <c r="AO91" s="67" t="s">
        <v>235</v>
      </c>
      <c r="AP91" s="67" t="s">
        <v>236</v>
      </c>
      <c r="AQ91" s="67" t="s">
        <v>236</v>
      </c>
    </row>
    <row r="92" spans="1:43" ht="50" x14ac:dyDescent="0.35">
      <c r="A92" s="64">
        <v>90</v>
      </c>
      <c r="B92" s="67" t="s">
        <v>926</v>
      </c>
      <c r="C92" s="67" t="str">
        <f t="shared" si="6"/>
        <v>Pangkalan Bun, 25 Agustus 1996</v>
      </c>
      <c r="D92" s="67" t="str">
        <f t="shared" si="7"/>
        <v>S1 - Agroteknologi</v>
      </c>
      <c r="E92" s="66">
        <f t="shared" si="8"/>
        <v>121</v>
      </c>
      <c r="F92" s="66" t="str">
        <f t="shared" si="9"/>
        <v>Baik Sekali</v>
      </c>
      <c r="G92" s="88"/>
      <c r="H92" s="88"/>
      <c r="I92" s="88"/>
      <c r="J92" s="88"/>
      <c r="K92" s="88"/>
      <c r="L92" s="88"/>
      <c r="M92" s="88"/>
      <c r="N92" s="88"/>
      <c r="O92" s="88"/>
      <c r="P92" s="88"/>
      <c r="Q92" s="88"/>
      <c r="R92" s="88"/>
      <c r="S92" s="88"/>
      <c r="T92" s="88"/>
      <c r="U92" s="88"/>
      <c r="V92" s="88"/>
      <c r="W92" s="88"/>
      <c r="X92" s="89"/>
      <c r="Y92" s="89"/>
      <c r="Z92" s="89"/>
      <c r="AA92" s="89"/>
      <c r="AB92" s="89"/>
      <c r="AC92" s="89"/>
      <c r="AD92" s="89"/>
      <c r="AE92" s="89"/>
      <c r="AF92" s="89"/>
      <c r="AG92" s="89"/>
      <c r="AH92" s="89"/>
      <c r="AI92" s="89"/>
      <c r="AJ92" s="89"/>
      <c r="AK92" s="65">
        <f t="shared" si="11"/>
        <v>0</v>
      </c>
      <c r="AL92" s="66" t="str">
        <f t="shared" si="10"/>
        <v>Tidak disarankan</v>
      </c>
      <c r="AM92" s="67" t="s">
        <v>235</v>
      </c>
      <c r="AN92" s="67" t="s">
        <v>235</v>
      </c>
      <c r="AO92" s="67" t="s">
        <v>235</v>
      </c>
      <c r="AP92" s="67" t="s">
        <v>236</v>
      </c>
      <c r="AQ92" s="67" t="s">
        <v>236</v>
      </c>
    </row>
    <row r="93" spans="1:43" ht="50" x14ac:dyDescent="0.35">
      <c r="A93" s="64">
        <v>91</v>
      </c>
      <c r="B93" s="67" t="s">
        <v>374</v>
      </c>
      <c r="C93" s="67" t="str">
        <f t="shared" si="6"/>
        <v>Lawang Uru, 05 Januari 1995</v>
      </c>
      <c r="D93" s="67" t="str">
        <f t="shared" si="7"/>
        <v>S1 - Teknik Informatika</v>
      </c>
      <c r="E93" s="66">
        <f t="shared" si="8"/>
        <v>89</v>
      </c>
      <c r="F93" s="66" t="str">
        <f t="shared" si="9"/>
        <v>Kurang</v>
      </c>
      <c r="G93" s="88"/>
      <c r="H93" s="88"/>
      <c r="I93" s="88"/>
      <c r="J93" s="88"/>
      <c r="K93" s="88"/>
      <c r="L93" s="88"/>
      <c r="M93" s="88"/>
      <c r="N93" s="88"/>
      <c r="O93" s="88"/>
      <c r="P93" s="88"/>
      <c r="Q93" s="88"/>
      <c r="R93" s="88"/>
      <c r="S93" s="88"/>
      <c r="T93" s="88"/>
      <c r="U93" s="88"/>
      <c r="V93" s="88"/>
      <c r="W93" s="88"/>
      <c r="X93" s="89"/>
      <c r="Y93" s="89"/>
      <c r="Z93" s="89"/>
      <c r="AA93" s="89"/>
      <c r="AB93" s="89"/>
      <c r="AC93" s="89"/>
      <c r="AD93" s="89"/>
      <c r="AE93" s="89"/>
      <c r="AF93" s="89"/>
      <c r="AG93" s="89"/>
      <c r="AH93" s="89"/>
      <c r="AI93" s="89"/>
      <c r="AJ93" s="89"/>
      <c r="AK93" s="65">
        <f t="shared" si="11"/>
        <v>0</v>
      </c>
      <c r="AL93" s="66" t="str">
        <f t="shared" si="10"/>
        <v>Tidak disarankan</v>
      </c>
      <c r="AM93" s="67" t="s">
        <v>235</v>
      </c>
      <c r="AN93" s="67" t="s">
        <v>235</v>
      </c>
      <c r="AO93" s="67" t="s">
        <v>235</v>
      </c>
      <c r="AP93" s="67" t="s">
        <v>236</v>
      </c>
      <c r="AQ93" s="67" t="s">
        <v>236</v>
      </c>
    </row>
    <row r="94" spans="1:43" ht="50" x14ac:dyDescent="0.35">
      <c r="A94" s="64">
        <v>92</v>
      </c>
      <c r="B94" s="67" t="s">
        <v>1234</v>
      </c>
      <c r="C94" s="67" t="str">
        <f t="shared" si="6"/>
        <v>Buhut Jaya, 17 November 1996</v>
      </c>
      <c r="D94" s="67" t="str">
        <f t="shared" si="7"/>
        <v>S1 - Teknologi Pendidikan</v>
      </c>
      <c r="E94" s="66" t="e">
        <f t="shared" si="8"/>
        <v>#N/A</v>
      </c>
      <c r="F94" s="66" t="e">
        <f t="shared" si="9"/>
        <v>#N/A</v>
      </c>
      <c r="G94" s="88"/>
      <c r="H94" s="88"/>
      <c r="I94" s="88"/>
      <c r="J94" s="88"/>
      <c r="K94" s="88"/>
      <c r="L94" s="88"/>
      <c r="M94" s="88"/>
      <c r="N94" s="88"/>
      <c r="O94" s="88"/>
      <c r="P94" s="88"/>
      <c r="Q94" s="88"/>
      <c r="R94" s="88"/>
      <c r="S94" s="88"/>
      <c r="T94" s="88"/>
      <c r="U94" s="88"/>
      <c r="V94" s="88"/>
      <c r="W94" s="88"/>
      <c r="X94" s="89"/>
      <c r="Y94" s="89"/>
      <c r="Z94" s="89"/>
      <c r="AA94" s="89"/>
      <c r="AB94" s="89"/>
      <c r="AC94" s="89"/>
      <c r="AD94" s="89"/>
      <c r="AE94" s="89"/>
      <c r="AF94" s="89"/>
      <c r="AG94" s="89"/>
      <c r="AH94" s="89"/>
      <c r="AI94" s="89"/>
      <c r="AJ94" s="89"/>
      <c r="AK94" s="65">
        <f t="shared" si="11"/>
        <v>0</v>
      </c>
      <c r="AL94" s="66" t="str">
        <f t="shared" si="10"/>
        <v>Tidak disarankan</v>
      </c>
      <c r="AM94" s="67" t="s">
        <v>235</v>
      </c>
      <c r="AN94" s="67" t="s">
        <v>235</v>
      </c>
      <c r="AO94" s="67" t="s">
        <v>235</v>
      </c>
      <c r="AP94" s="67" t="s">
        <v>236</v>
      </c>
      <c r="AQ94" s="67" t="s">
        <v>236</v>
      </c>
    </row>
    <row r="95" spans="1:43" ht="50" x14ac:dyDescent="0.35">
      <c r="A95" s="64">
        <v>93</v>
      </c>
      <c r="B95" s="67" t="s">
        <v>306</v>
      </c>
      <c r="C95" s="67" t="str">
        <f t="shared" si="6"/>
        <v>Palangka Raya, 04 April 2000</v>
      </c>
      <c r="D95" s="67" t="str">
        <f t="shared" si="7"/>
        <v>S1 - Pendidikan Bahasa Inggris</v>
      </c>
      <c r="E95" s="66">
        <f t="shared" si="8"/>
        <v>113</v>
      </c>
      <c r="F95" s="66" t="str">
        <f t="shared" si="9"/>
        <v>Baik</v>
      </c>
      <c r="G95" s="88"/>
      <c r="H95" s="88"/>
      <c r="I95" s="88"/>
      <c r="J95" s="88"/>
      <c r="K95" s="88"/>
      <c r="L95" s="88"/>
      <c r="M95" s="88"/>
      <c r="N95" s="88"/>
      <c r="O95" s="88"/>
      <c r="P95" s="88"/>
      <c r="Q95" s="88"/>
      <c r="R95" s="88"/>
      <c r="S95" s="88"/>
      <c r="T95" s="88"/>
      <c r="U95" s="88"/>
      <c r="V95" s="88"/>
      <c r="W95" s="88"/>
      <c r="X95" s="89"/>
      <c r="Y95" s="89"/>
      <c r="Z95" s="89"/>
      <c r="AA95" s="89"/>
      <c r="AB95" s="89"/>
      <c r="AC95" s="89"/>
      <c r="AD95" s="89"/>
      <c r="AE95" s="89"/>
      <c r="AF95" s="89"/>
      <c r="AG95" s="89"/>
      <c r="AH95" s="89"/>
      <c r="AI95" s="89"/>
      <c r="AJ95" s="89"/>
      <c r="AK95" s="65">
        <f t="shared" si="11"/>
        <v>0</v>
      </c>
      <c r="AL95" s="66" t="str">
        <f t="shared" si="10"/>
        <v>Tidak disarankan</v>
      </c>
      <c r="AM95" s="67" t="s">
        <v>235</v>
      </c>
      <c r="AN95" s="67" t="s">
        <v>235</v>
      </c>
      <c r="AO95" s="67" t="s">
        <v>235</v>
      </c>
      <c r="AP95" s="67" t="s">
        <v>236</v>
      </c>
      <c r="AQ95" s="67" t="s">
        <v>236</v>
      </c>
    </row>
    <row r="96" spans="1:43" ht="50" x14ac:dyDescent="0.35">
      <c r="A96" s="64">
        <v>94</v>
      </c>
      <c r="B96" s="67" t="s">
        <v>1000</v>
      </c>
      <c r="C96" s="67" t="str">
        <f t="shared" si="6"/>
        <v>Muara Teweh, 30 Mei 2001</v>
      </c>
      <c r="D96" s="67" t="str">
        <f t="shared" si="7"/>
        <v>S1 - Arsitektur</v>
      </c>
      <c r="E96" s="66">
        <f t="shared" si="8"/>
        <v>125</v>
      </c>
      <c r="F96" s="66" t="str">
        <f t="shared" si="9"/>
        <v>Baik Sekali</v>
      </c>
      <c r="G96" s="88"/>
      <c r="H96" s="88"/>
      <c r="I96" s="88"/>
      <c r="J96" s="88"/>
      <c r="K96" s="88"/>
      <c r="L96" s="88"/>
      <c r="M96" s="88"/>
      <c r="N96" s="88"/>
      <c r="O96" s="88"/>
      <c r="P96" s="88"/>
      <c r="Q96" s="88"/>
      <c r="R96" s="88"/>
      <c r="S96" s="88"/>
      <c r="T96" s="88"/>
      <c r="U96" s="88"/>
      <c r="V96" s="88"/>
      <c r="W96" s="88"/>
      <c r="X96" s="89"/>
      <c r="Y96" s="89"/>
      <c r="Z96" s="89"/>
      <c r="AA96" s="89"/>
      <c r="AB96" s="89"/>
      <c r="AC96" s="89"/>
      <c r="AD96" s="89"/>
      <c r="AE96" s="89"/>
      <c r="AF96" s="89"/>
      <c r="AG96" s="89"/>
      <c r="AH96" s="89"/>
      <c r="AI96" s="89"/>
      <c r="AJ96" s="89"/>
      <c r="AK96" s="65">
        <f t="shared" si="11"/>
        <v>0</v>
      </c>
      <c r="AL96" s="66" t="str">
        <f t="shared" si="10"/>
        <v>Tidak disarankan</v>
      </c>
      <c r="AM96" s="67" t="s">
        <v>235</v>
      </c>
      <c r="AN96" s="67" t="s">
        <v>235</v>
      </c>
      <c r="AO96" s="67" t="s">
        <v>235</v>
      </c>
      <c r="AP96" s="67" t="s">
        <v>236</v>
      </c>
      <c r="AQ96" s="67" t="s">
        <v>236</v>
      </c>
    </row>
    <row r="97" spans="1:43" ht="50" x14ac:dyDescent="0.35">
      <c r="A97" s="64">
        <v>95</v>
      </c>
      <c r="B97" s="67" t="s">
        <v>379</v>
      </c>
      <c r="C97" s="67" t="str">
        <f t="shared" si="6"/>
        <v>Tumbang Habaon, 22 Agustus 2000</v>
      </c>
      <c r="D97" s="67" t="str">
        <f t="shared" si="7"/>
        <v>S1 - Akuntansi</v>
      </c>
      <c r="E97" s="66">
        <f t="shared" si="8"/>
        <v>116</v>
      </c>
      <c r="F97" s="66" t="str">
        <f t="shared" si="9"/>
        <v>Baik</v>
      </c>
      <c r="G97" s="88"/>
      <c r="H97" s="88"/>
      <c r="I97" s="88"/>
      <c r="J97" s="88"/>
      <c r="K97" s="88"/>
      <c r="L97" s="88"/>
      <c r="M97" s="88"/>
      <c r="N97" s="88"/>
      <c r="O97" s="88"/>
      <c r="P97" s="88"/>
      <c r="Q97" s="88"/>
      <c r="R97" s="88"/>
      <c r="S97" s="88"/>
      <c r="T97" s="88"/>
      <c r="U97" s="88"/>
      <c r="V97" s="88"/>
      <c r="W97" s="88"/>
      <c r="X97" s="89"/>
      <c r="Y97" s="89"/>
      <c r="Z97" s="89"/>
      <c r="AA97" s="89"/>
      <c r="AB97" s="89"/>
      <c r="AC97" s="89"/>
      <c r="AD97" s="89"/>
      <c r="AE97" s="89"/>
      <c r="AF97" s="89"/>
      <c r="AG97" s="89"/>
      <c r="AH97" s="89"/>
      <c r="AI97" s="89"/>
      <c r="AJ97" s="89"/>
      <c r="AK97" s="65">
        <f t="shared" si="11"/>
        <v>0</v>
      </c>
      <c r="AL97" s="66" t="str">
        <f t="shared" si="10"/>
        <v>Tidak disarankan</v>
      </c>
      <c r="AM97" s="67" t="s">
        <v>235</v>
      </c>
      <c r="AN97" s="67" t="s">
        <v>235</v>
      </c>
      <c r="AO97" s="67" t="s">
        <v>235</v>
      </c>
      <c r="AP97" s="67" t="s">
        <v>236</v>
      </c>
      <c r="AQ97" s="67" t="s">
        <v>236</v>
      </c>
    </row>
    <row r="98" spans="1:43" ht="50" x14ac:dyDescent="0.35">
      <c r="A98" s="64">
        <v>96</v>
      </c>
      <c r="B98" s="67" t="s">
        <v>700</v>
      </c>
      <c r="C98" s="67" t="str">
        <f t="shared" si="6"/>
        <v>Palangka Raya, 25 November 1995</v>
      </c>
      <c r="D98" s="67" t="str">
        <f t="shared" si="7"/>
        <v>S1 - Teknik Informatika</v>
      </c>
      <c r="E98" s="66">
        <f t="shared" si="8"/>
        <v>113</v>
      </c>
      <c r="F98" s="66" t="str">
        <f t="shared" si="9"/>
        <v>Baik</v>
      </c>
      <c r="G98" s="88"/>
      <c r="H98" s="88"/>
      <c r="I98" s="88"/>
      <c r="J98" s="88"/>
      <c r="K98" s="88"/>
      <c r="L98" s="88"/>
      <c r="M98" s="88"/>
      <c r="N98" s="88"/>
      <c r="O98" s="88"/>
      <c r="P98" s="88"/>
      <c r="Q98" s="88"/>
      <c r="R98" s="88"/>
      <c r="S98" s="88"/>
      <c r="T98" s="88"/>
      <c r="U98" s="88"/>
      <c r="V98" s="88"/>
      <c r="W98" s="88"/>
      <c r="X98" s="89"/>
      <c r="Y98" s="89"/>
      <c r="Z98" s="89"/>
      <c r="AA98" s="89"/>
      <c r="AB98" s="89"/>
      <c r="AC98" s="89"/>
      <c r="AD98" s="89"/>
      <c r="AE98" s="89"/>
      <c r="AF98" s="89"/>
      <c r="AG98" s="89"/>
      <c r="AH98" s="89"/>
      <c r="AI98" s="89"/>
      <c r="AJ98" s="89"/>
      <c r="AK98" s="65">
        <f t="shared" si="11"/>
        <v>0</v>
      </c>
      <c r="AL98" s="66" t="str">
        <f t="shared" si="10"/>
        <v>Tidak disarankan</v>
      </c>
      <c r="AM98" s="67" t="s">
        <v>235</v>
      </c>
      <c r="AN98" s="67" t="s">
        <v>235</v>
      </c>
      <c r="AO98" s="67" t="s">
        <v>235</v>
      </c>
      <c r="AP98" s="67" t="s">
        <v>236</v>
      </c>
      <c r="AQ98" s="67" t="s">
        <v>236</v>
      </c>
    </row>
    <row r="99" spans="1:43" ht="50" x14ac:dyDescent="0.35">
      <c r="A99" s="64">
        <v>97</v>
      </c>
      <c r="B99" s="67" t="s">
        <v>1008</v>
      </c>
      <c r="C99" s="67" t="str">
        <f t="shared" si="6"/>
        <v>Kotabaru , 06 November 1997</v>
      </c>
      <c r="D99" s="67" t="str">
        <f t="shared" si="7"/>
        <v>S1 - Manajemen Keuangan</v>
      </c>
      <c r="E99" s="66">
        <f t="shared" si="8"/>
        <v>115</v>
      </c>
      <c r="F99" s="66" t="str">
        <f t="shared" si="9"/>
        <v>Baik</v>
      </c>
      <c r="G99" s="88"/>
      <c r="H99" s="88"/>
      <c r="I99" s="88"/>
      <c r="J99" s="88"/>
      <c r="K99" s="88"/>
      <c r="L99" s="88"/>
      <c r="M99" s="88"/>
      <c r="N99" s="88"/>
      <c r="O99" s="88"/>
      <c r="P99" s="88"/>
      <c r="Q99" s="88"/>
      <c r="R99" s="88"/>
      <c r="S99" s="88"/>
      <c r="T99" s="88"/>
      <c r="U99" s="88"/>
      <c r="V99" s="88"/>
      <c r="W99" s="88"/>
      <c r="X99" s="89"/>
      <c r="Y99" s="89"/>
      <c r="Z99" s="89"/>
      <c r="AA99" s="89"/>
      <c r="AB99" s="89"/>
      <c r="AC99" s="89"/>
      <c r="AD99" s="89"/>
      <c r="AE99" s="89"/>
      <c r="AF99" s="89"/>
      <c r="AG99" s="89"/>
      <c r="AH99" s="89"/>
      <c r="AI99" s="89"/>
      <c r="AJ99" s="89"/>
      <c r="AK99" s="65">
        <f t="shared" si="11"/>
        <v>0</v>
      </c>
      <c r="AL99" s="66" t="str">
        <f t="shared" si="10"/>
        <v>Tidak disarankan</v>
      </c>
      <c r="AM99" s="67" t="s">
        <v>235</v>
      </c>
      <c r="AN99" s="67" t="s">
        <v>235</v>
      </c>
      <c r="AO99" s="67" t="s">
        <v>235</v>
      </c>
      <c r="AP99" s="67" t="s">
        <v>236</v>
      </c>
      <c r="AQ99" s="67" t="s">
        <v>236</v>
      </c>
    </row>
    <row r="100" spans="1:43" ht="50" x14ac:dyDescent="0.35">
      <c r="A100" s="64">
        <v>98</v>
      </c>
      <c r="B100" s="67" t="s">
        <v>346</v>
      </c>
      <c r="C100" s="67" t="str">
        <f t="shared" si="6"/>
        <v>Kuala Kapuas, 25 September 1997</v>
      </c>
      <c r="D100" s="67" t="str">
        <f t="shared" si="7"/>
        <v>S1 - Manajemen</v>
      </c>
      <c r="E100" s="66">
        <f t="shared" si="8"/>
        <v>106</v>
      </c>
      <c r="F100" s="66" t="str">
        <f t="shared" si="9"/>
        <v>Rata-rata</v>
      </c>
      <c r="G100" s="88"/>
      <c r="H100" s="88"/>
      <c r="I100" s="88"/>
      <c r="J100" s="88"/>
      <c r="K100" s="88"/>
      <c r="L100" s="88"/>
      <c r="M100" s="88"/>
      <c r="N100" s="88"/>
      <c r="O100" s="88"/>
      <c r="P100" s="88"/>
      <c r="Q100" s="88"/>
      <c r="R100" s="88"/>
      <c r="S100" s="88"/>
      <c r="T100" s="88"/>
      <c r="U100" s="88"/>
      <c r="V100" s="88"/>
      <c r="W100" s="88"/>
      <c r="X100" s="89"/>
      <c r="Y100" s="89"/>
      <c r="Z100" s="89"/>
      <c r="AA100" s="89"/>
      <c r="AB100" s="89"/>
      <c r="AC100" s="89"/>
      <c r="AD100" s="89"/>
      <c r="AE100" s="89"/>
      <c r="AF100" s="89"/>
      <c r="AG100" s="89"/>
      <c r="AH100" s="89"/>
      <c r="AI100" s="89"/>
      <c r="AJ100" s="89"/>
      <c r="AK100" s="65">
        <f t="shared" si="11"/>
        <v>0</v>
      </c>
      <c r="AL100" s="66" t="str">
        <f t="shared" si="10"/>
        <v>Tidak disarankan</v>
      </c>
      <c r="AM100" s="67" t="s">
        <v>235</v>
      </c>
      <c r="AN100" s="67" t="s">
        <v>235</v>
      </c>
      <c r="AO100" s="67" t="s">
        <v>235</v>
      </c>
      <c r="AP100" s="67" t="s">
        <v>236</v>
      </c>
      <c r="AQ100" s="67" t="s">
        <v>236</v>
      </c>
    </row>
    <row r="101" spans="1:43" ht="50" x14ac:dyDescent="0.35">
      <c r="A101" s="64">
        <v>99</v>
      </c>
      <c r="B101" s="67" t="s">
        <v>1085</v>
      </c>
      <c r="C101" s="67" t="str">
        <f t="shared" si="6"/>
        <v>Palangkaraya, 21 September 1997</v>
      </c>
      <c r="D101" s="67" t="str">
        <f t="shared" si="7"/>
        <v>S1 - Akuntansi</v>
      </c>
      <c r="E101" s="66">
        <f t="shared" si="8"/>
        <v>106</v>
      </c>
      <c r="F101" s="66" t="str">
        <f t="shared" si="9"/>
        <v>Rata-rata</v>
      </c>
      <c r="G101" s="88"/>
      <c r="H101" s="88"/>
      <c r="I101" s="88"/>
      <c r="J101" s="88"/>
      <c r="K101" s="88"/>
      <c r="L101" s="88"/>
      <c r="M101" s="88"/>
      <c r="N101" s="88"/>
      <c r="O101" s="88"/>
      <c r="P101" s="88"/>
      <c r="Q101" s="88"/>
      <c r="R101" s="88"/>
      <c r="S101" s="88"/>
      <c r="T101" s="88"/>
      <c r="U101" s="88"/>
      <c r="V101" s="88"/>
      <c r="W101" s="88"/>
      <c r="X101" s="89"/>
      <c r="Y101" s="89"/>
      <c r="Z101" s="89"/>
      <c r="AA101" s="89"/>
      <c r="AB101" s="89"/>
      <c r="AC101" s="89"/>
      <c r="AD101" s="89"/>
      <c r="AE101" s="89"/>
      <c r="AF101" s="89"/>
      <c r="AG101" s="89"/>
      <c r="AH101" s="89"/>
      <c r="AI101" s="89"/>
      <c r="AJ101" s="89"/>
      <c r="AK101" s="65">
        <f t="shared" si="11"/>
        <v>0</v>
      </c>
      <c r="AL101" s="66" t="str">
        <f t="shared" si="10"/>
        <v>Tidak disarankan</v>
      </c>
      <c r="AM101" s="67" t="s">
        <v>235</v>
      </c>
      <c r="AN101" s="67" t="s">
        <v>235</v>
      </c>
      <c r="AO101" s="67" t="s">
        <v>235</v>
      </c>
      <c r="AP101" s="67" t="s">
        <v>236</v>
      </c>
      <c r="AQ101" s="67" t="s">
        <v>236</v>
      </c>
    </row>
    <row r="102" spans="1:43" ht="50" x14ac:dyDescent="0.35">
      <c r="A102" s="64">
        <v>100</v>
      </c>
      <c r="B102" s="67" t="s">
        <v>1016</v>
      </c>
      <c r="C102" s="67" t="str">
        <f t="shared" si="6"/>
        <v>Runtu, 11 April 1996</v>
      </c>
      <c r="D102" s="67" t="str">
        <f t="shared" si="7"/>
        <v>S1 - Pendidikan Ekonomi</v>
      </c>
      <c r="E102" s="66">
        <f t="shared" si="8"/>
        <v>120</v>
      </c>
      <c r="F102" s="66" t="str">
        <f t="shared" si="9"/>
        <v>Baik Sekali</v>
      </c>
      <c r="G102" s="88"/>
      <c r="H102" s="88"/>
      <c r="I102" s="88"/>
      <c r="J102" s="88"/>
      <c r="K102" s="88"/>
      <c r="L102" s="88"/>
      <c r="M102" s="88"/>
      <c r="N102" s="88"/>
      <c r="O102" s="88"/>
      <c r="P102" s="88"/>
      <c r="Q102" s="88"/>
      <c r="R102" s="88"/>
      <c r="S102" s="88"/>
      <c r="T102" s="88"/>
      <c r="U102" s="88"/>
      <c r="V102" s="88"/>
      <c r="W102" s="88"/>
      <c r="X102" s="89"/>
      <c r="Y102" s="89"/>
      <c r="Z102" s="89"/>
      <c r="AA102" s="89"/>
      <c r="AB102" s="89"/>
      <c r="AC102" s="89"/>
      <c r="AD102" s="89"/>
      <c r="AE102" s="89"/>
      <c r="AF102" s="89"/>
      <c r="AG102" s="89"/>
      <c r="AH102" s="89"/>
      <c r="AI102" s="89"/>
      <c r="AJ102" s="89"/>
      <c r="AK102" s="65">
        <f t="shared" si="11"/>
        <v>0</v>
      </c>
      <c r="AL102" s="66" t="str">
        <f t="shared" si="10"/>
        <v>Tidak disarankan</v>
      </c>
      <c r="AM102" s="67" t="s">
        <v>235</v>
      </c>
      <c r="AN102" s="67" t="s">
        <v>235</v>
      </c>
      <c r="AO102" s="67" t="s">
        <v>235</v>
      </c>
      <c r="AP102" s="67" t="s">
        <v>236</v>
      </c>
      <c r="AQ102" s="67" t="s">
        <v>236</v>
      </c>
    </row>
    <row r="103" spans="1:43" ht="50" x14ac:dyDescent="0.35">
      <c r="A103" s="64">
        <v>101</v>
      </c>
      <c r="B103" s="67" t="s">
        <v>258</v>
      </c>
      <c r="C103" s="67" t="str">
        <f t="shared" si="6"/>
        <v>Buntok, 11 Februari 1998</v>
      </c>
      <c r="D103" s="67" t="str">
        <f t="shared" si="7"/>
        <v>S1 - Ilmu Hukum</v>
      </c>
      <c r="E103" s="66">
        <f t="shared" si="8"/>
        <v>100</v>
      </c>
      <c r="F103" s="66" t="str">
        <f t="shared" si="9"/>
        <v>Rata-rata</v>
      </c>
      <c r="G103" s="88"/>
      <c r="H103" s="88"/>
      <c r="I103" s="88"/>
      <c r="J103" s="88"/>
      <c r="K103" s="88"/>
      <c r="L103" s="88"/>
      <c r="M103" s="88"/>
      <c r="N103" s="88"/>
      <c r="O103" s="88"/>
      <c r="P103" s="88"/>
      <c r="Q103" s="88"/>
      <c r="R103" s="88"/>
      <c r="S103" s="88"/>
      <c r="T103" s="88"/>
      <c r="U103" s="88"/>
      <c r="V103" s="88"/>
      <c r="W103" s="88"/>
      <c r="X103" s="89"/>
      <c r="Y103" s="89"/>
      <c r="Z103" s="89"/>
      <c r="AA103" s="89"/>
      <c r="AB103" s="89"/>
      <c r="AC103" s="89"/>
      <c r="AD103" s="89"/>
      <c r="AE103" s="89"/>
      <c r="AF103" s="89"/>
      <c r="AG103" s="89"/>
      <c r="AH103" s="89"/>
      <c r="AI103" s="89"/>
      <c r="AJ103" s="89"/>
      <c r="AK103" s="65">
        <f t="shared" si="11"/>
        <v>0</v>
      </c>
      <c r="AL103" s="66" t="str">
        <f t="shared" si="10"/>
        <v>Tidak disarankan</v>
      </c>
      <c r="AM103" s="67" t="s">
        <v>235</v>
      </c>
      <c r="AN103" s="67" t="s">
        <v>235</v>
      </c>
      <c r="AO103" s="67" t="s">
        <v>235</v>
      </c>
      <c r="AP103" s="67" t="s">
        <v>236</v>
      </c>
      <c r="AQ103" s="67" t="s">
        <v>236</v>
      </c>
    </row>
    <row r="104" spans="1:43" ht="50" x14ac:dyDescent="0.35">
      <c r="A104" s="64">
        <v>102</v>
      </c>
      <c r="B104" s="67" t="s">
        <v>1066</v>
      </c>
      <c r="C104" s="67" t="str">
        <f t="shared" si="6"/>
        <v>Sampit Kotawaringin Timur, 05 Februari 2001</v>
      </c>
      <c r="D104" s="67" t="str">
        <f t="shared" si="7"/>
        <v>S1 - Manajement</v>
      </c>
      <c r="E104" s="66">
        <f t="shared" si="8"/>
        <v>111</v>
      </c>
      <c r="F104" s="66" t="str">
        <f t="shared" si="9"/>
        <v>Baik</v>
      </c>
      <c r="G104" s="88"/>
      <c r="H104" s="88"/>
      <c r="I104" s="88"/>
      <c r="J104" s="88"/>
      <c r="K104" s="88"/>
      <c r="L104" s="88"/>
      <c r="M104" s="88"/>
      <c r="N104" s="88"/>
      <c r="O104" s="88"/>
      <c r="P104" s="88"/>
      <c r="Q104" s="88"/>
      <c r="R104" s="88"/>
      <c r="S104" s="88"/>
      <c r="T104" s="88"/>
      <c r="U104" s="88"/>
      <c r="V104" s="88"/>
      <c r="W104" s="88"/>
      <c r="X104" s="89"/>
      <c r="Y104" s="89"/>
      <c r="Z104" s="89"/>
      <c r="AA104" s="89"/>
      <c r="AB104" s="89"/>
      <c r="AC104" s="89"/>
      <c r="AD104" s="89"/>
      <c r="AE104" s="89"/>
      <c r="AF104" s="89"/>
      <c r="AG104" s="89"/>
      <c r="AH104" s="89"/>
      <c r="AI104" s="89"/>
      <c r="AJ104" s="89"/>
      <c r="AK104" s="65">
        <f t="shared" si="11"/>
        <v>0</v>
      </c>
      <c r="AL104" s="66" t="str">
        <f t="shared" si="10"/>
        <v>Tidak disarankan</v>
      </c>
      <c r="AM104" s="67" t="s">
        <v>235</v>
      </c>
      <c r="AN104" s="67" t="s">
        <v>235</v>
      </c>
      <c r="AO104" s="67" t="s">
        <v>235</v>
      </c>
      <c r="AP104" s="67" t="s">
        <v>236</v>
      </c>
      <c r="AQ104" s="67" t="s">
        <v>236</v>
      </c>
    </row>
    <row r="105" spans="1:43" ht="50" x14ac:dyDescent="0.35">
      <c r="A105" s="64">
        <v>103</v>
      </c>
      <c r="B105" s="67" t="s">
        <v>1251</v>
      </c>
      <c r="C105" s="67" t="str">
        <f t="shared" si="6"/>
        <v>Kuala Kapuas, 14 Januari 1995</v>
      </c>
      <c r="D105" s="67" t="str">
        <f t="shared" si="7"/>
        <v>S1 - Ilmu Pemerintahan</v>
      </c>
      <c r="E105" s="66">
        <f t="shared" si="8"/>
        <v>109</v>
      </c>
      <c r="F105" s="66" t="str">
        <f t="shared" si="9"/>
        <v>Rata-rata</v>
      </c>
      <c r="G105" s="88"/>
      <c r="H105" s="88"/>
      <c r="I105" s="88"/>
      <c r="J105" s="88"/>
      <c r="K105" s="88"/>
      <c r="L105" s="88"/>
      <c r="M105" s="88"/>
      <c r="N105" s="88"/>
      <c r="O105" s="88"/>
      <c r="P105" s="88"/>
      <c r="Q105" s="88"/>
      <c r="R105" s="88"/>
      <c r="S105" s="88"/>
      <c r="T105" s="88"/>
      <c r="U105" s="88"/>
      <c r="V105" s="88"/>
      <c r="W105" s="88"/>
      <c r="X105" s="89"/>
      <c r="Y105" s="89"/>
      <c r="Z105" s="89"/>
      <c r="AA105" s="89"/>
      <c r="AB105" s="89"/>
      <c r="AC105" s="89"/>
      <c r="AD105" s="89"/>
      <c r="AE105" s="89"/>
      <c r="AF105" s="89"/>
      <c r="AG105" s="89"/>
      <c r="AH105" s="89"/>
      <c r="AI105" s="89"/>
      <c r="AJ105" s="89"/>
      <c r="AK105" s="65">
        <f t="shared" si="11"/>
        <v>0</v>
      </c>
      <c r="AL105" s="66" t="str">
        <f t="shared" si="10"/>
        <v>Tidak disarankan</v>
      </c>
      <c r="AM105" s="67" t="s">
        <v>235</v>
      </c>
      <c r="AN105" s="67" t="s">
        <v>235</v>
      </c>
      <c r="AO105" s="67" t="s">
        <v>235</v>
      </c>
      <c r="AP105" s="67" t="s">
        <v>236</v>
      </c>
      <c r="AQ105" s="67" t="s">
        <v>236</v>
      </c>
    </row>
    <row r="106" spans="1:43" ht="50" x14ac:dyDescent="0.35">
      <c r="A106" s="64">
        <v>104</v>
      </c>
      <c r="B106" s="67" t="s">
        <v>1119</v>
      </c>
      <c r="C106" s="67" t="str">
        <f t="shared" si="6"/>
        <v>Pangkalan Bun, 03 Februari 2000</v>
      </c>
      <c r="D106" s="67" t="str">
        <f t="shared" si="7"/>
        <v>S1 - Hukum Tata Negara</v>
      </c>
      <c r="E106" s="66">
        <f t="shared" si="8"/>
        <v>109</v>
      </c>
      <c r="F106" s="66" t="str">
        <f t="shared" si="9"/>
        <v>Rata-rata</v>
      </c>
      <c r="G106" s="88"/>
      <c r="H106" s="88"/>
      <c r="I106" s="88"/>
      <c r="J106" s="88"/>
      <c r="K106" s="88"/>
      <c r="L106" s="88"/>
      <c r="M106" s="88"/>
      <c r="N106" s="88"/>
      <c r="O106" s="88"/>
      <c r="P106" s="88"/>
      <c r="Q106" s="88"/>
      <c r="R106" s="88"/>
      <c r="S106" s="88"/>
      <c r="T106" s="88"/>
      <c r="U106" s="88"/>
      <c r="V106" s="88"/>
      <c r="W106" s="88"/>
      <c r="X106" s="89"/>
      <c r="Y106" s="89"/>
      <c r="Z106" s="89"/>
      <c r="AA106" s="89"/>
      <c r="AB106" s="89"/>
      <c r="AC106" s="89"/>
      <c r="AD106" s="89"/>
      <c r="AE106" s="89"/>
      <c r="AF106" s="89"/>
      <c r="AG106" s="89"/>
      <c r="AH106" s="89"/>
      <c r="AI106" s="89"/>
      <c r="AJ106" s="89"/>
      <c r="AK106" s="65">
        <f t="shared" si="11"/>
        <v>0</v>
      </c>
      <c r="AL106" s="66" t="str">
        <f t="shared" si="10"/>
        <v>Tidak disarankan</v>
      </c>
      <c r="AM106" s="67" t="s">
        <v>235</v>
      </c>
      <c r="AN106" s="67" t="s">
        <v>235</v>
      </c>
      <c r="AO106" s="67" t="s">
        <v>235</v>
      </c>
      <c r="AP106" s="67" t="s">
        <v>236</v>
      </c>
      <c r="AQ106" s="67" t="s">
        <v>236</v>
      </c>
    </row>
    <row r="107" spans="1:43" ht="50" x14ac:dyDescent="0.35">
      <c r="A107" s="64">
        <v>105</v>
      </c>
      <c r="B107" s="67" t="s">
        <v>1146</v>
      </c>
      <c r="C107" s="67" t="str">
        <f t="shared" si="6"/>
        <v>Jakarta, 26 Oktober 1996</v>
      </c>
      <c r="D107" s="67" t="str">
        <f t="shared" si="7"/>
        <v>S1 - Manajemen Operasional</v>
      </c>
      <c r="E107" s="66">
        <f t="shared" si="8"/>
        <v>106</v>
      </c>
      <c r="F107" s="66" t="str">
        <f t="shared" si="9"/>
        <v>Rata-rata</v>
      </c>
      <c r="G107" s="88"/>
      <c r="H107" s="88"/>
      <c r="I107" s="88"/>
      <c r="J107" s="88"/>
      <c r="K107" s="88"/>
      <c r="L107" s="88"/>
      <c r="M107" s="88"/>
      <c r="N107" s="88"/>
      <c r="O107" s="88"/>
      <c r="P107" s="88"/>
      <c r="Q107" s="88"/>
      <c r="R107" s="88"/>
      <c r="S107" s="88"/>
      <c r="T107" s="88"/>
      <c r="U107" s="88"/>
      <c r="V107" s="88"/>
      <c r="W107" s="88"/>
      <c r="X107" s="89"/>
      <c r="Y107" s="89"/>
      <c r="Z107" s="89"/>
      <c r="AA107" s="89"/>
      <c r="AB107" s="89"/>
      <c r="AC107" s="89"/>
      <c r="AD107" s="89"/>
      <c r="AE107" s="89"/>
      <c r="AF107" s="89"/>
      <c r="AG107" s="89"/>
      <c r="AH107" s="89"/>
      <c r="AI107" s="89"/>
      <c r="AJ107" s="89"/>
      <c r="AK107" s="65">
        <f t="shared" si="11"/>
        <v>0</v>
      </c>
      <c r="AL107" s="66" t="str">
        <f t="shared" si="10"/>
        <v>Tidak disarankan</v>
      </c>
      <c r="AM107" s="67" t="s">
        <v>235</v>
      </c>
      <c r="AN107" s="67" t="s">
        <v>235</v>
      </c>
      <c r="AO107" s="67" t="s">
        <v>235</v>
      </c>
      <c r="AP107" s="67" t="s">
        <v>236</v>
      </c>
      <c r="AQ107" s="67" t="s">
        <v>236</v>
      </c>
    </row>
    <row r="108" spans="1:43" ht="50" x14ac:dyDescent="0.35">
      <c r="A108" s="64">
        <v>106</v>
      </c>
      <c r="B108" s="67" t="s">
        <v>690</v>
      </c>
      <c r="C108" s="67" t="str">
        <f t="shared" si="6"/>
        <v>Palangka Raya, 07 Desember 1996</v>
      </c>
      <c r="D108" s="67" t="str">
        <f t="shared" si="7"/>
        <v>S1 - Akuntansi</v>
      </c>
      <c r="E108" s="66">
        <f t="shared" si="8"/>
        <v>110</v>
      </c>
      <c r="F108" s="66" t="str">
        <f t="shared" si="9"/>
        <v>Baik</v>
      </c>
      <c r="G108" s="88"/>
      <c r="H108" s="88"/>
      <c r="I108" s="88"/>
      <c r="J108" s="88"/>
      <c r="K108" s="88"/>
      <c r="L108" s="88"/>
      <c r="M108" s="88"/>
      <c r="N108" s="88"/>
      <c r="O108" s="88"/>
      <c r="P108" s="88"/>
      <c r="Q108" s="88"/>
      <c r="R108" s="88"/>
      <c r="S108" s="88"/>
      <c r="T108" s="88"/>
      <c r="U108" s="88"/>
      <c r="V108" s="88"/>
      <c r="W108" s="88"/>
      <c r="X108" s="89"/>
      <c r="Y108" s="89"/>
      <c r="Z108" s="89"/>
      <c r="AA108" s="89"/>
      <c r="AB108" s="89"/>
      <c r="AC108" s="89"/>
      <c r="AD108" s="89"/>
      <c r="AE108" s="89"/>
      <c r="AF108" s="89"/>
      <c r="AG108" s="89"/>
      <c r="AH108" s="89"/>
      <c r="AI108" s="89"/>
      <c r="AJ108" s="89"/>
      <c r="AK108" s="65">
        <f t="shared" si="11"/>
        <v>0</v>
      </c>
      <c r="AL108" s="66" t="str">
        <f t="shared" si="10"/>
        <v>Tidak disarankan</v>
      </c>
      <c r="AM108" s="67" t="s">
        <v>235</v>
      </c>
      <c r="AN108" s="67" t="s">
        <v>235</v>
      </c>
      <c r="AO108" s="67" t="s">
        <v>235</v>
      </c>
      <c r="AP108" s="67" t="s">
        <v>236</v>
      </c>
      <c r="AQ108" s="67" t="s">
        <v>236</v>
      </c>
    </row>
    <row r="109" spans="1:43" ht="50" x14ac:dyDescent="0.35">
      <c r="A109" s="64">
        <v>107</v>
      </c>
      <c r="B109" s="67" t="s">
        <v>324</v>
      </c>
      <c r="C109" s="67" t="str">
        <f t="shared" si="6"/>
        <v>Depok, 06 Oktober 1995</v>
      </c>
      <c r="D109" s="67" t="str">
        <f t="shared" si="7"/>
        <v>S1 - Akuntansi</v>
      </c>
      <c r="E109" s="66">
        <f t="shared" si="8"/>
        <v>110</v>
      </c>
      <c r="F109" s="66" t="str">
        <f t="shared" si="9"/>
        <v>Baik</v>
      </c>
      <c r="G109" s="88"/>
      <c r="H109" s="88"/>
      <c r="I109" s="88"/>
      <c r="J109" s="88"/>
      <c r="K109" s="88"/>
      <c r="L109" s="88"/>
      <c r="M109" s="88"/>
      <c r="N109" s="88"/>
      <c r="O109" s="88"/>
      <c r="P109" s="88"/>
      <c r="Q109" s="88"/>
      <c r="R109" s="88"/>
      <c r="S109" s="88"/>
      <c r="T109" s="88"/>
      <c r="U109" s="88"/>
      <c r="V109" s="88"/>
      <c r="W109" s="88"/>
      <c r="X109" s="89"/>
      <c r="Y109" s="89"/>
      <c r="Z109" s="89"/>
      <c r="AA109" s="89"/>
      <c r="AB109" s="89"/>
      <c r="AC109" s="89"/>
      <c r="AD109" s="89"/>
      <c r="AE109" s="89"/>
      <c r="AF109" s="89"/>
      <c r="AG109" s="89"/>
      <c r="AH109" s="89"/>
      <c r="AI109" s="89"/>
      <c r="AJ109" s="89"/>
      <c r="AK109" s="65">
        <f t="shared" si="11"/>
        <v>0</v>
      </c>
      <c r="AL109" s="66" t="str">
        <f t="shared" si="10"/>
        <v>Tidak disarankan</v>
      </c>
      <c r="AM109" s="67" t="s">
        <v>235</v>
      </c>
      <c r="AN109" s="67" t="s">
        <v>235</v>
      </c>
      <c r="AO109" s="67" t="s">
        <v>235</v>
      </c>
      <c r="AP109" s="67" t="s">
        <v>236</v>
      </c>
      <c r="AQ109" s="67" t="s">
        <v>236</v>
      </c>
    </row>
    <row r="110" spans="1:43" ht="50" x14ac:dyDescent="0.35">
      <c r="A110" s="64">
        <v>108</v>
      </c>
      <c r="B110" s="67" t="s">
        <v>267</v>
      </c>
      <c r="C110" s="67" t="str">
        <f t="shared" si="6"/>
        <v>Baruyan, 10 Juli 1997</v>
      </c>
      <c r="D110" s="67" t="str">
        <f t="shared" si="7"/>
        <v>S2 - Magister Pendidikan Bahasa Inggris</v>
      </c>
      <c r="E110" s="66">
        <f t="shared" si="8"/>
        <v>115</v>
      </c>
      <c r="F110" s="66" t="str">
        <f t="shared" si="9"/>
        <v>Baik</v>
      </c>
      <c r="G110" s="88"/>
      <c r="H110" s="88"/>
      <c r="I110" s="88"/>
      <c r="J110" s="88"/>
      <c r="K110" s="88"/>
      <c r="L110" s="88"/>
      <c r="M110" s="88"/>
      <c r="N110" s="88"/>
      <c r="O110" s="88"/>
      <c r="P110" s="88"/>
      <c r="Q110" s="88"/>
      <c r="R110" s="88"/>
      <c r="S110" s="88"/>
      <c r="T110" s="88"/>
      <c r="U110" s="88"/>
      <c r="V110" s="88"/>
      <c r="W110" s="88"/>
      <c r="X110" s="89"/>
      <c r="Y110" s="89"/>
      <c r="Z110" s="89"/>
      <c r="AA110" s="89"/>
      <c r="AB110" s="89"/>
      <c r="AC110" s="89"/>
      <c r="AD110" s="89"/>
      <c r="AE110" s="89"/>
      <c r="AF110" s="89"/>
      <c r="AG110" s="89"/>
      <c r="AH110" s="89"/>
      <c r="AI110" s="89"/>
      <c r="AJ110" s="89"/>
      <c r="AK110" s="65">
        <f t="shared" si="11"/>
        <v>0</v>
      </c>
      <c r="AL110" s="66" t="str">
        <f t="shared" si="10"/>
        <v>Tidak disarankan</v>
      </c>
      <c r="AM110" s="67" t="s">
        <v>235</v>
      </c>
      <c r="AN110" s="67" t="s">
        <v>235</v>
      </c>
      <c r="AO110" s="67" t="s">
        <v>235</v>
      </c>
      <c r="AP110" s="67" t="s">
        <v>236</v>
      </c>
      <c r="AQ110" s="67" t="s">
        <v>236</v>
      </c>
    </row>
    <row r="111" spans="1:43" ht="50" x14ac:dyDescent="0.35">
      <c r="A111" s="64">
        <v>109</v>
      </c>
      <c r="B111" s="67" t="s">
        <v>1237</v>
      </c>
      <c r="C111" s="67" t="str">
        <f t="shared" si="6"/>
        <v>Bereng Bengkel, 05 Januari 2000</v>
      </c>
      <c r="D111" s="67" t="str">
        <f t="shared" si="7"/>
        <v>D3 - Kebidanan</v>
      </c>
      <c r="E111" s="66">
        <f t="shared" si="8"/>
        <v>109</v>
      </c>
      <c r="F111" s="66" t="str">
        <f t="shared" si="9"/>
        <v>Rata-rata</v>
      </c>
      <c r="G111" s="88"/>
      <c r="H111" s="88"/>
      <c r="I111" s="88"/>
      <c r="J111" s="88"/>
      <c r="K111" s="88"/>
      <c r="L111" s="88"/>
      <c r="M111" s="88"/>
      <c r="N111" s="88"/>
      <c r="O111" s="88"/>
      <c r="P111" s="88"/>
      <c r="Q111" s="88"/>
      <c r="R111" s="88"/>
      <c r="S111" s="88"/>
      <c r="T111" s="88"/>
      <c r="U111" s="88"/>
      <c r="V111" s="88"/>
      <c r="W111" s="88"/>
      <c r="X111" s="89"/>
      <c r="Y111" s="89"/>
      <c r="Z111" s="89"/>
      <c r="AA111" s="89"/>
      <c r="AB111" s="89"/>
      <c r="AC111" s="89"/>
      <c r="AD111" s="89"/>
      <c r="AE111" s="89"/>
      <c r="AF111" s="89"/>
      <c r="AG111" s="89"/>
      <c r="AH111" s="89"/>
      <c r="AI111" s="89"/>
      <c r="AJ111" s="89"/>
      <c r="AK111" s="65">
        <f t="shared" si="11"/>
        <v>0</v>
      </c>
      <c r="AL111" s="66" t="str">
        <f t="shared" si="10"/>
        <v>Tidak disarankan</v>
      </c>
      <c r="AM111" s="67" t="s">
        <v>235</v>
      </c>
      <c r="AN111" s="67" t="s">
        <v>235</v>
      </c>
      <c r="AO111" s="67" t="s">
        <v>235</v>
      </c>
      <c r="AP111" s="67" t="s">
        <v>236</v>
      </c>
      <c r="AQ111" s="67" t="s">
        <v>236</v>
      </c>
    </row>
    <row r="112" spans="1:43" ht="50" x14ac:dyDescent="0.35">
      <c r="A112" s="64">
        <v>110</v>
      </c>
      <c r="B112" s="67" t="s">
        <v>674</v>
      </c>
      <c r="C112" s="67" t="str">
        <f t="shared" si="6"/>
        <v>Palangka Raya, 16 Februari 1995</v>
      </c>
      <c r="D112" s="67" t="str">
        <f t="shared" si="7"/>
        <v>S1 - Akuntansi</v>
      </c>
      <c r="E112" s="66">
        <f t="shared" si="8"/>
        <v>110</v>
      </c>
      <c r="F112" s="66" t="str">
        <f t="shared" si="9"/>
        <v>Baik</v>
      </c>
      <c r="G112" s="88"/>
      <c r="H112" s="88"/>
      <c r="I112" s="88"/>
      <c r="J112" s="88"/>
      <c r="K112" s="88"/>
      <c r="L112" s="88"/>
      <c r="M112" s="88"/>
      <c r="N112" s="88"/>
      <c r="O112" s="88"/>
      <c r="P112" s="88"/>
      <c r="Q112" s="88"/>
      <c r="R112" s="88"/>
      <c r="S112" s="88"/>
      <c r="T112" s="88"/>
      <c r="U112" s="88"/>
      <c r="V112" s="88"/>
      <c r="W112" s="88"/>
      <c r="X112" s="89"/>
      <c r="Y112" s="89"/>
      <c r="Z112" s="89"/>
      <c r="AA112" s="89"/>
      <c r="AB112" s="89"/>
      <c r="AC112" s="89"/>
      <c r="AD112" s="89"/>
      <c r="AE112" s="89"/>
      <c r="AF112" s="89"/>
      <c r="AG112" s="89"/>
      <c r="AH112" s="89"/>
      <c r="AI112" s="89"/>
      <c r="AJ112" s="89"/>
      <c r="AK112" s="65">
        <f t="shared" si="11"/>
        <v>0</v>
      </c>
      <c r="AL112" s="66" t="str">
        <f t="shared" si="10"/>
        <v>Tidak disarankan</v>
      </c>
      <c r="AM112" s="67" t="s">
        <v>235</v>
      </c>
      <c r="AN112" s="67" t="s">
        <v>235</v>
      </c>
      <c r="AO112" s="67" t="s">
        <v>235</v>
      </c>
      <c r="AP112" s="67" t="s">
        <v>236</v>
      </c>
      <c r="AQ112" s="67" t="s">
        <v>236</v>
      </c>
    </row>
    <row r="113" spans="1:43" ht="50" x14ac:dyDescent="0.35">
      <c r="A113" s="64">
        <v>111</v>
      </c>
      <c r="B113" s="67" t="s">
        <v>1245</v>
      </c>
      <c r="C113" s="67" t="str">
        <f t="shared" si="6"/>
        <v>Kapuas, 10 Januari 1995</v>
      </c>
      <c r="D113" s="67" t="str">
        <f t="shared" si="7"/>
        <v>S1 - Teknik Informatika</v>
      </c>
      <c r="E113" s="66">
        <f t="shared" si="8"/>
        <v>96</v>
      </c>
      <c r="F113" s="66" t="str">
        <f t="shared" si="9"/>
        <v>Rata-rata</v>
      </c>
      <c r="G113" s="88"/>
      <c r="H113" s="88"/>
      <c r="I113" s="88"/>
      <c r="J113" s="88"/>
      <c r="K113" s="88"/>
      <c r="L113" s="88"/>
      <c r="M113" s="88"/>
      <c r="N113" s="88"/>
      <c r="O113" s="88"/>
      <c r="P113" s="88"/>
      <c r="Q113" s="88"/>
      <c r="R113" s="88"/>
      <c r="S113" s="88"/>
      <c r="T113" s="88"/>
      <c r="U113" s="88"/>
      <c r="V113" s="88"/>
      <c r="W113" s="88"/>
      <c r="X113" s="89"/>
      <c r="Y113" s="89"/>
      <c r="Z113" s="89"/>
      <c r="AA113" s="89"/>
      <c r="AB113" s="89"/>
      <c r="AC113" s="89"/>
      <c r="AD113" s="89"/>
      <c r="AE113" s="89"/>
      <c r="AF113" s="89"/>
      <c r="AG113" s="89"/>
      <c r="AH113" s="89"/>
      <c r="AI113" s="89"/>
      <c r="AJ113" s="89"/>
      <c r="AK113" s="65">
        <f t="shared" si="11"/>
        <v>0</v>
      </c>
      <c r="AL113" s="66" t="str">
        <f t="shared" si="10"/>
        <v>Tidak disarankan</v>
      </c>
      <c r="AM113" s="67" t="s">
        <v>235</v>
      </c>
      <c r="AN113" s="67" t="s">
        <v>235</v>
      </c>
      <c r="AO113" s="67" t="s">
        <v>235</v>
      </c>
      <c r="AP113" s="67" t="s">
        <v>236</v>
      </c>
      <c r="AQ113" s="67" t="s">
        <v>236</v>
      </c>
    </row>
    <row r="114" spans="1:43" ht="50" x14ac:dyDescent="0.35">
      <c r="A114" s="64">
        <v>112</v>
      </c>
      <c r="B114" s="67" t="s">
        <v>245</v>
      </c>
      <c r="C114" s="67" t="str">
        <f t="shared" si="6"/>
        <v>Palangka Raya, 18 Juli 1997</v>
      </c>
      <c r="D114" s="67" t="str">
        <f t="shared" si="7"/>
        <v>S1 - Ilmu Administrasi Niaga</v>
      </c>
      <c r="E114" s="66">
        <f t="shared" si="8"/>
        <v>114</v>
      </c>
      <c r="F114" s="66" t="str">
        <f t="shared" si="9"/>
        <v>Baik</v>
      </c>
      <c r="G114" s="88"/>
      <c r="H114" s="88"/>
      <c r="I114" s="88"/>
      <c r="J114" s="88"/>
      <c r="K114" s="88"/>
      <c r="L114" s="88"/>
      <c r="M114" s="88"/>
      <c r="N114" s="88"/>
      <c r="O114" s="88"/>
      <c r="P114" s="88"/>
      <c r="Q114" s="88"/>
      <c r="R114" s="88"/>
      <c r="S114" s="88"/>
      <c r="T114" s="88"/>
      <c r="U114" s="88"/>
      <c r="V114" s="88"/>
      <c r="W114" s="88"/>
      <c r="X114" s="89"/>
      <c r="Y114" s="89"/>
      <c r="Z114" s="89"/>
      <c r="AA114" s="89"/>
      <c r="AB114" s="89"/>
      <c r="AC114" s="89"/>
      <c r="AD114" s="89"/>
      <c r="AE114" s="89"/>
      <c r="AF114" s="89"/>
      <c r="AG114" s="89"/>
      <c r="AH114" s="89"/>
      <c r="AI114" s="89"/>
      <c r="AJ114" s="89"/>
      <c r="AK114" s="65">
        <f t="shared" si="11"/>
        <v>0</v>
      </c>
      <c r="AL114" s="66" t="str">
        <f t="shared" si="10"/>
        <v>Tidak disarankan</v>
      </c>
      <c r="AM114" s="67" t="s">
        <v>235</v>
      </c>
      <c r="AN114" s="67" t="s">
        <v>235</v>
      </c>
      <c r="AO114" s="67" t="s">
        <v>235</v>
      </c>
      <c r="AP114" s="67" t="s">
        <v>236</v>
      </c>
      <c r="AQ114" s="67" t="s">
        <v>236</v>
      </c>
    </row>
    <row r="115" spans="1:43" ht="50" x14ac:dyDescent="0.35">
      <c r="A115" s="64">
        <v>113</v>
      </c>
      <c r="B115" s="67" t="s">
        <v>1444</v>
      </c>
      <c r="C115" s="67" t="str">
        <f t="shared" si="6"/>
        <v>Muara Teweh, 23 Mei 2000</v>
      </c>
      <c r="D115" s="67" t="str">
        <f t="shared" si="7"/>
        <v>S1 - Manajemen</v>
      </c>
      <c r="E115" s="66">
        <f t="shared" si="8"/>
        <v>86</v>
      </c>
      <c r="F115" s="66" t="str">
        <f t="shared" si="9"/>
        <v>Kurang</v>
      </c>
      <c r="G115" s="88"/>
      <c r="H115" s="88"/>
      <c r="I115" s="88"/>
      <c r="J115" s="88"/>
      <c r="K115" s="88"/>
      <c r="L115" s="88"/>
      <c r="M115" s="88"/>
      <c r="N115" s="88"/>
      <c r="O115" s="88"/>
      <c r="P115" s="88"/>
      <c r="Q115" s="88"/>
      <c r="R115" s="88"/>
      <c r="S115" s="88"/>
      <c r="T115" s="88"/>
      <c r="U115" s="88"/>
      <c r="V115" s="88"/>
      <c r="W115" s="88"/>
      <c r="X115" s="89"/>
      <c r="Y115" s="89"/>
      <c r="Z115" s="89"/>
      <c r="AA115" s="89"/>
      <c r="AB115" s="89"/>
      <c r="AC115" s="89"/>
      <c r="AD115" s="89"/>
      <c r="AE115" s="89"/>
      <c r="AF115" s="89"/>
      <c r="AG115" s="89"/>
      <c r="AH115" s="89"/>
      <c r="AI115" s="89"/>
      <c r="AJ115" s="89"/>
      <c r="AK115" s="65">
        <f t="shared" si="11"/>
        <v>0</v>
      </c>
      <c r="AL115" s="66" t="str">
        <f t="shared" si="10"/>
        <v>Tidak disarankan</v>
      </c>
      <c r="AM115" s="67" t="s">
        <v>235</v>
      </c>
      <c r="AN115" s="67" t="s">
        <v>235</v>
      </c>
      <c r="AO115" s="67" t="s">
        <v>235</v>
      </c>
      <c r="AP115" s="67" t="s">
        <v>236</v>
      </c>
      <c r="AQ115" s="67" t="s">
        <v>236</v>
      </c>
    </row>
    <row r="116" spans="1:43" ht="50" x14ac:dyDescent="0.35">
      <c r="A116" s="64">
        <v>114</v>
      </c>
      <c r="B116" s="67" t="s">
        <v>936</v>
      </c>
      <c r="C116" s="67" t="str">
        <f t="shared" si="6"/>
        <v>Semelagi Besar, 10 Juli 1999</v>
      </c>
      <c r="D116" s="67" t="str">
        <f t="shared" si="7"/>
        <v>S1 - Teknik Informatika</v>
      </c>
      <c r="E116" s="66">
        <f t="shared" si="8"/>
        <v>115</v>
      </c>
      <c r="F116" s="66" t="str">
        <f t="shared" si="9"/>
        <v>Baik</v>
      </c>
      <c r="G116" s="88"/>
      <c r="H116" s="88"/>
      <c r="I116" s="88"/>
      <c r="J116" s="88"/>
      <c r="K116" s="88"/>
      <c r="L116" s="88"/>
      <c r="M116" s="88"/>
      <c r="N116" s="88"/>
      <c r="O116" s="88"/>
      <c r="P116" s="88"/>
      <c r="Q116" s="88"/>
      <c r="R116" s="88"/>
      <c r="S116" s="88"/>
      <c r="T116" s="88"/>
      <c r="U116" s="88"/>
      <c r="V116" s="88"/>
      <c r="W116" s="88"/>
      <c r="X116" s="89"/>
      <c r="Y116" s="89"/>
      <c r="Z116" s="89"/>
      <c r="AA116" s="89"/>
      <c r="AB116" s="89"/>
      <c r="AC116" s="89"/>
      <c r="AD116" s="89"/>
      <c r="AE116" s="89"/>
      <c r="AF116" s="89"/>
      <c r="AG116" s="89"/>
      <c r="AH116" s="89"/>
      <c r="AI116" s="89"/>
      <c r="AJ116" s="89"/>
      <c r="AK116" s="65">
        <f t="shared" si="11"/>
        <v>0</v>
      </c>
      <c r="AL116" s="66" t="str">
        <f t="shared" si="10"/>
        <v>Tidak disarankan</v>
      </c>
      <c r="AM116" s="67" t="s">
        <v>235</v>
      </c>
      <c r="AN116" s="67" t="s">
        <v>235</v>
      </c>
      <c r="AO116" s="67" t="s">
        <v>235</v>
      </c>
      <c r="AP116" s="67" t="s">
        <v>236</v>
      </c>
      <c r="AQ116" s="67" t="s">
        <v>236</v>
      </c>
    </row>
    <row r="117" spans="1:43" ht="50" x14ac:dyDescent="0.35">
      <c r="A117" s="64">
        <v>115</v>
      </c>
      <c r="B117" s="67" t="s">
        <v>691</v>
      </c>
      <c r="C117" s="67" t="str">
        <f t="shared" si="6"/>
        <v>Palangkara, 14 Juni 1995</v>
      </c>
      <c r="D117" s="67" t="str">
        <f t="shared" si="7"/>
        <v>S1 - Bimbingan Konseling</v>
      </c>
      <c r="E117" s="66">
        <f t="shared" si="8"/>
        <v>103</v>
      </c>
      <c r="F117" s="66" t="str">
        <f t="shared" si="9"/>
        <v>Rata-rata</v>
      </c>
      <c r="G117" s="88"/>
      <c r="H117" s="88"/>
      <c r="I117" s="88"/>
      <c r="J117" s="88"/>
      <c r="K117" s="88"/>
      <c r="L117" s="88"/>
      <c r="M117" s="88"/>
      <c r="N117" s="88"/>
      <c r="O117" s="88"/>
      <c r="P117" s="88"/>
      <c r="Q117" s="88"/>
      <c r="R117" s="88"/>
      <c r="S117" s="88"/>
      <c r="T117" s="88"/>
      <c r="U117" s="88"/>
      <c r="V117" s="88"/>
      <c r="W117" s="88"/>
      <c r="X117" s="89"/>
      <c r="Y117" s="89"/>
      <c r="Z117" s="89"/>
      <c r="AA117" s="89"/>
      <c r="AB117" s="89"/>
      <c r="AC117" s="89"/>
      <c r="AD117" s="89"/>
      <c r="AE117" s="89"/>
      <c r="AF117" s="89"/>
      <c r="AG117" s="89"/>
      <c r="AH117" s="89"/>
      <c r="AI117" s="89"/>
      <c r="AJ117" s="89"/>
      <c r="AK117" s="65">
        <f t="shared" si="11"/>
        <v>0</v>
      </c>
      <c r="AL117" s="66" t="str">
        <f t="shared" si="10"/>
        <v>Tidak disarankan</v>
      </c>
      <c r="AM117" s="67" t="s">
        <v>235</v>
      </c>
      <c r="AN117" s="67" t="s">
        <v>235</v>
      </c>
      <c r="AO117" s="67" t="s">
        <v>235</v>
      </c>
      <c r="AP117" s="67" t="s">
        <v>236</v>
      </c>
      <c r="AQ117" s="67" t="s">
        <v>236</v>
      </c>
    </row>
    <row r="118" spans="1:43" ht="50" x14ac:dyDescent="0.35">
      <c r="A118" s="64">
        <v>116</v>
      </c>
      <c r="B118" s="67" t="s">
        <v>684</v>
      </c>
      <c r="C118" s="67" t="str">
        <f t="shared" si="6"/>
        <v>Kuala Kapuas, 21 November 2000</v>
      </c>
      <c r="D118" s="67" t="str">
        <f t="shared" si="7"/>
        <v>S1 - Farmasi</v>
      </c>
      <c r="E118" s="66">
        <f t="shared" si="8"/>
        <v>106</v>
      </c>
      <c r="F118" s="66" t="str">
        <f t="shared" si="9"/>
        <v>Rata-rata</v>
      </c>
      <c r="G118" s="88"/>
      <c r="H118" s="88"/>
      <c r="I118" s="88"/>
      <c r="J118" s="88"/>
      <c r="K118" s="88"/>
      <c r="L118" s="88"/>
      <c r="M118" s="88"/>
      <c r="N118" s="88"/>
      <c r="O118" s="88"/>
      <c r="P118" s="88"/>
      <c r="Q118" s="88"/>
      <c r="R118" s="88"/>
      <c r="S118" s="88"/>
      <c r="T118" s="88"/>
      <c r="U118" s="88"/>
      <c r="V118" s="88"/>
      <c r="W118" s="88"/>
      <c r="X118" s="89"/>
      <c r="Y118" s="89"/>
      <c r="Z118" s="89"/>
      <c r="AA118" s="89"/>
      <c r="AB118" s="89"/>
      <c r="AC118" s="89"/>
      <c r="AD118" s="89"/>
      <c r="AE118" s="89"/>
      <c r="AF118" s="89"/>
      <c r="AG118" s="89"/>
      <c r="AH118" s="89"/>
      <c r="AI118" s="89"/>
      <c r="AJ118" s="89"/>
      <c r="AK118" s="65">
        <f t="shared" si="11"/>
        <v>0</v>
      </c>
      <c r="AL118" s="66" t="str">
        <f t="shared" si="10"/>
        <v>Tidak disarankan</v>
      </c>
      <c r="AM118" s="67" t="s">
        <v>235</v>
      </c>
      <c r="AN118" s="67" t="s">
        <v>235</v>
      </c>
      <c r="AO118" s="67" t="s">
        <v>235</v>
      </c>
      <c r="AP118" s="67" t="s">
        <v>236</v>
      </c>
      <c r="AQ118" s="67" t="s">
        <v>236</v>
      </c>
    </row>
    <row r="119" spans="1:43" ht="50" x14ac:dyDescent="0.35">
      <c r="A119" s="64">
        <v>117</v>
      </c>
      <c r="B119" s="67" t="s">
        <v>1186</v>
      </c>
      <c r="C119" s="67" t="str">
        <f t="shared" si="6"/>
        <v>Palangka Raya, 09 Maret 2001</v>
      </c>
      <c r="D119" s="67" t="str">
        <f t="shared" si="7"/>
        <v>S1 - Manajemen</v>
      </c>
      <c r="E119" s="66">
        <f t="shared" si="8"/>
        <v>123</v>
      </c>
      <c r="F119" s="66" t="str">
        <f t="shared" si="9"/>
        <v>Baik Sekali</v>
      </c>
      <c r="G119" s="88"/>
      <c r="H119" s="88"/>
      <c r="I119" s="88"/>
      <c r="J119" s="88"/>
      <c r="K119" s="88"/>
      <c r="L119" s="88"/>
      <c r="M119" s="88"/>
      <c r="N119" s="88"/>
      <c r="O119" s="88"/>
      <c r="P119" s="88"/>
      <c r="Q119" s="88"/>
      <c r="R119" s="88"/>
      <c r="S119" s="88"/>
      <c r="T119" s="88"/>
      <c r="U119" s="88"/>
      <c r="V119" s="88"/>
      <c r="W119" s="88"/>
      <c r="X119" s="89"/>
      <c r="Y119" s="89"/>
      <c r="Z119" s="89"/>
      <c r="AA119" s="89"/>
      <c r="AB119" s="89"/>
      <c r="AC119" s="89"/>
      <c r="AD119" s="89"/>
      <c r="AE119" s="89"/>
      <c r="AF119" s="89"/>
      <c r="AG119" s="89"/>
      <c r="AH119" s="89"/>
      <c r="AI119" s="89"/>
      <c r="AJ119" s="89"/>
      <c r="AK119" s="65">
        <f t="shared" si="11"/>
        <v>0</v>
      </c>
      <c r="AL119" s="66" t="str">
        <f t="shared" si="10"/>
        <v>Tidak disarankan</v>
      </c>
      <c r="AM119" s="67" t="s">
        <v>235</v>
      </c>
      <c r="AN119" s="67" t="s">
        <v>235</v>
      </c>
      <c r="AO119" s="67" t="s">
        <v>235</v>
      </c>
      <c r="AP119" s="67" t="s">
        <v>236</v>
      </c>
      <c r="AQ119" s="67" t="s">
        <v>236</v>
      </c>
    </row>
    <row r="120" spans="1:43" ht="50" x14ac:dyDescent="0.35">
      <c r="A120" s="64">
        <v>118</v>
      </c>
      <c r="B120" s="67" t="s">
        <v>1190</v>
      </c>
      <c r="C120" s="67" t="str">
        <f t="shared" si="6"/>
        <v>Palangka Raya, 13 Desember 1995</v>
      </c>
      <c r="D120" s="67" t="str">
        <f t="shared" si="7"/>
        <v>S1 - Akuntansi</v>
      </c>
      <c r="E120" s="66">
        <f t="shared" si="8"/>
        <v>115</v>
      </c>
      <c r="F120" s="66" t="str">
        <f t="shared" si="9"/>
        <v>Baik</v>
      </c>
      <c r="G120" s="88"/>
      <c r="H120" s="88"/>
      <c r="I120" s="88"/>
      <c r="J120" s="88"/>
      <c r="K120" s="88"/>
      <c r="L120" s="88"/>
      <c r="M120" s="88"/>
      <c r="N120" s="88"/>
      <c r="O120" s="88"/>
      <c r="P120" s="88"/>
      <c r="Q120" s="88"/>
      <c r="R120" s="88"/>
      <c r="S120" s="88"/>
      <c r="T120" s="88"/>
      <c r="U120" s="88"/>
      <c r="V120" s="88"/>
      <c r="W120" s="88"/>
      <c r="X120" s="89"/>
      <c r="Y120" s="89"/>
      <c r="Z120" s="89"/>
      <c r="AA120" s="89"/>
      <c r="AB120" s="89"/>
      <c r="AC120" s="89"/>
      <c r="AD120" s="89"/>
      <c r="AE120" s="89"/>
      <c r="AF120" s="89"/>
      <c r="AG120" s="89"/>
      <c r="AH120" s="89"/>
      <c r="AI120" s="89"/>
      <c r="AJ120" s="89"/>
      <c r="AK120" s="65">
        <f t="shared" si="11"/>
        <v>0</v>
      </c>
      <c r="AL120" s="66" t="str">
        <f t="shared" si="10"/>
        <v>Tidak disarankan</v>
      </c>
      <c r="AM120" s="67" t="s">
        <v>235</v>
      </c>
      <c r="AN120" s="67" t="s">
        <v>235</v>
      </c>
      <c r="AO120" s="67" t="s">
        <v>235</v>
      </c>
      <c r="AP120" s="67" t="s">
        <v>236</v>
      </c>
      <c r="AQ120" s="67" t="s">
        <v>236</v>
      </c>
    </row>
    <row r="121" spans="1:43" ht="50" x14ac:dyDescent="0.35">
      <c r="A121" s="64">
        <v>119</v>
      </c>
      <c r="B121" s="67" t="s">
        <v>372</v>
      </c>
      <c r="C121" s="67" t="str">
        <f t="shared" si="6"/>
        <v>Palangkaraya, 08 Juni 2001</v>
      </c>
      <c r="D121" s="67" t="str">
        <f t="shared" si="7"/>
        <v>D3 - Keperawatan</v>
      </c>
      <c r="E121" s="66">
        <f t="shared" si="8"/>
        <v>106</v>
      </c>
      <c r="F121" s="66" t="str">
        <f t="shared" si="9"/>
        <v>Rata-rata</v>
      </c>
      <c r="G121" s="88"/>
      <c r="H121" s="88"/>
      <c r="I121" s="88"/>
      <c r="J121" s="88"/>
      <c r="K121" s="88"/>
      <c r="L121" s="88"/>
      <c r="M121" s="88"/>
      <c r="N121" s="88"/>
      <c r="O121" s="88"/>
      <c r="P121" s="88"/>
      <c r="Q121" s="88"/>
      <c r="R121" s="88"/>
      <c r="S121" s="88"/>
      <c r="T121" s="88"/>
      <c r="U121" s="88"/>
      <c r="V121" s="88"/>
      <c r="W121" s="88"/>
      <c r="X121" s="89"/>
      <c r="Y121" s="89"/>
      <c r="Z121" s="89"/>
      <c r="AA121" s="89"/>
      <c r="AB121" s="89"/>
      <c r="AC121" s="89"/>
      <c r="AD121" s="89"/>
      <c r="AE121" s="89"/>
      <c r="AF121" s="89"/>
      <c r="AG121" s="89"/>
      <c r="AH121" s="89"/>
      <c r="AI121" s="89"/>
      <c r="AJ121" s="89"/>
      <c r="AK121" s="65">
        <f t="shared" si="11"/>
        <v>0</v>
      </c>
      <c r="AL121" s="66" t="str">
        <f t="shared" si="10"/>
        <v>Tidak disarankan</v>
      </c>
      <c r="AM121" s="67" t="s">
        <v>235</v>
      </c>
      <c r="AN121" s="67" t="s">
        <v>235</v>
      </c>
      <c r="AO121" s="67" t="s">
        <v>235</v>
      </c>
      <c r="AP121" s="67" t="s">
        <v>236</v>
      </c>
      <c r="AQ121" s="67" t="s">
        <v>236</v>
      </c>
    </row>
    <row r="122" spans="1:43" ht="50" x14ac:dyDescent="0.35">
      <c r="A122" s="64">
        <v>120</v>
      </c>
      <c r="B122" s="67" t="s">
        <v>240</v>
      </c>
      <c r="C122" s="67" t="str">
        <f t="shared" si="6"/>
        <v>Tarutung, 25 April 1998</v>
      </c>
      <c r="D122" s="67" t="str">
        <f t="shared" si="7"/>
        <v>S1 - Agroteknologi</v>
      </c>
      <c r="E122" s="66">
        <f t="shared" si="8"/>
        <v>113</v>
      </c>
      <c r="F122" s="66" t="str">
        <f t="shared" si="9"/>
        <v>Baik</v>
      </c>
      <c r="G122" s="88"/>
      <c r="H122" s="88"/>
      <c r="I122" s="88"/>
      <c r="J122" s="88"/>
      <c r="K122" s="88"/>
      <c r="L122" s="88"/>
      <c r="M122" s="88"/>
      <c r="N122" s="88"/>
      <c r="O122" s="88"/>
      <c r="P122" s="88"/>
      <c r="Q122" s="88"/>
      <c r="R122" s="88"/>
      <c r="S122" s="88"/>
      <c r="T122" s="88"/>
      <c r="U122" s="88"/>
      <c r="V122" s="88"/>
      <c r="W122" s="88"/>
      <c r="X122" s="89"/>
      <c r="Y122" s="89"/>
      <c r="Z122" s="89"/>
      <c r="AA122" s="89"/>
      <c r="AB122" s="89"/>
      <c r="AC122" s="89"/>
      <c r="AD122" s="89"/>
      <c r="AE122" s="89"/>
      <c r="AF122" s="89"/>
      <c r="AG122" s="89"/>
      <c r="AH122" s="89"/>
      <c r="AI122" s="89"/>
      <c r="AJ122" s="89"/>
      <c r="AK122" s="65">
        <f t="shared" si="11"/>
        <v>0</v>
      </c>
      <c r="AL122" s="66" t="str">
        <f t="shared" si="10"/>
        <v>Tidak disarankan</v>
      </c>
      <c r="AM122" s="67" t="s">
        <v>235</v>
      </c>
      <c r="AN122" s="67" t="s">
        <v>235</v>
      </c>
      <c r="AO122" s="67" t="s">
        <v>235</v>
      </c>
      <c r="AP122" s="67" t="s">
        <v>236</v>
      </c>
      <c r="AQ122" s="67" t="s">
        <v>236</v>
      </c>
    </row>
    <row r="123" spans="1:43" ht="50" x14ac:dyDescent="0.35">
      <c r="A123" s="64">
        <v>121</v>
      </c>
      <c r="B123" s="67" t="s">
        <v>670</v>
      </c>
      <c r="C123" s="67" t="str">
        <f t="shared" si="6"/>
        <v>Palangkaraya, 23 September 1999</v>
      </c>
      <c r="D123" s="67" t="str">
        <f t="shared" si="7"/>
        <v>S1 - Akuntansi</v>
      </c>
      <c r="E123" s="66">
        <f t="shared" si="8"/>
        <v>110</v>
      </c>
      <c r="F123" s="66" t="str">
        <f t="shared" si="9"/>
        <v>Baik</v>
      </c>
      <c r="G123" s="88"/>
      <c r="H123" s="88"/>
      <c r="I123" s="88"/>
      <c r="J123" s="88"/>
      <c r="K123" s="88"/>
      <c r="L123" s="88"/>
      <c r="M123" s="88"/>
      <c r="N123" s="88"/>
      <c r="O123" s="88"/>
      <c r="P123" s="88"/>
      <c r="Q123" s="88"/>
      <c r="R123" s="88"/>
      <c r="S123" s="88"/>
      <c r="T123" s="88"/>
      <c r="U123" s="88"/>
      <c r="V123" s="88"/>
      <c r="W123" s="88"/>
      <c r="X123" s="89"/>
      <c r="Y123" s="89"/>
      <c r="Z123" s="89"/>
      <c r="AA123" s="89"/>
      <c r="AB123" s="89"/>
      <c r="AC123" s="89"/>
      <c r="AD123" s="89"/>
      <c r="AE123" s="89"/>
      <c r="AF123" s="89"/>
      <c r="AG123" s="89"/>
      <c r="AH123" s="89"/>
      <c r="AI123" s="89"/>
      <c r="AJ123" s="89"/>
      <c r="AK123" s="65">
        <f t="shared" si="11"/>
        <v>0</v>
      </c>
      <c r="AL123" s="66" t="str">
        <f t="shared" si="10"/>
        <v>Tidak disarankan</v>
      </c>
      <c r="AM123" s="67" t="s">
        <v>235</v>
      </c>
      <c r="AN123" s="67" t="s">
        <v>235</v>
      </c>
      <c r="AO123" s="67" t="s">
        <v>235</v>
      </c>
      <c r="AP123" s="67" t="s">
        <v>236</v>
      </c>
      <c r="AQ123" s="67" t="s">
        <v>236</v>
      </c>
    </row>
    <row r="124" spans="1:43" ht="50" x14ac:dyDescent="0.35">
      <c r="A124" s="64">
        <v>122</v>
      </c>
      <c r="B124" s="67" t="s">
        <v>320</v>
      </c>
      <c r="C124" s="67" t="str">
        <f t="shared" si="6"/>
        <v>Samuda, 08 Februari 1999</v>
      </c>
      <c r="D124" s="67" t="str">
        <f t="shared" si="7"/>
        <v>S1 - Sistem Informasi</v>
      </c>
      <c r="E124" s="66">
        <f t="shared" si="8"/>
        <v>119</v>
      </c>
      <c r="F124" s="66" t="str">
        <f t="shared" si="9"/>
        <v>Baik</v>
      </c>
      <c r="G124" s="88"/>
      <c r="H124" s="88"/>
      <c r="I124" s="88"/>
      <c r="J124" s="88"/>
      <c r="K124" s="88"/>
      <c r="L124" s="88"/>
      <c r="M124" s="88"/>
      <c r="N124" s="88"/>
      <c r="O124" s="88"/>
      <c r="P124" s="88"/>
      <c r="Q124" s="88"/>
      <c r="R124" s="88"/>
      <c r="S124" s="88"/>
      <c r="T124" s="88"/>
      <c r="U124" s="88"/>
      <c r="V124" s="88"/>
      <c r="W124" s="88"/>
      <c r="X124" s="89"/>
      <c r="Y124" s="89"/>
      <c r="Z124" s="89"/>
      <c r="AA124" s="89"/>
      <c r="AB124" s="89"/>
      <c r="AC124" s="89"/>
      <c r="AD124" s="89"/>
      <c r="AE124" s="89"/>
      <c r="AF124" s="89"/>
      <c r="AG124" s="89"/>
      <c r="AH124" s="89"/>
      <c r="AI124" s="89"/>
      <c r="AJ124" s="89"/>
      <c r="AK124" s="65">
        <f t="shared" si="11"/>
        <v>0</v>
      </c>
      <c r="AL124" s="66" t="str">
        <f t="shared" si="10"/>
        <v>Tidak disarankan</v>
      </c>
      <c r="AM124" s="67" t="s">
        <v>235</v>
      </c>
      <c r="AN124" s="67" t="s">
        <v>235</v>
      </c>
      <c r="AO124" s="67" t="s">
        <v>235</v>
      </c>
      <c r="AP124" s="67" t="s">
        <v>236</v>
      </c>
      <c r="AQ124" s="67" t="s">
        <v>236</v>
      </c>
    </row>
    <row r="125" spans="1:43" ht="50" x14ac:dyDescent="0.35">
      <c r="A125" s="64">
        <v>123</v>
      </c>
      <c r="B125" s="67" t="s">
        <v>947</v>
      </c>
      <c r="C125" s="67" t="str">
        <f t="shared" si="6"/>
        <v>Palangkaraya, 16 Oktober 1997</v>
      </c>
      <c r="D125" s="67" t="str">
        <f t="shared" si="7"/>
        <v>S1 - Teknologi Informasi</v>
      </c>
      <c r="E125" s="66">
        <f t="shared" si="8"/>
        <v>88</v>
      </c>
      <c r="F125" s="66" t="str">
        <f t="shared" si="9"/>
        <v>Kurang</v>
      </c>
      <c r="G125" s="88"/>
      <c r="H125" s="88"/>
      <c r="I125" s="88"/>
      <c r="J125" s="88"/>
      <c r="K125" s="88"/>
      <c r="L125" s="88"/>
      <c r="M125" s="88"/>
      <c r="N125" s="88"/>
      <c r="O125" s="88"/>
      <c r="P125" s="88"/>
      <c r="Q125" s="88"/>
      <c r="R125" s="88"/>
      <c r="S125" s="88"/>
      <c r="T125" s="88"/>
      <c r="U125" s="88"/>
      <c r="V125" s="88"/>
      <c r="W125" s="88"/>
      <c r="X125" s="89"/>
      <c r="Y125" s="89"/>
      <c r="Z125" s="89"/>
      <c r="AA125" s="89"/>
      <c r="AB125" s="89"/>
      <c r="AC125" s="89"/>
      <c r="AD125" s="89"/>
      <c r="AE125" s="89"/>
      <c r="AF125" s="89"/>
      <c r="AG125" s="89"/>
      <c r="AH125" s="89"/>
      <c r="AI125" s="89"/>
      <c r="AJ125" s="89"/>
      <c r="AK125" s="65">
        <f t="shared" si="11"/>
        <v>0</v>
      </c>
      <c r="AL125" s="66" t="str">
        <f t="shared" si="10"/>
        <v>Tidak disarankan</v>
      </c>
      <c r="AM125" s="67" t="s">
        <v>235</v>
      </c>
      <c r="AN125" s="67" t="s">
        <v>235</v>
      </c>
      <c r="AO125" s="67" t="s">
        <v>235</v>
      </c>
      <c r="AP125" s="67" t="s">
        <v>236</v>
      </c>
      <c r="AQ125" s="67" t="s">
        <v>236</v>
      </c>
    </row>
    <row r="126" spans="1:43" ht="50" x14ac:dyDescent="0.35">
      <c r="A126" s="64">
        <v>124</v>
      </c>
      <c r="B126" s="67" t="s">
        <v>334</v>
      </c>
      <c r="C126" s="67" t="str">
        <f t="shared" si="6"/>
        <v>Palangka Raya, 26 November 1999</v>
      </c>
      <c r="D126" s="67" t="str">
        <f t="shared" si="7"/>
        <v>S1 - Perbankan Syariah</v>
      </c>
      <c r="E126" s="66">
        <f t="shared" si="8"/>
        <v>110</v>
      </c>
      <c r="F126" s="66" t="str">
        <f t="shared" si="9"/>
        <v>Baik</v>
      </c>
      <c r="G126" s="88"/>
      <c r="H126" s="88"/>
      <c r="I126" s="88"/>
      <c r="J126" s="88"/>
      <c r="K126" s="88"/>
      <c r="L126" s="88"/>
      <c r="M126" s="88"/>
      <c r="N126" s="88"/>
      <c r="O126" s="88"/>
      <c r="P126" s="88"/>
      <c r="Q126" s="88"/>
      <c r="R126" s="88"/>
      <c r="S126" s="88"/>
      <c r="T126" s="88"/>
      <c r="U126" s="88"/>
      <c r="V126" s="88"/>
      <c r="W126" s="88"/>
      <c r="X126" s="89"/>
      <c r="Y126" s="89"/>
      <c r="Z126" s="89"/>
      <c r="AA126" s="89"/>
      <c r="AB126" s="89"/>
      <c r="AC126" s="89"/>
      <c r="AD126" s="89"/>
      <c r="AE126" s="89"/>
      <c r="AF126" s="89"/>
      <c r="AG126" s="89"/>
      <c r="AH126" s="89"/>
      <c r="AI126" s="89"/>
      <c r="AJ126" s="89"/>
      <c r="AK126" s="65">
        <f t="shared" si="11"/>
        <v>0</v>
      </c>
      <c r="AL126" s="66" t="str">
        <f t="shared" si="10"/>
        <v>Tidak disarankan</v>
      </c>
      <c r="AM126" s="67" t="s">
        <v>235</v>
      </c>
      <c r="AN126" s="67" t="s">
        <v>235</v>
      </c>
      <c r="AO126" s="67" t="s">
        <v>235</v>
      </c>
      <c r="AP126" s="67" t="s">
        <v>236</v>
      </c>
      <c r="AQ126" s="67" t="s">
        <v>236</v>
      </c>
    </row>
    <row r="127" spans="1:43" ht="50" x14ac:dyDescent="0.35">
      <c r="A127" s="64">
        <v>125</v>
      </c>
      <c r="B127" s="67" t="s">
        <v>1223</v>
      </c>
      <c r="C127" s="67" t="str">
        <f t="shared" si="6"/>
        <v>Palangka Raya, 19 September 2001</v>
      </c>
      <c r="D127" s="67" t="str">
        <f t="shared" si="7"/>
        <v>S1 - Akuntansi</v>
      </c>
      <c r="E127" s="66">
        <f t="shared" si="8"/>
        <v>115</v>
      </c>
      <c r="F127" s="66" t="str">
        <f t="shared" si="9"/>
        <v>Baik</v>
      </c>
      <c r="G127" s="88"/>
      <c r="H127" s="88"/>
      <c r="I127" s="88"/>
      <c r="J127" s="88"/>
      <c r="K127" s="88"/>
      <c r="L127" s="88"/>
      <c r="M127" s="88"/>
      <c r="N127" s="88"/>
      <c r="O127" s="88"/>
      <c r="P127" s="88"/>
      <c r="Q127" s="88"/>
      <c r="R127" s="88"/>
      <c r="S127" s="88"/>
      <c r="T127" s="88"/>
      <c r="U127" s="88"/>
      <c r="V127" s="88"/>
      <c r="W127" s="88"/>
      <c r="X127" s="89"/>
      <c r="Y127" s="89"/>
      <c r="Z127" s="89"/>
      <c r="AA127" s="89"/>
      <c r="AB127" s="89"/>
      <c r="AC127" s="89"/>
      <c r="AD127" s="89"/>
      <c r="AE127" s="89"/>
      <c r="AF127" s="89"/>
      <c r="AG127" s="89"/>
      <c r="AH127" s="89"/>
      <c r="AI127" s="89"/>
      <c r="AJ127" s="89"/>
      <c r="AK127" s="65">
        <f t="shared" si="11"/>
        <v>0</v>
      </c>
      <c r="AL127" s="66" t="str">
        <f t="shared" si="10"/>
        <v>Tidak disarankan</v>
      </c>
      <c r="AM127" s="67" t="s">
        <v>235</v>
      </c>
      <c r="AN127" s="67" t="s">
        <v>235</v>
      </c>
      <c r="AO127" s="67" t="s">
        <v>235</v>
      </c>
      <c r="AP127" s="67" t="s">
        <v>236</v>
      </c>
      <c r="AQ127" s="67" t="s">
        <v>236</v>
      </c>
    </row>
    <row r="128" spans="1:43" ht="50" x14ac:dyDescent="0.35">
      <c r="A128" s="64">
        <v>126</v>
      </c>
      <c r="B128" s="67" t="s">
        <v>375</v>
      </c>
      <c r="C128" s="67" t="str">
        <f t="shared" si="6"/>
        <v>Biak, 26 Juli 1998</v>
      </c>
      <c r="D128" s="67" t="str">
        <f t="shared" si="7"/>
        <v>S1 - Ilmu Administrasi Negara</v>
      </c>
      <c r="E128" s="66">
        <f t="shared" si="8"/>
        <v>119</v>
      </c>
      <c r="F128" s="66" t="str">
        <f t="shared" si="9"/>
        <v>Baik</v>
      </c>
      <c r="G128" s="88"/>
      <c r="H128" s="88"/>
      <c r="I128" s="88"/>
      <c r="J128" s="88"/>
      <c r="K128" s="88"/>
      <c r="L128" s="88"/>
      <c r="M128" s="88"/>
      <c r="N128" s="88"/>
      <c r="O128" s="88"/>
      <c r="P128" s="88"/>
      <c r="Q128" s="88"/>
      <c r="R128" s="88"/>
      <c r="S128" s="88"/>
      <c r="T128" s="88"/>
      <c r="U128" s="88"/>
      <c r="V128" s="88"/>
      <c r="W128" s="88"/>
      <c r="X128" s="89"/>
      <c r="Y128" s="89"/>
      <c r="Z128" s="89"/>
      <c r="AA128" s="89"/>
      <c r="AB128" s="89"/>
      <c r="AC128" s="89"/>
      <c r="AD128" s="89"/>
      <c r="AE128" s="89"/>
      <c r="AF128" s="89"/>
      <c r="AG128" s="89"/>
      <c r="AH128" s="89"/>
      <c r="AI128" s="89"/>
      <c r="AJ128" s="89"/>
      <c r="AK128" s="65">
        <f t="shared" si="11"/>
        <v>0</v>
      </c>
      <c r="AL128" s="66" t="str">
        <f t="shared" si="10"/>
        <v>Tidak disarankan</v>
      </c>
      <c r="AM128" s="67" t="s">
        <v>235</v>
      </c>
      <c r="AN128" s="67" t="s">
        <v>235</v>
      </c>
      <c r="AO128" s="67" t="s">
        <v>235</v>
      </c>
      <c r="AP128" s="67" t="s">
        <v>236</v>
      </c>
      <c r="AQ128" s="67" t="s">
        <v>236</v>
      </c>
    </row>
    <row r="129" spans="1:43" ht="50" x14ac:dyDescent="0.35">
      <c r="A129" s="64">
        <v>127</v>
      </c>
      <c r="B129" s="67" t="s">
        <v>677</v>
      </c>
      <c r="C129" s="67" t="str">
        <f t="shared" si="6"/>
        <v>Buntok, 26 Juni 2000</v>
      </c>
      <c r="D129" s="67" t="str">
        <f t="shared" si="7"/>
        <v>S1 - Teknik Informatika</v>
      </c>
      <c r="E129" s="66">
        <f t="shared" si="8"/>
        <v>124</v>
      </c>
      <c r="F129" s="66" t="str">
        <f t="shared" si="9"/>
        <v>Baik Sekali</v>
      </c>
      <c r="G129" s="88"/>
      <c r="H129" s="88"/>
      <c r="I129" s="88"/>
      <c r="J129" s="88"/>
      <c r="K129" s="88"/>
      <c r="L129" s="88"/>
      <c r="M129" s="88"/>
      <c r="N129" s="88"/>
      <c r="O129" s="88"/>
      <c r="P129" s="88"/>
      <c r="Q129" s="88"/>
      <c r="R129" s="88"/>
      <c r="S129" s="88"/>
      <c r="T129" s="88"/>
      <c r="U129" s="88"/>
      <c r="V129" s="88"/>
      <c r="W129" s="88"/>
      <c r="X129" s="89"/>
      <c r="Y129" s="89"/>
      <c r="Z129" s="89"/>
      <c r="AA129" s="89"/>
      <c r="AB129" s="89"/>
      <c r="AC129" s="89"/>
      <c r="AD129" s="89"/>
      <c r="AE129" s="89"/>
      <c r="AF129" s="89"/>
      <c r="AG129" s="89"/>
      <c r="AH129" s="89"/>
      <c r="AI129" s="89"/>
      <c r="AJ129" s="89"/>
      <c r="AK129" s="65">
        <f t="shared" si="11"/>
        <v>0</v>
      </c>
      <c r="AL129" s="66" t="str">
        <f t="shared" si="10"/>
        <v>Tidak disarankan</v>
      </c>
      <c r="AM129" s="67" t="s">
        <v>235</v>
      </c>
      <c r="AN129" s="67" t="s">
        <v>235</v>
      </c>
      <c r="AO129" s="67" t="s">
        <v>235</v>
      </c>
      <c r="AP129" s="67" t="s">
        <v>236</v>
      </c>
      <c r="AQ129" s="67" t="s">
        <v>236</v>
      </c>
    </row>
    <row r="130" spans="1:43" ht="50" x14ac:dyDescent="0.35">
      <c r="A130" s="64">
        <v>128</v>
      </c>
      <c r="B130" s="67" t="s">
        <v>277</v>
      </c>
      <c r="C130" s="67" t="str">
        <f t="shared" si="6"/>
        <v>Buntok, 10 Oktober 1998</v>
      </c>
      <c r="D130" s="67" t="str">
        <f t="shared" si="7"/>
        <v>S1 - Pendidikan Bahasa Inggris</v>
      </c>
      <c r="E130" s="66">
        <f t="shared" si="8"/>
        <v>110</v>
      </c>
      <c r="F130" s="66" t="str">
        <f t="shared" si="9"/>
        <v>Baik</v>
      </c>
      <c r="G130" s="88"/>
      <c r="H130" s="88"/>
      <c r="I130" s="88"/>
      <c r="J130" s="88"/>
      <c r="K130" s="88"/>
      <c r="L130" s="88"/>
      <c r="M130" s="88"/>
      <c r="N130" s="88"/>
      <c r="O130" s="88"/>
      <c r="P130" s="88"/>
      <c r="Q130" s="88"/>
      <c r="R130" s="88"/>
      <c r="S130" s="88"/>
      <c r="T130" s="88"/>
      <c r="U130" s="88"/>
      <c r="V130" s="88"/>
      <c r="W130" s="88"/>
      <c r="X130" s="89"/>
      <c r="Y130" s="89"/>
      <c r="Z130" s="89"/>
      <c r="AA130" s="89"/>
      <c r="AB130" s="89"/>
      <c r="AC130" s="89"/>
      <c r="AD130" s="89"/>
      <c r="AE130" s="89"/>
      <c r="AF130" s="89"/>
      <c r="AG130" s="89"/>
      <c r="AH130" s="89"/>
      <c r="AI130" s="89"/>
      <c r="AJ130" s="89"/>
      <c r="AK130" s="65">
        <f t="shared" si="11"/>
        <v>0</v>
      </c>
      <c r="AL130" s="66" t="str">
        <f t="shared" si="10"/>
        <v>Tidak disarankan</v>
      </c>
      <c r="AM130" s="67" t="s">
        <v>235</v>
      </c>
      <c r="AN130" s="67" t="s">
        <v>235</v>
      </c>
      <c r="AO130" s="67" t="s">
        <v>235</v>
      </c>
      <c r="AP130" s="67" t="s">
        <v>236</v>
      </c>
      <c r="AQ130" s="67" t="s">
        <v>236</v>
      </c>
    </row>
    <row r="131" spans="1:43" ht="50" x14ac:dyDescent="0.35">
      <c r="A131" s="64">
        <v>129</v>
      </c>
      <c r="B131" s="67" t="s">
        <v>717</v>
      </c>
      <c r="C131" s="67" t="str">
        <f t="shared" ref="C131:C194" si="12">VLOOKUP(B131,datadiri,3,FALSE)</f>
        <v>Sungai Jaya, 30 Mei 1998</v>
      </c>
      <c r="D131" s="67" t="str">
        <f t="shared" ref="D131:D194" si="13">VLOOKUP(B131,datadiri,4,FALSE)</f>
        <v>S1 - Hukum Pidana</v>
      </c>
      <c r="E131" s="66">
        <f t="shared" ref="E131:E194" si="14">VLOOKUP(B131,tiunam,2,FALSE)</f>
        <v>115</v>
      </c>
      <c r="F131" s="66" t="str">
        <f t="shared" ref="F131:F194" si="15">VLOOKUP(B131,tiunam,3,FALSE)</f>
        <v>Baik</v>
      </c>
      <c r="G131" s="88"/>
      <c r="H131" s="88"/>
      <c r="I131" s="88"/>
      <c r="J131" s="88"/>
      <c r="K131" s="88"/>
      <c r="L131" s="88"/>
      <c r="M131" s="88"/>
      <c r="N131" s="88"/>
      <c r="O131" s="88"/>
      <c r="P131" s="88"/>
      <c r="Q131" s="88"/>
      <c r="R131" s="88"/>
      <c r="S131" s="88"/>
      <c r="T131" s="88"/>
      <c r="U131" s="88"/>
      <c r="V131" s="88"/>
      <c r="W131" s="88"/>
      <c r="X131" s="89"/>
      <c r="Y131" s="89"/>
      <c r="Z131" s="89"/>
      <c r="AA131" s="89"/>
      <c r="AB131" s="89"/>
      <c r="AC131" s="89"/>
      <c r="AD131" s="89"/>
      <c r="AE131" s="89"/>
      <c r="AF131" s="89"/>
      <c r="AG131" s="89"/>
      <c r="AH131" s="89"/>
      <c r="AI131" s="89"/>
      <c r="AJ131" s="89"/>
      <c r="AK131" s="65">
        <f t="shared" si="11"/>
        <v>0</v>
      </c>
      <c r="AL131" s="66" t="str">
        <f t="shared" ref="AL131:AL194" si="16">VLOOKUP(AK131,judge,2,TRUE)</f>
        <v>Tidak disarankan</v>
      </c>
      <c r="AM131" s="67" t="s">
        <v>235</v>
      </c>
      <c r="AN131" s="67" t="s">
        <v>235</v>
      </c>
      <c r="AO131" s="67" t="s">
        <v>235</v>
      </c>
      <c r="AP131" s="67" t="s">
        <v>236</v>
      </c>
      <c r="AQ131" s="67" t="s">
        <v>236</v>
      </c>
    </row>
    <row r="132" spans="1:43" ht="50" x14ac:dyDescent="0.35">
      <c r="A132" s="64">
        <v>130</v>
      </c>
      <c r="B132" s="67" t="s">
        <v>1002</v>
      </c>
      <c r="C132" s="67" t="str">
        <f t="shared" si="12"/>
        <v>Sampit, 15 Mei 1998</v>
      </c>
      <c r="D132" s="67" t="str">
        <f t="shared" si="13"/>
        <v>S1 - Ekonomi Pembangunan</v>
      </c>
      <c r="E132" s="66">
        <f t="shared" si="14"/>
        <v>113</v>
      </c>
      <c r="F132" s="66" t="str">
        <f t="shared" si="15"/>
        <v>Baik</v>
      </c>
      <c r="G132" s="88"/>
      <c r="H132" s="88"/>
      <c r="I132" s="88"/>
      <c r="J132" s="88"/>
      <c r="K132" s="88"/>
      <c r="L132" s="88"/>
      <c r="M132" s="88"/>
      <c r="N132" s="88"/>
      <c r="O132" s="88"/>
      <c r="P132" s="88"/>
      <c r="Q132" s="88"/>
      <c r="R132" s="88"/>
      <c r="S132" s="88"/>
      <c r="T132" s="88"/>
      <c r="U132" s="88"/>
      <c r="V132" s="88"/>
      <c r="W132" s="88"/>
      <c r="X132" s="89"/>
      <c r="Y132" s="89"/>
      <c r="Z132" s="89"/>
      <c r="AA132" s="89"/>
      <c r="AB132" s="89"/>
      <c r="AC132" s="89"/>
      <c r="AD132" s="89"/>
      <c r="AE132" s="89"/>
      <c r="AF132" s="89"/>
      <c r="AG132" s="89"/>
      <c r="AH132" s="89"/>
      <c r="AI132" s="89"/>
      <c r="AJ132" s="89"/>
      <c r="AK132" s="65">
        <f t="shared" ref="AK132:AK195" si="17">SUM(X132:AJ132)/29</f>
        <v>0</v>
      </c>
      <c r="AL132" s="66" t="str">
        <f t="shared" si="16"/>
        <v>Tidak disarankan</v>
      </c>
      <c r="AM132" s="67" t="s">
        <v>235</v>
      </c>
      <c r="AN132" s="67" t="s">
        <v>235</v>
      </c>
      <c r="AO132" s="67" t="s">
        <v>235</v>
      </c>
      <c r="AP132" s="67" t="s">
        <v>236</v>
      </c>
      <c r="AQ132" s="67" t="s">
        <v>236</v>
      </c>
    </row>
    <row r="133" spans="1:43" ht="50" x14ac:dyDescent="0.35">
      <c r="A133" s="64">
        <v>131</v>
      </c>
      <c r="B133" s="67" t="s">
        <v>1121</v>
      </c>
      <c r="C133" s="67" t="str">
        <f t="shared" si="12"/>
        <v>Kuala Kapuas, 18 November 2000</v>
      </c>
      <c r="D133" s="67" t="str">
        <f t="shared" si="13"/>
        <v>S1 - Manajemen</v>
      </c>
      <c r="E133" s="66">
        <f t="shared" si="14"/>
        <v>113</v>
      </c>
      <c r="F133" s="66" t="str">
        <f t="shared" si="15"/>
        <v>Baik</v>
      </c>
      <c r="G133" s="88"/>
      <c r="H133" s="88"/>
      <c r="I133" s="88"/>
      <c r="J133" s="88"/>
      <c r="K133" s="88"/>
      <c r="L133" s="88"/>
      <c r="M133" s="88"/>
      <c r="N133" s="88"/>
      <c r="O133" s="88"/>
      <c r="P133" s="88"/>
      <c r="Q133" s="88"/>
      <c r="R133" s="88"/>
      <c r="S133" s="88"/>
      <c r="T133" s="88"/>
      <c r="U133" s="88"/>
      <c r="V133" s="88"/>
      <c r="W133" s="88"/>
      <c r="X133" s="89"/>
      <c r="Y133" s="89"/>
      <c r="Z133" s="89"/>
      <c r="AA133" s="89"/>
      <c r="AB133" s="89"/>
      <c r="AC133" s="89"/>
      <c r="AD133" s="89"/>
      <c r="AE133" s="89"/>
      <c r="AF133" s="89"/>
      <c r="AG133" s="89"/>
      <c r="AH133" s="89"/>
      <c r="AI133" s="89"/>
      <c r="AJ133" s="89"/>
      <c r="AK133" s="65">
        <f t="shared" si="17"/>
        <v>0</v>
      </c>
      <c r="AL133" s="66" t="str">
        <f t="shared" si="16"/>
        <v>Tidak disarankan</v>
      </c>
      <c r="AM133" s="67" t="s">
        <v>235</v>
      </c>
      <c r="AN133" s="67" t="s">
        <v>235</v>
      </c>
      <c r="AO133" s="67" t="s">
        <v>235</v>
      </c>
      <c r="AP133" s="67" t="s">
        <v>236</v>
      </c>
      <c r="AQ133" s="67" t="s">
        <v>236</v>
      </c>
    </row>
    <row r="134" spans="1:43" ht="50" x14ac:dyDescent="0.35">
      <c r="A134" s="64">
        <v>132</v>
      </c>
      <c r="B134" s="67" t="s">
        <v>659</v>
      </c>
      <c r="C134" s="67" t="str">
        <f t="shared" si="12"/>
        <v>Palangkaraya, 12 Juli 2001</v>
      </c>
      <c r="D134" s="67" t="str">
        <f t="shared" si="13"/>
        <v>D3 - Akuntansi</v>
      </c>
      <c r="E134" s="66">
        <f t="shared" si="14"/>
        <v>116</v>
      </c>
      <c r="F134" s="66" t="str">
        <f t="shared" si="15"/>
        <v>Baik</v>
      </c>
      <c r="G134" s="88"/>
      <c r="H134" s="88"/>
      <c r="I134" s="88"/>
      <c r="J134" s="88"/>
      <c r="K134" s="88"/>
      <c r="L134" s="88"/>
      <c r="M134" s="88"/>
      <c r="N134" s="88"/>
      <c r="O134" s="88"/>
      <c r="P134" s="88"/>
      <c r="Q134" s="88"/>
      <c r="R134" s="88"/>
      <c r="S134" s="88"/>
      <c r="T134" s="88"/>
      <c r="U134" s="88"/>
      <c r="V134" s="88"/>
      <c r="W134" s="88"/>
      <c r="X134" s="89"/>
      <c r="Y134" s="89"/>
      <c r="Z134" s="89"/>
      <c r="AA134" s="89"/>
      <c r="AB134" s="89"/>
      <c r="AC134" s="89"/>
      <c r="AD134" s="89"/>
      <c r="AE134" s="89"/>
      <c r="AF134" s="89"/>
      <c r="AG134" s="89"/>
      <c r="AH134" s="89"/>
      <c r="AI134" s="89"/>
      <c r="AJ134" s="89"/>
      <c r="AK134" s="65">
        <f t="shared" si="17"/>
        <v>0</v>
      </c>
      <c r="AL134" s="66" t="str">
        <f t="shared" si="16"/>
        <v>Tidak disarankan</v>
      </c>
      <c r="AM134" s="67" t="s">
        <v>235</v>
      </c>
      <c r="AN134" s="67" t="s">
        <v>235</v>
      </c>
      <c r="AO134" s="67" t="s">
        <v>235</v>
      </c>
      <c r="AP134" s="67" t="s">
        <v>236</v>
      </c>
      <c r="AQ134" s="67" t="s">
        <v>236</v>
      </c>
    </row>
    <row r="135" spans="1:43" ht="50" x14ac:dyDescent="0.35">
      <c r="A135" s="64">
        <v>133</v>
      </c>
      <c r="B135" s="67" t="s">
        <v>366</v>
      </c>
      <c r="C135" s="67" t="str">
        <f t="shared" si="12"/>
        <v>Palangka Raya, 31 Oktober 1997</v>
      </c>
      <c r="D135" s="67" t="str">
        <f t="shared" si="13"/>
        <v>S1 - Akuntansi</v>
      </c>
      <c r="E135" s="66">
        <f t="shared" si="14"/>
        <v>118</v>
      </c>
      <c r="F135" s="66" t="str">
        <f t="shared" si="15"/>
        <v>Baik</v>
      </c>
      <c r="G135" s="88"/>
      <c r="H135" s="88"/>
      <c r="I135" s="88"/>
      <c r="J135" s="88"/>
      <c r="K135" s="88"/>
      <c r="L135" s="88"/>
      <c r="M135" s="88"/>
      <c r="N135" s="88"/>
      <c r="O135" s="88"/>
      <c r="P135" s="88"/>
      <c r="Q135" s="88"/>
      <c r="R135" s="88"/>
      <c r="S135" s="88"/>
      <c r="T135" s="88"/>
      <c r="U135" s="88"/>
      <c r="V135" s="88"/>
      <c r="W135" s="88"/>
      <c r="X135" s="89"/>
      <c r="Y135" s="89"/>
      <c r="Z135" s="89"/>
      <c r="AA135" s="89"/>
      <c r="AB135" s="89"/>
      <c r="AC135" s="89"/>
      <c r="AD135" s="89"/>
      <c r="AE135" s="89"/>
      <c r="AF135" s="89"/>
      <c r="AG135" s="89"/>
      <c r="AH135" s="89"/>
      <c r="AI135" s="89"/>
      <c r="AJ135" s="89"/>
      <c r="AK135" s="65">
        <f t="shared" si="17"/>
        <v>0</v>
      </c>
      <c r="AL135" s="66" t="str">
        <f t="shared" si="16"/>
        <v>Tidak disarankan</v>
      </c>
      <c r="AM135" s="67" t="s">
        <v>235</v>
      </c>
      <c r="AN135" s="67" t="s">
        <v>235</v>
      </c>
      <c r="AO135" s="67" t="s">
        <v>235</v>
      </c>
      <c r="AP135" s="67" t="s">
        <v>236</v>
      </c>
      <c r="AQ135" s="67" t="s">
        <v>236</v>
      </c>
    </row>
    <row r="136" spans="1:43" ht="50" x14ac:dyDescent="0.35">
      <c r="A136" s="64">
        <v>134</v>
      </c>
      <c r="B136" s="67" t="s">
        <v>269</v>
      </c>
      <c r="C136" s="67" t="str">
        <f t="shared" si="12"/>
        <v>Pangkalan Bun, 27 September 1998</v>
      </c>
      <c r="D136" s="67" t="str">
        <f t="shared" si="13"/>
        <v>S1 - Pendidikan Bahasa Inggris</v>
      </c>
      <c r="E136" s="66">
        <f t="shared" si="14"/>
        <v>106</v>
      </c>
      <c r="F136" s="66" t="str">
        <f t="shared" si="15"/>
        <v>Rata-rata</v>
      </c>
      <c r="G136" s="88"/>
      <c r="H136" s="88"/>
      <c r="I136" s="88"/>
      <c r="J136" s="88"/>
      <c r="K136" s="88"/>
      <c r="L136" s="88"/>
      <c r="M136" s="88"/>
      <c r="N136" s="88"/>
      <c r="O136" s="88"/>
      <c r="P136" s="88"/>
      <c r="Q136" s="88"/>
      <c r="R136" s="88"/>
      <c r="S136" s="88"/>
      <c r="T136" s="88"/>
      <c r="U136" s="88"/>
      <c r="V136" s="88"/>
      <c r="W136" s="88"/>
      <c r="X136" s="89"/>
      <c r="Y136" s="89"/>
      <c r="Z136" s="89"/>
      <c r="AA136" s="89"/>
      <c r="AB136" s="89"/>
      <c r="AC136" s="89"/>
      <c r="AD136" s="89"/>
      <c r="AE136" s="89"/>
      <c r="AF136" s="89"/>
      <c r="AG136" s="89"/>
      <c r="AH136" s="89"/>
      <c r="AI136" s="89"/>
      <c r="AJ136" s="89"/>
      <c r="AK136" s="65">
        <f t="shared" si="17"/>
        <v>0</v>
      </c>
      <c r="AL136" s="66" t="str">
        <f t="shared" si="16"/>
        <v>Tidak disarankan</v>
      </c>
      <c r="AM136" s="67" t="s">
        <v>235</v>
      </c>
      <c r="AN136" s="67" t="s">
        <v>235</v>
      </c>
      <c r="AO136" s="67" t="s">
        <v>235</v>
      </c>
      <c r="AP136" s="67" t="s">
        <v>236</v>
      </c>
      <c r="AQ136" s="67" t="s">
        <v>236</v>
      </c>
    </row>
    <row r="137" spans="1:43" ht="50" x14ac:dyDescent="0.35">
      <c r="A137" s="64">
        <v>135</v>
      </c>
      <c r="B137" s="67" t="s">
        <v>301</v>
      </c>
      <c r="C137" s="67" t="str">
        <f t="shared" si="12"/>
        <v>Palangka Raya, 31 Desember 1999</v>
      </c>
      <c r="D137" s="67" t="str">
        <f t="shared" si="13"/>
        <v>S1 - Ilmu Hukum Tata Negara</v>
      </c>
      <c r="E137" s="66">
        <f t="shared" si="14"/>
        <v>111</v>
      </c>
      <c r="F137" s="66" t="str">
        <f t="shared" si="15"/>
        <v>Baik</v>
      </c>
      <c r="G137" s="88"/>
      <c r="H137" s="88"/>
      <c r="I137" s="88"/>
      <c r="J137" s="88"/>
      <c r="K137" s="88"/>
      <c r="L137" s="88"/>
      <c r="M137" s="88"/>
      <c r="N137" s="88"/>
      <c r="O137" s="88"/>
      <c r="P137" s="88"/>
      <c r="Q137" s="88"/>
      <c r="R137" s="88"/>
      <c r="S137" s="88"/>
      <c r="T137" s="88"/>
      <c r="U137" s="88"/>
      <c r="V137" s="88"/>
      <c r="W137" s="88"/>
      <c r="X137" s="89"/>
      <c r="Y137" s="89"/>
      <c r="Z137" s="89"/>
      <c r="AA137" s="89"/>
      <c r="AB137" s="89"/>
      <c r="AC137" s="89"/>
      <c r="AD137" s="89"/>
      <c r="AE137" s="89"/>
      <c r="AF137" s="89"/>
      <c r="AG137" s="89"/>
      <c r="AH137" s="89"/>
      <c r="AI137" s="89"/>
      <c r="AJ137" s="89"/>
      <c r="AK137" s="65">
        <f t="shared" si="17"/>
        <v>0</v>
      </c>
      <c r="AL137" s="66" t="str">
        <f t="shared" si="16"/>
        <v>Tidak disarankan</v>
      </c>
      <c r="AM137" s="67" t="s">
        <v>235</v>
      </c>
      <c r="AN137" s="67" t="s">
        <v>235</v>
      </c>
      <c r="AO137" s="67" t="s">
        <v>235</v>
      </c>
      <c r="AP137" s="67" t="s">
        <v>236</v>
      </c>
      <c r="AQ137" s="67" t="s">
        <v>236</v>
      </c>
    </row>
    <row r="138" spans="1:43" ht="50" x14ac:dyDescent="0.35">
      <c r="A138" s="64">
        <v>136</v>
      </c>
      <c r="B138" s="67" t="s">
        <v>982</v>
      </c>
      <c r="C138" s="67" t="str">
        <f t="shared" si="12"/>
        <v>Banjarnegara, 19 Oktober 1997</v>
      </c>
      <c r="D138" s="67" t="str">
        <f t="shared" si="13"/>
        <v>S1 - Pendidikan Fisika</v>
      </c>
      <c r="E138" s="66">
        <f t="shared" si="14"/>
        <v>93</v>
      </c>
      <c r="F138" s="66" t="str">
        <f t="shared" si="15"/>
        <v>Rata-rata</v>
      </c>
      <c r="G138" s="88"/>
      <c r="H138" s="88"/>
      <c r="I138" s="88"/>
      <c r="J138" s="88"/>
      <c r="K138" s="88"/>
      <c r="L138" s="88"/>
      <c r="M138" s="88"/>
      <c r="N138" s="88"/>
      <c r="O138" s="88"/>
      <c r="P138" s="88"/>
      <c r="Q138" s="88"/>
      <c r="R138" s="88"/>
      <c r="S138" s="88"/>
      <c r="T138" s="88"/>
      <c r="U138" s="88"/>
      <c r="V138" s="88"/>
      <c r="W138" s="88"/>
      <c r="X138" s="89"/>
      <c r="Y138" s="89"/>
      <c r="Z138" s="89"/>
      <c r="AA138" s="89"/>
      <c r="AB138" s="89"/>
      <c r="AC138" s="89"/>
      <c r="AD138" s="89"/>
      <c r="AE138" s="89"/>
      <c r="AF138" s="89"/>
      <c r="AG138" s="89"/>
      <c r="AH138" s="89"/>
      <c r="AI138" s="89"/>
      <c r="AJ138" s="89"/>
      <c r="AK138" s="65">
        <f t="shared" si="17"/>
        <v>0</v>
      </c>
      <c r="AL138" s="66" t="str">
        <f t="shared" si="16"/>
        <v>Tidak disarankan</v>
      </c>
      <c r="AM138" s="67" t="s">
        <v>235</v>
      </c>
      <c r="AN138" s="67" t="s">
        <v>235</v>
      </c>
      <c r="AO138" s="67" t="s">
        <v>235</v>
      </c>
      <c r="AP138" s="67" t="s">
        <v>236</v>
      </c>
      <c r="AQ138" s="67" t="s">
        <v>236</v>
      </c>
    </row>
    <row r="139" spans="1:43" ht="50" x14ac:dyDescent="0.35">
      <c r="A139" s="64">
        <v>137</v>
      </c>
      <c r="B139" s="67" t="s">
        <v>716</v>
      </c>
      <c r="C139" s="67" t="str">
        <f t="shared" si="12"/>
        <v>Kuala Kapuas, 28 November 1997</v>
      </c>
      <c r="D139" s="67" t="str">
        <f t="shared" si="13"/>
        <v>S1 - Hukum</v>
      </c>
      <c r="E139" s="66">
        <f t="shared" si="14"/>
        <v>98</v>
      </c>
      <c r="F139" s="66" t="str">
        <f t="shared" si="15"/>
        <v>Rata-rata</v>
      </c>
      <c r="G139" s="88"/>
      <c r="H139" s="88"/>
      <c r="I139" s="88"/>
      <c r="J139" s="88"/>
      <c r="K139" s="88"/>
      <c r="L139" s="88"/>
      <c r="M139" s="88"/>
      <c r="N139" s="88"/>
      <c r="O139" s="88"/>
      <c r="P139" s="88"/>
      <c r="Q139" s="88"/>
      <c r="R139" s="88"/>
      <c r="S139" s="88"/>
      <c r="T139" s="88"/>
      <c r="U139" s="88"/>
      <c r="V139" s="88"/>
      <c r="W139" s="88"/>
      <c r="X139" s="89"/>
      <c r="Y139" s="89"/>
      <c r="Z139" s="89"/>
      <c r="AA139" s="89"/>
      <c r="AB139" s="89"/>
      <c r="AC139" s="89"/>
      <c r="AD139" s="89"/>
      <c r="AE139" s="89"/>
      <c r="AF139" s="89"/>
      <c r="AG139" s="89"/>
      <c r="AH139" s="89"/>
      <c r="AI139" s="89"/>
      <c r="AJ139" s="89"/>
      <c r="AK139" s="65">
        <f t="shared" si="17"/>
        <v>0</v>
      </c>
      <c r="AL139" s="66" t="str">
        <f t="shared" si="16"/>
        <v>Tidak disarankan</v>
      </c>
      <c r="AM139" s="67" t="s">
        <v>235</v>
      </c>
      <c r="AN139" s="67" t="s">
        <v>235</v>
      </c>
      <c r="AO139" s="67" t="s">
        <v>235</v>
      </c>
      <c r="AP139" s="67" t="s">
        <v>236</v>
      </c>
      <c r="AQ139" s="67" t="s">
        <v>236</v>
      </c>
    </row>
    <row r="140" spans="1:43" ht="50" x14ac:dyDescent="0.35">
      <c r="A140" s="64">
        <v>138</v>
      </c>
      <c r="B140" s="67" t="s">
        <v>313</v>
      </c>
      <c r="C140" s="67" t="str">
        <f t="shared" si="12"/>
        <v>Bandung, 15 Januari 1997</v>
      </c>
      <c r="D140" s="67" t="str">
        <f t="shared" si="13"/>
        <v>S2 - Teknik Sipil</v>
      </c>
      <c r="E140" s="66">
        <f t="shared" si="14"/>
        <v>86</v>
      </c>
      <c r="F140" s="66" t="str">
        <f t="shared" si="15"/>
        <v>Kurang</v>
      </c>
      <c r="G140" s="88"/>
      <c r="H140" s="88"/>
      <c r="I140" s="88"/>
      <c r="J140" s="88"/>
      <c r="K140" s="88"/>
      <c r="L140" s="88"/>
      <c r="M140" s="88"/>
      <c r="N140" s="88"/>
      <c r="O140" s="88"/>
      <c r="P140" s="88"/>
      <c r="Q140" s="88"/>
      <c r="R140" s="88"/>
      <c r="S140" s="88"/>
      <c r="T140" s="88"/>
      <c r="U140" s="88"/>
      <c r="V140" s="88"/>
      <c r="W140" s="88"/>
      <c r="X140" s="89"/>
      <c r="Y140" s="89"/>
      <c r="Z140" s="89"/>
      <c r="AA140" s="89"/>
      <c r="AB140" s="89"/>
      <c r="AC140" s="89"/>
      <c r="AD140" s="89"/>
      <c r="AE140" s="89"/>
      <c r="AF140" s="89"/>
      <c r="AG140" s="89"/>
      <c r="AH140" s="89"/>
      <c r="AI140" s="89"/>
      <c r="AJ140" s="89"/>
      <c r="AK140" s="65">
        <f t="shared" si="17"/>
        <v>0</v>
      </c>
      <c r="AL140" s="66" t="str">
        <f t="shared" si="16"/>
        <v>Tidak disarankan</v>
      </c>
      <c r="AM140" s="67" t="s">
        <v>235</v>
      </c>
      <c r="AN140" s="67" t="s">
        <v>235</v>
      </c>
      <c r="AO140" s="67" t="s">
        <v>235</v>
      </c>
      <c r="AP140" s="67" t="s">
        <v>236</v>
      </c>
      <c r="AQ140" s="67" t="s">
        <v>236</v>
      </c>
    </row>
    <row r="141" spans="1:43" ht="50" x14ac:dyDescent="0.35">
      <c r="A141" s="64">
        <v>139</v>
      </c>
      <c r="B141" s="67" t="s">
        <v>1211</v>
      </c>
      <c r="C141" s="67" t="str">
        <f t="shared" si="12"/>
        <v>Palangka Raya, 19 Juni 1996</v>
      </c>
      <c r="D141" s="67" t="str">
        <f t="shared" si="13"/>
        <v>S1 - Teknik Pertambangan</v>
      </c>
      <c r="E141" s="66">
        <f t="shared" si="14"/>
        <v>109</v>
      </c>
      <c r="F141" s="66" t="str">
        <f t="shared" si="15"/>
        <v>Rata-rata</v>
      </c>
      <c r="G141" s="88"/>
      <c r="H141" s="88"/>
      <c r="I141" s="88"/>
      <c r="J141" s="88"/>
      <c r="K141" s="88"/>
      <c r="L141" s="88"/>
      <c r="M141" s="88"/>
      <c r="N141" s="88"/>
      <c r="O141" s="88"/>
      <c r="P141" s="88"/>
      <c r="Q141" s="88"/>
      <c r="R141" s="88"/>
      <c r="S141" s="88"/>
      <c r="T141" s="88"/>
      <c r="U141" s="88"/>
      <c r="V141" s="88"/>
      <c r="W141" s="88"/>
      <c r="X141" s="89"/>
      <c r="Y141" s="89"/>
      <c r="Z141" s="89"/>
      <c r="AA141" s="89"/>
      <c r="AB141" s="89"/>
      <c r="AC141" s="89"/>
      <c r="AD141" s="89"/>
      <c r="AE141" s="89"/>
      <c r="AF141" s="89"/>
      <c r="AG141" s="89"/>
      <c r="AH141" s="89"/>
      <c r="AI141" s="89"/>
      <c r="AJ141" s="89"/>
      <c r="AK141" s="65">
        <f t="shared" si="17"/>
        <v>0</v>
      </c>
      <c r="AL141" s="66" t="str">
        <f t="shared" si="16"/>
        <v>Tidak disarankan</v>
      </c>
      <c r="AM141" s="67" t="s">
        <v>235</v>
      </c>
      <c r="AN141" s="67" t="s">
        <v>235</v>
      </c>
      <c r="AO141" s="67" t="s">
        <v>235</v>
      </c>
      <c r="AP141" s="67" t="s">
        <v>236</v>
      </c>
      <c r="AQ141" s="67" t="s">
        <v>236</v>
      </c>
    </row>
    <row r="142" spans="1:43" ht="50" x14ac:dyDescent="0.35">
      <c r="A142" s="64">
        <v>140</v>
      </c>
      <c r="B142" s="67" t="s">
        <v>1020</v>
      </c>
      <c r="C142" s="67" t="str">
        <f t="shared" si="12"/>
        <v>Puruk Cahu, 03 September 1998</v>
      </c>
      <c r="D142" s="67" t="str">
        <f t="shared" si="13"/>
        <v>S1 - Ekonomi Pembangunan</v>
      </c>
      <c r="E142" s="66">
        <f t="shared" si="14"/>
        <v>113</v>
      </c>
      <c r="F142" s="66" t="str">
        <f t="shared" si="15"/>
        <v>Baik</v>
      </c>
      <c r="G142" s="88"/>
      <c r="H142" s="88"/>
      <c r="I142" s="88"/>
      <c r="J142" s="88"/>
      <c r="K142" s="88"/>
      <c r="L142" s="88"/>
      <c r="M142" s="88"/>
      <c r="N142" s="88"/>
      <c r="O142" s="88"/>
      <c r="P142" s="88"/>
      <c r="Q142" s="88"/>
      <c r="R142" s="88"/>
      <c r="S142" s="88"/>
      <c r="T142" s="88"/>
      <c r="U142" s="88"/>
      <c r="V142" s="88"/>
      <c r="W142" s="88"/>
      <c r="X142" s="89"/>
      <c r="Y142" s="89"/>
      <c r="Z142" s="89"/>
      <c r="AA142" s="89"/>
      <c r="AB142" s="89"/>
      <c r="AC142" s="89"/>
      <c r="AD142" s="89"/>
      <c r="AE142" s="89"/>
      <c r="AF142" s="89"/>
      <c r="AG142" s="89"/>
      <c r="AH142" s="89"/>
      <c r="AI142" s="89"/>
      <c r="AJ142" s="89"/>
      <c r="AK142" s="65">
        <f t="shared" si="17"/>
        <v>0</v>
      </c>
      <c r="AL142" s="66" t="str">
        <f t="shared" si="16"/>
        <v>Tidak disarankan</v>
      </c>
      <c r="AM142" s="67" t="s">
        <v>235</v>
      </c>
      <c r="AN142" s="67" t="s">
        <v>235</v>
      </c>
      <c r="AO142" s="67" t="s">
        <v>235</v>
      </c>
      <c r="AP142" s="67" t="s">
        <v>236</v>
      </c>
      <c r="AQ142" s="67" t="s">
        <v>236</v>
      </c>
    </row>
    <row r="143" spans="1:43" ht="50" x14ac:dyDescent="0.35">
      <c r="A143" s="64">
        <v>141</v>
      </c>
      <c r="B143" s="67" t="s">
        <v>251</v>
      </c>
      <c r="C143" s="67" t="str">
        <f t="shared" si="12"/>
        <v>Palangkaraya, 17 Desember 1999</v>
      </c>
      <c r="D143" s="67" t="str">
        <f t="shared" si="13"/>
        <v>S1 - Manajemen</v>
      </c>
      <c r="E143" s="66">
        <f t="shared" si="14"/>
        <v>111</v>
      </c>
      <c r="F143" s="66" t="str">
        <f t="shared" si="15"/>
        <v>Baik</v>
      </c>
      <c r="G143" s="88"/>
      <c r="H143" s="88"/>
      <c r="I143" s="88"/>
      <c r="J143" s="88"/>
      <c r="K143" s="88"/>
      <c r="L143" s="88"/>
      <c r="M143" s="88"/>
      <c r="N143" s="88"/>
      <c r="O143" s="88"/>
      <c r="P143" s="88"/>
      <c r="Q143" s="88"/>
      <c r="R143" s="88"/>
      <c r="S143" s="88"/>
      <c r="T143" s="88"/>
      <c r="U143" s="88"/>
      <c r="V143" s="88"/>
      <c r="W143" s="88"/>
      <c r="X143" s="89"/>
      <c r="Y143" s="89"/>
      <c r="Z143" s="89"/>
      <c r="AA143" s="89"/>
      <c r="AB143" s="89"/>
      <c r="AC143" s="89"/>
      <c r="AD143" s="89"/>
      <c r="AE143" s="89"/>
      <c r="AF143" s="89"/>
      <c r="AG143" s="89"/>
      <c r="AH143" s="89"/>
      <c r="AI143" s="89"/>
      <c r="AJ143" s="89"/>
      <c r="AK143" s="65">
        <f t="shared" si="17"/>
        <v>0</v>
      </c>
      <c r="AL143" s="66" t="str">
        <f t="shared" si="16"/>
        <v>Tidak disarankan</v>
      </c>
      <c r="AM143" s="67" t="s">
        <v>235</v>
      </c>
      <c r="AN143" s="67" t="s">
        <v>235</v>
      </c>
      <c r="AO143" s="67" t="s">
        <v>235</v>
      </c>
      <c r="AP143" s="67" t="s">
        <v>236</v>
      </c>
      <c r="AQ143" s="67" t="s">
        <v>236</v>
      </c>
    </row>
    <row r="144" spans="1:43" ht="50" x14ac:dyDescent="0.35">
      <c r="A144" s="64">
        <v>142</v>
      </c>
      <c r="B144" s="67" t="s">
        <v>1031</v>
      </c>
      <c r="C144" s="67" t="str">
        <f t="shared" si="12"/>
        <v>Lubuk Ranggan, 11 Maret 2001</v>
      </c>
      <c r="D144" s="67" t="str">
        <f t="shared" si="13"/>
        <v>S1 - Ekonomi Pembangunan</v>
      </c>
      <c r="E144" s="66">
        <f t="shared" si="14"/>
        <v>115</v>
      </c>
      <c r="F144" s="66" t="str">
        <f t="shared" si="15"/>
        <v>Baik</v>
      </c>
      <c r="G144" s="88"/>
      <c r="H144" s="88"/>
      <c r="I144" s="88"/>
      <c r="J144" s="88"/>
      <c r="K144" s="88"/>
      <c r="L144" s="88"/>
      <c r="M144" s="88"/>
      <c r="N144" s="88"/>
      <c r="O144" s="88"/>
      <c r="P144" s="88"/>
      <c r="Q144" s="88"/>
      <c r="R144" s="88"/>
      <c r="S144" s="88"/>
      <c r="T144" s="88"/>
      <c r="U144" s="88"/>
      <c r="V144" s="88"/>
      <c r="W144" s="88"/>
      <c r="X144" s="89"/>
      <c r="Y144" s="89"/>
      <c r="Z144" s="89"/>
      <c r="AA144" s="89"/>
      <c r="AB144" s="89"/>
      <c r="AC144" s="89"/>
      <c r="AD144" s="89"/>
      <c r="AE144" s="89"/>
      <c r="AF144" s="89"/>
      <c r="AG144" s="89"/>
      <c r="AH144" s="89"/>
      <c r="AI144" s="89"/>
      <c r="AJ144" s="89"/>
      <c r="AK144" s="65">
        <f t="shared" si="17"/>
        <v>0</v>
      </c>
      <c r="AL144" s="66" t="str">
        <f t="shared" si="16"/>
        <v>Tidak disarankan</v>
      </c>
      <c r="AM144" s="67" t="s">
        <v>235</v>
      </c>
      <c r="AN144" s="67" t="s">
        <v>235</v>
      </c>
      <c r="AO144" s="67" t="s">
        <v>235</v>
      </c>
      <c r="AP144" s="67" t="s">
        <v>236</v>
      </c>
      <c r="AQ144" s="67" t="s">
        <v>236</v>
      </c>
    </row>
    <row r="145" spans="1:43" ht="50" x14ac:dyDescent="0.35">
      <c r="A145" s="64">
        <v>143</v>
      </c>
      <c r="B145" s="67" t="s">
        <v>363</v>
      </c>
      <c r="C145" s="67" t="str">
        <f t="shared" si="12"/>
        <v>Banjarmasin, 21 September 2000</v>
      </c>
      <c r="D145" s="67" t="str">
        <f t="shared" si="13"/>
        <v>S1 - Perbankan Syariah</v>
      </c>
      <c r="E145" s="66">
        <f t="shared" si="14"/>
        <v>106</v>
      </c>
      <c r="F145" s="66" t="str">
        <f t="shared" si="15"/>
        <v>Rata-rata</v>
      </c>
      <c r="G145" s="88"/>
      <c r="H145" s="88"/>
      <c r="I145" s="88"/>
      <c r="J145" s="88"/>
      <c r="K145" s="88"/>
      <c r="L145" s="88"/>
      <c r="M145" s="88"/>
      <c r="N145" s="88"/>
      <c r="O145" s="88"/>
      <c r="P145" s="88"/>
      <c r="Q145" s="88"/>
      <c r="R145" s="88"/>
      <c r="S145" s="88"/>
      <c r="T145" s="88"/>
      <c r="U145" s="88"/>
      <c r="V145" s="88"/>
      <c r="W145" s="88"/>
      <c r="X145" s="89"/>
      <c r="Y145" s="89"/>
      <c r="Z145" s="89"/>
      <c r="AA145" s="89"/>
      <c r="AB145" s="89"/>
      <c r="AC145" s="89"/>
      <c r="AD145" s="89"/>
      <c r="AE145" s="89"/>
      <c r="AF145" s="89"/>
      <c r="AG145" s="89"/>
      <c r="AH145" s="89"/>
      <c r="AI145" s="89"/>
      <c r="AJ145" s="89"/>
      <c r="AK145" s="65">
        <f t="shared" si="17"/>
        <v>0</v>
      </c>
      <c r="AL145" s="66" t="str">
        <f t="shared" si="16"/>
        <v>Tidak disarankan</v>
      </c>
      <c r="AM145" s="67" t="s">
        <v>235</v>
      </c>
      <c r="AN145" s="67" t="s">
        <v>235</v>
      </c>
      <c r="AO145" s="67" t="s">
        <v>235</v>
      </c>
      <c r="AP145" s="67" t="s">
        <v>236</v>
      </c>
      <c r="AQ145" s="67" t="s">
        <v>236</v>
      </c>
    </row>
    <row r="146" spans="1:43" ht="50" x14ac:dyDescent="0.35">
      <c r="A146" s="64">
        <v>144</v>
      </c>
      <c r="B146" s="67" t="s">
        <v>960</v>
      </c>
      <c r="C146" s="67" t="str">
        <f t="shared" si="12"/>
        <v>Nanga Bulik, 04 Juli 2000</v>
      </c>
      <c r="D146" s="67" t="str">
        <f t="shared" si="13"/>
        <v>S1 - Teknologi Hasil Pertanian</v>
      </c>
      <c r="E146" s="66">
        <f t="shared" si="14"/>
        <v>115</v>
      </c>
      <c r="F146" s="66" t="str">
        <f t="shared" si="15"/>
        <v>Baik</v>
      </c>
      <c r="G146" s="88"/>
      <c r="H146" s="88"/>
      <c r="I146" s="88"/>
      <c r="J146" s="88"/>
      <c r="K146" s="88"/>
      <c r="L146" s="88"/>
      <c r="M146" s="88"/>
      <c r="N146" s="88"/>
      <c r="O146" s="88"/>
      <c r="P146" s="88"/>
      <c r="Q146" s="88"/>
      <c r="R146" s="88"/>
      <c r="S146" s="88"/>
      <c r="T146" s="88"/>
      <c r="U146" s="88"/>
      <c r="V146" s="88"/>
      <c r="W146" s="88"/>
      <c r="X146" s="89"/>
      <c r="Y146" s="89"/>
      <c r="Z146" s="89"/>
      <c r="AA146" s="89"/>
      <c r="AB146" s="89"/>
      <c r="AC146" s="89"/>
      <c r="AD146" s="89"/>
      <c r="AE146" s="89"/>
      <c r="AF146" s="89"/>
      <c r="AG146" s="89"/>
      <c r="AH146" s="89"/>
      <c r="AI146" s="89"/>
      <c r="AJ146" s="89"/>
      <c r="AK146" s="65">
        <f t="shared" si="17"/>
        <v>0</v>
      </c>
      <c r="AL146" s="66" t="str">
        <f t="shared" si="16"/>
        <v>Tidak disarankan</v>
      </c>
      <c r="AM146" s="67" t="s">
        <v>235</v>
      </c>
      <c r="AN146" s="67" t="s">
        <v>235</v>
      </c>
      <c r="AO146" s="67" t="s">
        <v>235</v>
      </c>
      <c r="AP146" s="67" t="s">
        <v>236</v>
      </c>
      <c r="AQ146" s="67" t="s">
        <v>236</v>
      </c>
    </row>
    <row r="147" spans="1:43" ht="50" x14ac:dyDescent="0.35">
      <c r="A147" s="64">
        <v>145</v>
      </c>
      <c r="B147" s="67" t="s">
        <v>278</v>
      </c>
      <c r="C147" s="67" t="str">
        <f t="shared" si="12"/>
        <v>Manusup, 15 Juli 1998</v>
      </c>
      <c r="D147" s="67" t="str">
        <f t="shared" si="13"/>
        <v>S1 - Bahasa Inggris</v>
      </c>
      <c r="E147" s="66">
        <f t="shared" si="14"/>
        <v>115</v>
      </c>
      <c r="F147" s="66" t="str">
        <f t="shared" si="15"/>
        <v>Baik</v>
      </c>
      <c r="G147" s="88"/>
      <c r="H147" s="88"/>
      <c r="I147" s="88"/>
      <c r="J147" s="88"/>
      <c r="K147" s="88"/>
      <c r="L147" s="88"/>
      <c r="M147" s="88"/>
      <c r="N147" s="88"/>
      <c r="O147" s="88"/>
      <c r="P147" s="88"/>
      <c r="Q147" s="88"/>
      <c r="R147" s="88"/>
      <c r="S147" s="88"/>
      <c r="T147" s="88"/>
      <c r="U147" s="88"/>
      <c r="V147" s="88"/>
      <c r="W147" s="88"/>
      <c r="X147" s="89"/>
      <c r="Y147" s="89"/>
      <c r="Z147" s="89"/>
      <c r="AA147" s="89"/>
      <c r="AB147" s="89"/>
      <c r="AC147" s="89"/>
      <c r="AD147" s="89"/>
      <c r="AE147" s="89"/>
      <c r="AF147" s="89"/>
      <c r="AG147" s="89"/>
      <c r="AH147" s="89"/>
      <c r="AI147" s="89"/>
      <c r="AJ147" s="89"/>
      <c r="AK147" s="65">
        <f t="shared" si="17"/>
        <v>0</v>
      </c>
      <c r="AL147" s="66" t="str">
        <f t="shared" si="16"/>
        <v>Tidak disarankan</v>
      </c>
      <c r="AM147" s="67" t="s">
        <v>235</v>
      </c>
      <c r="AN147" s="67" t="s">
        <v>235</v>
      </c>
      <c r="AO147" s="67" t="s">
        <v>235</v>
      </c>
      <c r="AP147" s="67" t="s">
        <v>236</v>
      </c>
      <c r="AQ147" s="67" t="s">
        <v>236</v>
      </c>
    </row>
    <row r="148" spans="1:43" ht="50" x14ac:dyDescent="0.35">
      <c r="A148" s="64">
        <v>146</v>
      </c>
      <c r="B148" s="67" t="s">
        <v>660</v>
      </c>
      <c r="C148" s="67" t="str">
        <f t="shared" si="12"/>
        <v>Palangka Raya, 24 September 1998</v>
      </c>
      <c r="D148" s="67" t="str">
        <f t="shared" si="13"/>
        <v>S1 - Teknik Sipil</v>
      </c>
      <c r="E148" s="66">
        <f t="shared" si="14"/>
        <v>116</v>
      </c>
      <c r="F148" s="66" t="str">
        <f t="shared" si="15"/>
        <v>Baik</v>
      </c>
      <c r="G148" s="88"/>
      <c r="H148" s="88"/>
      <c r="I148" s="88"/>
      <c r="J148" s="88"/>
      <c r="K148" s="88"/>
      <c r="L148" s="88"/>
      <c r="M148" s="88"/>
      <c r="N148" s="88"/>
      <c r="O148" s="88"/>
      <c r="P148" s="88"/>
      <c r="Q148" s="88"/>
      <c r="R148" s="88"/>
      <c r="S148" s="88"/>
      <c r="T148" s="88"/>
      <c r="U148" s="88"/>
      <c r="V148" s="88"/>
      <c r="W148" s="88"/>
      <c r="X148" s="89"/>
      <c r="Y148" s="89"/>
      <c r="Z148" s="89"/>
      <c r="AA148" s="89"/>
      <c r="AB148" s="89"/>
      <c r="AC148" s="89"/>
      <c r="AD148" s="89"/>
      <c r="AE148" s="89"/>
      <c r="AF148" s="89"/>
      <c r="AG148" s="89"/>
      <c r="AH148" s="89"/>
      <c r="AI148" s="89"/>
      <c r="AJ148" s="89"/>
      <c r="AK148" s="65">
        <f t="shared" si="17"/>
        <v>0</v>
      </c>
      <c r="AL148" s="66" t="str">
        <f t="shared" si="16"/>
        <v>Tidak disarankan</v>
      </c>
      <c r="AM148" s="67" t="s">
        <v>235</v>
      </c>
      <c r="AN148" s="67" t="s">
        <v>235</v>
      </c>
      <c r="AO148" s="67" t="s">
        <v>235</v>
      </c>
      <c r="AP148" s="67" t="s">
        <v>236</v>
      </c>
      <c r="AQ148" s="67" t="s">
        <v>236</v>
      </c>
    </row>
    <row r="149" spans="1:43" ht="50" x14ac:dyDescent="0.35">
      <c r="A149" s="64">
        <v>147</v>
      </c>
      <c r="B149" s="67" t="s">
        <v>652</v>
      </c>
      <c r="C149" s="67" t="str">
        <f t="shared" si="12"/>
        <v>Sampit, 05 November 1997</v>
      </c>
      <c r="D149" s="67" t="str">
        <f t="shared" si="13"/>
        <v>S1 - Teknik Sipil</v>
      </c>
      <c r="E149" s="66">
        <f t="shared" si="14"/>
        <v>116</v>
      </c>
      <c r="F149" s="66" t="str">
        <f t="shared" si="15"/>
        <v>Baik</v>
      </c>
      <c r="G149" s="88"/>
      <c r="H149" s="88"/>
      <c r="I149" s="88"/>
      <c r="J149" s="88"/>
      <c r="K149" s="88"/>
      <c r="L149" s="88"/>
      <c r="M149" s="88"/>
      <c r="N149" s="88"/>
      <c r="O149" s="88"/>
      <c r="P149" s="88"/>
      <c r="Q149" s="88"/>
      <c r="R149" s="88"/>
      <c r="S149" s="88"/>
      <c r="T149" s="88"/>
      <c r="U149" s="88"/>
      <c r="V149" s="88"/>
      <c r="W149" s="88"/>
      <c r="X149" s="89"/>
      <c r="Y149" s="89"/>
      <c r="Z149" s="89"/>
      <c r="AA149" s="89"/>
      <c r="AB149" s="89"/>
      <c r="AC149" s="89"/>
      <c r="AD149" s="89"/>
      <c r="AE149" s="89"/>
      <c r="AF149" s="89"/>
      <c r="AG149" s="89"/>
      <c r="AH149" s="89"/>
      <c r="AI149" s="89"/>
      <c r="AJ149" s="89"/>
      <c r="AK149" s="65">
        <f t="shared" si="17"/>
        <v>0</v>
      </c>
      <c r="AL149" s="66" t="str">
        <f t="shared" si="16"/>
        <v>Tidak disarankan</v>
      </c>
      <c r="AM149" s="67" t="s">
        <v>235</v>
      </c>
      <c r="AN149" s="67" t="s">
        <v>235</v>
      </c>
      <c r="AO149" s="67" t="s">
        <v>235</v>
      </c>
      <c r="AP149" s="67" t="s">
        <v>236</v>
      </c>
      <c r="AQ149" s="67" t="s">
        <v>236</v>
      </c>
    </row>
    <row r="150" spans="1:43" ht="50" x14ac:dyDescent="0.35">
      <c r="A150" s="64">
        <v>148</v>
      </c>
      <c r="B150" s="67" t="s">
        <v>675</v>
      </c>
      <c r="C150" s="67" t="str">
        <f t="shared" si="12"/>
        <v>Palangka Raya, 02 Juni 1997</v>
      </c>
      <c r="D150" s="67" t="str">
        <f t="shared" si="13"/>
        <v>S1 - Teknik Informatika</v>
      </c>
      <c r="E150" s="66">
        <f t="shared" si="14"/>
        <v>119</v>
      </c>
      <c r="F150" s="66" t="str">
        <f t="shared" si="15"/>
        <v>Baik</v>
      </c>
      <c r="G150" s="88"/>
      <c r="H150" s="88"/>
      <c r="I150" s="88"/>
      <c r="J150" s="88"/>
      <c r="K150" s="88"/>
      <c r="L150" s="88"/>
      <c r="M150" s="88"/>
      <c r="N150" s="88"/>
      <c r="O150" s="88"/>
      <c r="P150" s="88"/>
      <c r="Q150" s="88"/>
      <c r="R150" s="88"/>
      <c r="S150" s="88"/>
      <c r="T150" s="88"/>
      <c r="U150" s="88"/>
      <c r="V150" s="88"/>
      <c r="W150" s="88"/>
      <c r="X150" s="89"/>
      <c r="Y150" s="89"/>
      <c r="Z150" s="89"/>
      <c r="AA150" s="89"/>
      <c r="AB150" s="89"/>
      <c r="AC150" s="89"/>
      <c r="AD150" s="89"/>
      <c r="AE150" s="89"/>
      <c r="AF150" s="89"/>
      <c r="AG150" s="89"/>
      <c r="AH150" s="89"/>
      <c r="AI150" s="89"/>
      <c r="AJ150" s="89"/>
      <c r="AK150" s="65">
        <f t="shared" si="17"/>
        <v>0</v>
      </c>
      <c r="AL150" s="66" t="str">
        <f t="shared" si="16"/>
        <v>Tidak disarankan</v>
      </c>
      <c r="AM150" s="67" t="s">
        <v>235</v>
      </c>
      <c r="AN150" s="67" t="s">
        <v>235</v>
      </c>
      <c r="AO150" s="67" t="s">
        <v>235</v>
      </c>
      <c r="AP150" s="67" t="s">
        <v>236</v>
      </c>
      <c r="AQ150" s="67" t="s">
        <v>236</v>
      </c>
    </row>
    <row r="151" spans="1:43" ht="50" x14ac:dyDescent="0.35">
      <c r="A151" s="64">
        <v>149</v>
      </c>
      <c r="B151" s="67" t="s">
        <v>1123</v>
      </c>
      <c r="C151" s="67" t="str">
        <f t="shared" si="12"/>
        <v>Palangkaraya, 22 Juni 2000</v>
      </c>
      <c r="D151" s="67" t="str">
        <f t="shared" si="13"/>
        <v>S1 - Manajemen</v>
      </c>
      <c r="E151" s="66">
        <f t="shared" si="14"/>
        <v>96</v>
      </c>
      <c r="F151" s="66" t="str">
        <f t="shared" si="15"/>
        <v>Rata-rata</v>
      </c>
      <c r="G151" s="88"/>
      <c r="H151" s="88"/>
      <c r="I151" s="88"/>
      <c r="J151" s="88"/>
      <c r="K151" s="88"/>
      <c r="L151" s="88"/>
      <c r="M151" s="88"/>
      <c r="N151" s="88"/>
      <c r="O151" s="88"/>
      <c r="P151" s="88"/>
      <c r="Q151" s="88"/>
      <c r="R151" s="88"/>
      <c r="S151" s="88"/>
      <c r="T151" s="88"/>
      <c r="U151" s="88"/>
      <c r="V151" s="88"/>
      <c r="W151" s="88"/>
      <c r="X151" s="89"/>
      <c r="Y151" s="89"/>
      <c r="Z151" s="89"/>
      <c r="AA151" s="89"/>
      <c r="AB151" s="89"/>
      <c r="AC151" s="89"/>
      <c r="AD151" s="89"/>
      <c r="AE151" s="89"/>
      <c r="AF151" s="89"/>
      <c r="AG151" s="89"/>
      <c r="AH151" s="89"/>
      <c r="AI151" s="89"/>
      <c r="AJ151" s="89"/>
      <c r="AK151" s="65">
        <f t="shared" si="17"/>
        <v>0</v>
      </c>
      <c r="AL151" s="66" t="str">
        <f t="shared" si="16"/>
        <v>Tidak disarankan</v>
      </c>
      <c r="AM151" s="67" t="s">
        <v>235</v>
      </c>
      <c r="AN151" s="67" t="s">
        <v>235</v>
      </c>
      <c r="AO151" s="67" t="s">
        <v>235</v>
      </c>
      <c r="AP151" s="67" t="s">
        <v>236</v>
      </c>
      <c r="AQ151" s="67" t="s">
        <v>236</v>
      </c>
    </row>
    <row r="152" spans="1:43" ht="50" x14ac:dyDescent="0.35">
      <c r="A152" s="64">
        <v>150</v>
      </c>
      <c r="B152" s="67" t="s">
        <v>1077</v>
      </c>
      <c r="C152" s="67" t="str">
        <f t="shared" si="12"/>
        <v>Pulang Pisau, 01 Oktober 2000</v>
      </c>
      <c r="D152" s="67" t="str">
        <f t="shared" si="13"/>
        <v>S1 - Ilmu Hukum</v>
      </c>
      <c r="E152" s="66">
        <f t="shared" si="14"/>
        <v>96</v>
      </c>
      <c r="F152" s="66" t="str">
        <f t="shared" si="15"/>
        <v>Rata-rata</v>
      </c>
      <c r="G152" s="88"/>
      <c r="H152" s="88"/>
      <c r="I152" s="88"/>
      <c r="J152" s="88"/>
      <c r="K152" s="88"/>
      <c r="L152" s="88"/>
      <c r="M152" s="88"/>
      <c r="N152" s="88"/>
      <c r="O152" s="88"/>
      <c r="P152" s="88"/>
      <c r="Q152" s="88"/>
      <c r="R152" s="88"/>
      <c r="S152" s="88"/>
      <c r="T152" s="88"/>
      <c r="U152" s="88"/>
      <c r="V152" s="88"/>
      <c r="W152" s="88"/>
      <c r="X152" s="89"/>
      <c r="Y152" s="89"/>
      <c r="Z152" s="89"/>
      <c r="AA152" s="89"/>
      <c r="AB152" s="89"/>
      <c r="AC152" s="89"/>
      <c r="AD152" s="89"/>
      <c r="AE152" s="89"/>
      <c r="AF152" s="89"/>
      <c r="AG152" s="89"/>
      <c r="AH152" s="89"/>
      <c r="AI152" s="89"/>
      <c r="AJ152" s="89"/>
      <c r="AK152" s="65">
        <f t="shared" si="17"/>
        <v>0</v>
      </c>
      <c r="AL152" s="66" t="str">
        <f t="shared" si="16"/>
        <v>Tidak disarankan</v>
      </c>
      <c r="AM152" s="67" t="s">
        <v>235</v>
      </c>
      <c r="AN152" s="67" t="s">
        <v>235</v>
      </c>
      <c r="AO152" s="67" t="s">
        <v>235</v>
      </c>
      <c r="AP152" s="67" t="s">
        <v>236</v>
      </c>
      <c r="AQ152" s="67" t="s">
        <v>236</v>
      </c>
    </row>
    <row r="153" spans="1:43" ht="50" x14ac:dyDescent="0.35">
      <c r="A153" s="64">
        <v>151</v>
      </c>
      <c r="B153" s="67" t="s">
        <v>658</v>
      </c>
      <c r="C153" s="67" t="str">
        <f t="shared" si="12"/>
        <v>Palangka Raya, 02 Januari 1996</v>
      </c>
      <c r="D153" s="67" t="str">
        <f t="shared" si="13"/>
        <v>S1 - Ilmu Hukum</v>
      </c>
      <c r="E153" s="66">
        <f t="shared" si="14"/>
        <v>100</v>
      </c>
      <c r="F153" s="66" t="str">
        <f t="shared" si="15"/>
        <v>Rata-rata</v>
      </c>
      <c r="G153" s="88"/>
      <c r="H153" s="88"/>
      <c r="I153" s="88"/>
      <c r="J153" s="88"/>
      <c r="K153" s="88"/>
      <c r="L153" s="88"/>
      <c r="M153" s="88"/>
      <c r="N153" s="88"/>
      <c r="O153" s="88"/>
      <c r="P153" s="88"/>
      <c r="Q153" s="88"/>
      <c r="R153" s="88"/>
      <c r="S153" s="88"/>
      <c r="T153" s="88"/>
      <c r="U153" s="88"/>
      <c r="V153" s="88"/>
      <c r="W153" s="88"/>
      <c r="X153" s="89"/>
      <c r="Y153" s="89"/>
      <c r="Z153" s="89"/>
      <c r="AA153" s="89"/>
      <c r="AB153" s="89"/>
      <c r="AC153" s="89"/>
      <c r="AD153" s="89"/>
      <c r="AE153" s="89"/>
      <c r="AF153" s="89"/>
      <c r="AG153" s="89"/>
      <c r="AH153" s="89"/>
      <c r="AI153" s="89"/>
      <c r="AJ153" s="89"/>
      <c r="AK153" s="65">
        <f t="shared" si="17"/>
        <v>0</v>
      </c>
      <c r="AL153" s="66" t="str">
        <f t="shared" si="16"/>
        <v>Tidak disarankan</v>
      </c>
      <c r="AM153" s="67" t="s">
        <v>235</v>
      </c>
      <c r="AN153" s="67" t="s">
        <v>235</v>
      </c>
      <c r="AO153" s="67" t="s">
        <v>235</v>
      </c>
      <c r="AP153" s="67" t="s">
        <v>236</v>
      </c>
      <c r="AQ153" s="67" t="s">
        <v>236</v>
      </c>
    </row>
    <row r="154" spans="1:43" ht="50" x14ac:dyDescent="0.35">
      <c r="A154" s="64">
        <v>152</v>
      </c>
      <c r="B154" s="67" t="s">
        <v>1207</v>
      </c>
      <c r="C154" s="67" t="str">
        <f t="shared" si="12"/>
        <v>Palangka Raya, 27 Juni 1998</v>
      </c>
      <c r="D154" s="67" t="str">
        <f t="shared" si="13"/>
        <v>S1 - Pendidikan Bahasa Inggris</v>
      </c>
      <c r="E154" s="66">
        <f t="shared" si="14"/>
        <v>113</v>
      </c>
      <c r="F154" s="66" t="str">
        <f t="shared" si="15"/>
        <v>Baik</v>
      </c>
      <c r="G154" s="88"/>
      <c r="H154" s="88"/>
      <c r="I154" s="88"/>
      <c r="J154" s="88"/>
      <c r="K154" s="88"/>
      <c r="L154" s="88"/>
      <c r="M154" s="88"/>
      <c r="N154" s="88"/>
      <c r="O154" s="88"/>
      <c r="P154" s="88"/>
      <c r="Q154" s="88"/>
      <c r="R154" s="88"/>
      <c r="S154" s="88"/>
      <c r="T154" s="88"/>
      <c r="U154" s="88"/>
      <c r="V154" s="88"/>
      <c r="W154" s="88"/>
      <c r="X154" s="89"/>
      <c r="Y154" s="89"/>
      <c r="Z154" s="89"/>
      <c r="AA154" s="89"/>
      <c r="AB154" s="89"/>
      <c r="AC154" s="89"/>
      <c r="AD154" s="89"/>
      <c r="AE154" s="89"/>
      <c r="AF154" s="89"/>
      <c r="AG154" s="89"/>
      <c r="AH154" s="89"/>
      <c r="AI154" s="89"/>
      <c r="AJ154" s="89"/>
      <c r="AK154" s="65">
        <f t="shared" si="17"/>
        <v>0</v>
      </c>
      <c r="AL154" s="66" t="str">
        <f t="shared" si="16"/>
        <v>Tidak disarankan</v>
      </c>
      <c r="AM154" s="67" t="s">
        <v>235</v>
      </c>
      <c r="AN154" s="67" t="s">
        <v>235</v>
      </c>
      <c r="AO154" s="67" t="s">
        <v>235</v>
      </c>
      <c r="AP154" s="67" t="s">
        <v>236</v>
      </c>
      <c r="AQ154" s="67" t="s">
        <v>236</v>
      </c>
    </row>
    <row r="155" spans="1:43" ht="50" x14ac:dyDescent="0.35">
      <c r="A155" s="64">
        <v>153</v>
      </c>
      <c r="B155" s="67" t="s">
        <v>678</v>
      </c>
      <c r="C155" s="67" t="str">
        <f t="shared" si="12"/>
        <v>Gunung Mas, 09 Juli 1998</v>
      </c>
      <c r="D155" s="67" t="str">
        <f t="shared" si="13"/>
        <v>D3 - Manajemen Transportasi</v>
      </c>
      <c r="E155" s="66">
        <f t="shared" si="14"/>
        <v>118</v>
      </c>
      <c r="F155" s="66" t="str">
        <f t="shared" si="15"/>
        <v>Baik</v>
      </c>
      <c r="G155" s="88"/>
      <c r="H155" s="88"/>
      <c r="I155" s="88"/>
      <c r="J155" s="88"/>
      <c r="K155" s="88"/>
      <c r="L155" s="88"/>
      <c r="M155" s="88"/>
      <c r="N155" s="88"/>
      <c r="O155" s="88"/>
      <c r="P155" s="88"/>
      <c r="Q155" s="88"/>
      <c r="R155" s="88"/>
      <c r="S155" s="88"/>
      <c r="T155" s="88"/>
      <c r="U155" s="88"/>
      <c r="V155" s="88"/>
      <c r="W155" s="88"/>
      <c r="X155" s="89"/>
      <c r="Y155" s="89"/>
      <c r="Z155" s="89"/>
      <c r="AA155" s="89"/>
      <c r="AB155" s="89"/>
      <c r="AC155" s="89"/>
      <c r="AD155" s="89"/>
      <c r="AE155" s="89"/>
      <c r="AF155" s="89"/>
      <c r="AG155" s="89"/>
      <c r="AH155" s="89"/>
      <c r="AI155" s="89"/>
      <c r="AJ155" s="89"/>
      <c r="AK155" s="65">
        <f t="shared" si="17"/>
        <v>0</v>
      </c>
      <c r="AL155" s="66" t="str">
        <f t="shared" si="16"/>
        <v>Tidak disarankan</v>
      </c>
      <c r="AM155" s="67" t="s">
        <v>235</v>
      </c>
      <c r="AN155" s="67" t="s">
        <v>235</v>
      </c>
      <c r="AO155" s="67" t="s">
        <v>235</v>
      </c>
      <c r="AP155" s="67" t="s">
        <v>236</v>
      </c>
      <c r="AQ155" s="67" t="s">
        <v>236</v>
      </c>
    </row>
    <row r="156" spans="1:43" ht="50" x14ac:dyDescent="0.35">
      <c r="A156" s="64">
        <v>154</v>
      </c>
      <c r="B156" s="67" t="s">
        <v>271</v>
      </c>
      <c r="C156" s="67" t="str">
        <f t="shared" si="12"/>
        <v>Palangka Raya, 09 Desember 1999</v>
      </c>
      <c r="D156" s="67" t="str">
        <f t="shared" si="13"/>
        <v>S1 - Manajemen Operasional</v>
      </c>
      <c r="E156" s="66">
        <f t="shared" si="14"/>
        <v>98</v>
      </c>
      <c r="F156" s="66" t="str">
        <f t="shared" si="15"/>
        <v>Rata-rata</v>
      </c>
      <c r="G156" s="88"/>
      <c r="H156" s="88"/>
      <c r="I156" s="88"/>
      <c r="J156" s="88"/>
      <c r="K156" s="88"/>
      <c r="L156" s="88"/>
      <c r="M156" s="88"/>
      <c r="N156" s="88"/>
      <c r="O156" s="88"/>
      <c r="P156" s="88"/>
      <c r="Q156" s="88"/>
      <c r="R156" s="88"/>
      <c r="S156" s="88"/>
      <c r="T156" s="88"/>
      <c r="U156" s="88"/>
      <c r="V156" s="88"/>
      <c r="W156" s="88"/>
      <c r="X156" s="89"/>
      <c r="Y156" s="89"/>
      <c r="Z156" s="89"/>
      <c r="AA156" s="89"/>
      <c r="AB156" s="89"/>
      <c r="AC156" s="89"/>
      <c r="AD156" s="89"/>
      <c r="AE156" s="89"/>
      <c r="AF156" s="89"/>
      <c r="AG156" s="89"/>
      <c r="AH156" s="89"/>
      <c r="AI156" s="89"/>
      <c r="AJ156" s="89"/>
      <c r="AK156" s="65">
        <f t="shared" si="17"/>
        <v>0</v>
      </c>
      <c r="AL156" s="66" t="str">
        <f t="shared" si="16"/>
        <v>Tidak disarankan</v>
      </c>
      <c r="AM156" s="67" t="s">
        <v>235</v>
      </c>
      <c r="AN156" s="67" t="s">
        <v>235</v>
      </c>
      <c r="AO156" s="67" t="s">
        <v>235</v>
      </c>
      <c r="AP156" s="67" t="s">
        <v>236</v>
      </c>
      <c r="AQ156" s="67" t="s">
        <v>236</v>
      </c>
    </row>
    <row r="157" spans="1:43" ht="50" x14ac:dyDescent="0.35">
      <c r="A157" s="64">
        <v>155</v>
      </c>
      <c r="B157" s="67" t="s">
        <v>337</v>
      </c>
      <c r="C157" s="67" t="str">
        <f t="shared" si="12"/>
        <v>Banjarbaru, 28 November 2000</v>
      </c>
      <c r="D157" s="67" t="str">
        <f t="shared" si="13"/>
        <v>S1 - Arsitektur</v>
      </c>
      <c r="E157" s="66">
        <f t="shared" si="14"/>
        <v>116</v>
      </c>
      <c r="F157" s="66" t="str">
        <f t="shared" si="15"/>
        <v>Baik</v>
      </c>
      <c r="G157" s="88"/>
      <c r="H157" s="88"/>
      <c r="I157" s="88"/>
      <c r="J157" s="88"/>
      <c r="K157" s="88"/>
      <c r="L157" s="88"/>
      <c r="M157" s="88"/>
      <c r="N157" s="88"/>
      <c r="O157" s="88"/>
      <c r="P157" s="88"/>
      <c r="Q157" s="88"/>
      <c r="R157" s="88"/>
      <c r="S157" s="88"/>
      <c r="T157" s="88"/>
      <c r="U157" s="88"/>
      <c r="V157" s="88"/>
      <c r="W157" s="88"/>
      <c r="X157" s="89"/>
      <c r="Y157" s="89"/>
      <c r="Z157" s="89"/>
      <c r="AA157" s="89"/>
      <c r="AB157" s="89"/>
      <c r="AC157" s="89"/>
      <c r="AD157" s="89"/>
      <c r="AE157" s="89"/>
      <c r="AF157" s="89"/>
      <c r="AG157" s="89"/>
      <c r="AH157" s="89"/>
      <c r="AI157" s="89"/>
      <c r="AJ157" s="89"/>
      <c r="AK157" s="65">
        <f t="shared" si="17"/>
        <v>0</v>
      </c>
      <c r="AL157" s="66" t="str">
        <f t="shared" si="16"/>
        <v>Tidak disarankan</v>
      </c>
      <c r="AM157" s="67" t="s">
        <v>235</v>
      </c>
      <c r="AN157" s="67" t="s">
        <v>235</v>
      </c>
      <c r="AO157" s="67" t="s">
        <v>235</v>
      </c>
      <c r="AP157" s="67" t="s">
        <v>236</v>
      </c>
      <c r="AQ157" s="67" t="s">
        <v>236</v>
      </c>
    </row>
    <row r="158" spans="1:43" ht="50" x14ac:dyDescent="0.35">
      <c r="A158" s="64">
        <v>156</v>
      </c>
      <c r="B158" s="67" t="s">
        <v>965</v>
      </c>
      <c r="C158" s="67" t="str">
        <f t="shared" si="12"/>
        <v>Pangkalan Bun, 01 Maret 1998</v>
      </c>
      <c r="D158" s="67" t="str">
        <f t="shared" si="13"/>
        <v>S1 - Hukum</v>
      </c>
      <c r="E158" s="66">
        <f t="shared" si="14"/>
        <v>114</v>
      </c>
      <c r="F158" s="66" t="str">
        <f t="shared" si="15"/>
        <v>Baik</v>
      </c>
      <c r="G158" s="88"/>
      <c r="H158" s="88"/>
      <c r="I158" s="88"/>
      <c r="J158" s="88"/>
      <c r="K158" s="88"/>
      <c r="L158" s="88"/>
      <c r="M158" s="88"/>
      <c r="N158" s="88"/>
      <c r="O158" s="88"/>
      <c r="P158" s="88"/>
      <c r="Q158" s="88"/>
      <c r="R158" s="88"/>
      <c r="S158" s="88"/>
      <c r="T158" s="88"/>
      <c r="U158" s="88"/>
      <c r="V158" s="88"/>
      <c r="W158" s="88"/>
      <c r="X158" s="89"/>
      <c r="Y158" s="89"/>
      <c r="Z158" s="89"/>
      <c r="AA158" s="89"/>
      <c r="AB158" s="89"/>
      <c r="AC158" s="89"/>
      <c r="AD158" s="89"/>
      <c r="AE158" s="89"/>
      <c r="AF158" s="89"/>
      <c r="AG158" s="89"/>
      <c r="AH158" s="89"/>
      <c r="AI158" s="89"/>
      <c r="AJ158" s="89"/>
      <c r="AK158" s="65">
        <f t="shared" si="17"/>
        <v>0</v>
      </c>
      <c r="AL158" s="66" t="str">
        <f t="shared" si="16"/>
        <v>Tidak disarankan</v>
      </c>
      <c r="AM158" s="67" t="s">
        <v>235</v>
      </c>
      <c r="AN158" s="67" t="s">
        <v>235</v>
      </c>
      <c r="AO158" s="67" t="s">
        <v>235</v>
      </c>
      <c r="AP158" s="67" t="s">
        <v>236</v>
      </c>
      <c r="AQ158" s="67" t="s">
        <v>236</v>
      </c>
    </row>
    <row r="159" spans="1:43" ht="50" x14ac:dyDescent="0.35">
      <c r="A159" s="64">
        <v>157</v>
      </c>
      <c r="B159" s="67" t="s">
        <v>1087</v>
      </c>
      <c r="C159" s="67" t="str">
        <f t="shared" si="12"/>
        <v>Kuala Pembuang, 15 Februari 1995</v>
      </c>
      <c r="D159" s="67" t="str">
        <f t="shared" si="13"/>
        <v>S1 - Sistem Informasi</v>
      </c>
      <c r="E159" s="66">
        <f t="shared" si="14"/>
        <v>120</v>
      </c>
      <c r="F159" s="66" t="str">
        <f t="shared" si="15"/>
        <v>Baik Sekali</v>
      </c>
      <c r="G159" s="88"/>
      <c r="H159" s="88"/>
      <c r="I159" s="88"/>
      <c r="J159" s="88"/>
      <c r="K159" s="88"/>
      <c r="L159" s="88"/>
      <c r="M159" s="88"/>
      <c r="N159" s="88"/>
      <c r="O159" s="88"/>
      <c r="P159" s="88"/>
      <c r="Q159" s="88"/>
      <c r="R159" s="88"/>
      <c r="S159" s="88"/>
      <c r="T159" s="88"/>
      <c r="U159" s="88"/>
      <c r="V159" s="88"/>
      <c r="W159" s="88"/>
      <c r="X159" s="89"/>
      <c r="Y159" s="89"/>
      <c r="Z159" s="89"/>
      <c r="AA159" s="89"/>
      <c r="AB159" s="89"/>
      <c r="AC159" s="89"/>
      <c r="AD159" s="89"/>
      <c r="AE159" s="89"/>
      <c r="AF159" s="89"/>
      <c r="AG159" s="89"/>
      <c r="AH159" s="89"/>
      <c r="AI159" s="89"/>
      <c r="AJ159" s="89"/>
      <c r="AK159" s="65">
        <f t="shared" si="17"/>
        <v>0</v>
      </c>
      <c r="AL159" s="66" t="str">
        <f t="shared" si="16"/>
        <v>Tidak disarankan</v>
      </c>
      <c r="AM159" s="67" t="s">
        <v>235</v>
      </c>
      <c r="AN159" s="67" t="s">
        <v>235</v>
      </c>
      <c r="AO159" s="67" t="s">
        <v>235</v>
      </c>
      <c r="AP159" s="67" t="s">
        <v>236</v>
      </c>
      <c r="AQ159" s="67" t="s">
        <v>236</v>
      </c>
    </row>
    <row r="160" spans="1:43" ht="50" x14ac:dyDescent="0.35">
      <c r="A160" s="64">
        <v>158</v>
      </c>
      <c r="B160" s="67" t="s">
        <v>950</v>
      </c>
      <c r="C160" s="67" t="str">
        <f t="shared" si="12"/>
        <v>Sampit, 31 Juli 1999</v>
      </c>
      <c r="D160" s="67" t="str">
        <f t="shared" si="13"/>
        <v>S1 - Studi Ekonomi Pembangunan</v>
      </c>
      <c r="E160" s="66">
        <f t="shared" si="14"/>
        <v>109</v>
      </c>
      <c r="F160" s="66" t="str">
        <f t="shared" si="15"/>
        <v>Rata-rata</v>
      </c>
      <c r="G160" s="88"/>
      <c r="H160" s="88"/>
      <c r="I160" s="88"/>
      <c r="J160" s="88"/>
      <c r="K160" s="88"/>
      <c r="L160" s="88"/>
      <c r="M160" s="88"/>
      <c r="N160" s="88"/>
      <c r="O160" s="88"/>
      <c r="P160" s="88"/>
      <c r="Q160" s="88"/>
      <c r="R160" s="88"/>
      <c r="S160" s="88"/>
      <c r="T160" s="88"/>
      <c r="U160" s="88"/>
      <c r="V160" s="88"/>
      <c r="W160" s="88"/>
      <c r="X160" s="89"/>
      <c r="Y160" s="89"/>
      <c r="Z160" s="89"/>
      <c r="AA160" s="89"/>
      <c r="AB160" s="89"/>
      <c r="AC160" s="89"/>
      <c r="AD160" s="89"/>
      <c r="AE160" s="89"/>
      <c r="AF160" s="89"/>
      <c r="AG160" s="89"/>
      <c r="AH160" s="89"/>
      <c r="AI160" s="89"/>
      <c r="AJ160" s="89"/>
      <c r="AK160" s="65">
        <f t="shared" si="17"/>
        <v>0</v>
      </c>
      <c r="AL160" s="66" t="str">
        <f t="shared" si="16"/>
        <v>Tidak disarankan</v>
      </c>
      <c r="AM160" s="67" t="s">
        <v>235</v>
      </c>
      <c r="AN160" s="67" t="s">
        <v>235</v>
      </c>
      <c r="AO160" s="67" t="s">
        <v>235</v>
      </c>
      <c r="AP160" s="67" t="s">
        <v>236</v>
      </c>
      <c r="AQ160" s="67" t="s">
        <v>236</v>
      </c>
    </row>
    <row r="161" spans="1:43" ht="50" x14ac:dyDescent="0.35">
      <c r="A161" s="64">
        <v>159</v>
      </c>
      <c r="B161" s="67" t="s">
        <v>1167</v>
      </c>
      <c r="C161" s="67" t="str">
        <f t="shared" si="12"/>
        <v>Bangkuang, 17 Maret 1996</v>
      </c>
      <c r="D161" s="67" t="str">
        <f t="shared" si="13"/>
        <v>S1 - Sistem Informasi</v>
      </c>
      <c r="E161" s="66">
        <f t="shared" si="14"/>
        <v>88</v>
      </c>
      <c r="F161" s="66" t="str">
        <f t="shared" si="15"/>
        <v>Kurang</v>
      </c>
      <c r="G161" s="88"/>
      <c r="H161" s="88"/>
      <c r="I161" s="88"/>
      <c r="J161" s="88"/>
      <c r="K161" s="88"/>
      <c r="L161" s="88"/>
      <c r="M161" s="88"/>
      <c r="N161" s="88"/>
      <c r="O161" s="88"/>
      <c r="P161" s="88"/>
      <c r="Q161" s="88"/>
      <c r="R161" s="88"/>
      <c r="S161" s="88"/>
      <c r="T161" s="88"/>
      <c r="U161" s="88"/>
      <c r="V161" s="88"/>
      <c r="W161" s="88"/>
      <c r="X161" s="89"/>
      <c r="Y161" s="89"/>
      <c r="Z161" s="89"/>
      <c r="AA161" s="89"/>
      <c r="AB161" s="89"/>
      <c r="AC161" s="89"/>
      <c r="AD161" s="89"/>
      <c r="AE161" s="89"/>
      <c r="AF161" s="89"/>
      <c r="AG161" s="89"/>
      <c r="AH161" s="89"/>
      <c r="AI161" s="89"/>
      <c r="AJ161" s="89"/>
      <c r="AK161" s="65">
        <f t="shared" si="17"/>
        <v>0</v>
      </c>
      <c r="AL161" s="66" t="str">
        <f t="shared" si="16"/>
        <v>Tidak disarankan</v>
      </c>
      <c r="AM161" s="67" t="s">
        <v>235</v>
      </c>
      <c r="AN161" s="67" t="s">
        <v>235</v>
      </c>
      <c r="AO161" s="67" t="s">
        <v>235</v>
      </c>
      <c r="AP161" s="67" t="s">
        <v>236</v>
      </c>
      <c r="AQ161" s="67" t="s">
        <v>236</v>
      </c>
    </row>
    <row r="162" spans="1:43" ht="50" x14ac:dyDescent="0.35">
      <c r="A162" s="64">
        <v>160</v>
      </c>
      <c r="B162" s="67" t="s">
        <v>1039</v>
      </c>
      <c r="C162" s="67" t="str">
        <f t="shared" si="12"/>
        <v>Pangkalan Bun, 28 Januari 1998</v>
      </c>
      <c r="D162" s="67" t="str">
        <f t="shared" si="13"/>
        <v>S1 - Agribisnis</v>
      </c>
      <c r="E162" s="66">
        <f t="shared" si="14"/>
        <v>115</v>
      </c>
      <c r="F162" s="66" t="str">
        <f t="shared" si="15"/>
        <v>Baik</v>
      </c>
      <c r="G162" s="88"/>
      <c r="H162" s="88"/>
      <c r="I162" s="88"/>
      <c r="J162" s="88"/>
      <c r="K162" s="88"/>
      <c r="L162" s="88"/>
      <c r="M162" s="88"/>
      <c r="N162" s="88"/>
      <c r="O162" s="88"/>
      <c r="P162" s="88"/>
      <c r="Q162" s="88"/>
      <c r="R162" s="88"/>
      <c r="S162" s="88"/>
      <c r="T162" s="88"/>
      <c r="U162" s="88"/>
      <c r="V162" s="88"/>
      <c r="W162" s="88"/>
      <c r="X162" s="89"/>
      <c r="Y162" s="89"/>
      <c r="Z162" s="89"/>
      <c r="AA162" s="89"/>
      <c r="AB162" s="89"/>
      <c r="AC162" s="89"/>
      <c r="AD162" s="89"/>
      <c r="AE162" s="89"/>
      <c r="AF162" s="89"/>
      <c r="AG162" s="89"/>
      <c r="AH162" s="89"/>
      <c r="AI162" s="89"/>
      <c r="AJ162" s="89"/>
      <c r="AK162" s="65">
        <f t="shared" si="17"/>
        <v>0</v>
      </c>
      <c r="AL162" s="66" t="str">
        <f t="shared" si="16"/>
        <v>Tidak disarankan</v>
      </c>
      <c r="AM162" s="67" t="s">
        <v>235</v>
      </c>
      <c r="AN162" s="67" t="s">
        <v>235</v>
      </c>
      <c r="AO162" s="67" t="s">
        <v>235</v>
      </c>
      <c r="AP162" s="67" t="s">
        <v>236</v>
      </c>
      <c r="AQ162" s="67" t="s">
        <v>236</v>
      </c>
    </row>
    <row r="163" spans="1:43" ht="50" x14ac:dyDescent="0.35">
      <c r="A163" s="64">
        <v>161</v>
      </c>
      <c r="B163" s="67" t="s">
        <v>984</v>
      </c>
      <c r="C163" s="67" t="str">
        <f t="shared" si="12"/>
        <v>Pangkalan Bun, 28 Juni 1997</v>
      </c>
      <c r="D163" s="67" t="str">
        <f t="shared" si="13"/>
        <v>S1 - Matematika</v>
      </c>
      <c r="E163" s="66">
        <f t="shared" si="14"/>
        <v>119</v>
      </c>
      <c r="F163" s="66" t="str">
        <f t="shared" si="15"/>
        <v>Baik</v>
      </c>
      <c r="G163" s="88"/>
      <c r="H163" s="88"/>
      <c r="I163" s="88"/>
      <c r="J163" s="88"/>
      <c r="K163" s="88"/>
      <c r="L163" s="88"/>
      <c r="M163" s="88"/>
      <c r="N163" s="88"/>
      <c r="O163" s="88"/>
      <c r="P163" s="88"/>
      <c r="Q163" s="88"/>
      <c r="R163" s="88"/>
      <c r="S163" s="88"/>
      <c r="T163" s="88"/>
      <c r="U163" s="88"/>
      <c r="V163" s="88"/>
      <c r="W163" s="88"/>
      <c r="X163" s="89"/>
      <c r="Y163" s="89"/>
      <c r="Z163" s="89"/>
      <c r="AA163" s="89"/>
      <c r="AB163" s="89"/>
      <c r="AC163" s="89"/>
      <c r="AD163" s="89"/>
      <c r="AE163" s="89"/>
      <c r="AF163" s="89"/>
      <c r="AG163" s="89"/>
      <c r="AH163" s="89"/>
      <c r="AI163" s="89"/>
      <c r="AJ163" s="89"/>
      <c r="AK163" s="65">
        <f t="shared" si="17"/>
        <v>0</v>
      </c>
      <c r="AL163" s="66" t="str">
        <f t="shared" si="16"/>
        <v>Tidak disarankan</v>
      </c>
      <c r="AM163" s="67" t="s">
        <v>235</v>
      </c>
      <c r="AN163" s="67" t="s">
        <v>235</v>
      </c>
      <c r="AO163" s="67" t="s">
        <v>235</v>
      </c>
      <c r="AP163" s="67" t="s">
        <v>236</v>
      </c>
      <c r="AQ163" s="67" t="s">
        <v>236</v>
      </c>
    </row>
    <row r="164" spans="1:43" ht="50" x14ac:dyDescent="0.35">
      <c r="A164" s="64">
        <v>162</v>
      </c>
      <c r="B164" s="67" t="s">
        <v>1013</v>
      </c>
      <c r="C164" s="67" t="str">
        <f t="shared" si="12"/>
        <v>Sampit, 13 April 2001</v>
      </c>
      <c r="D164" s="67" t="str">
        <f t="shared" si="13"/>
        <v>S1 - Manajemen Pendidikan Islam</v>
      </c>
      <c r="E164" s="66">
        <f t="shared" si="14"/>
        <v>119</v>
      </c>
      <c r="F164" s="66" t="str">
        <f t="shared" si="15"/>
        <v>Baik</v>
      </c>
      <c r="G164" s="88"/>
      <c r="H164" s="88"/>
      <c r="I164" s="88"/>
      <c r="J164" s="88"/>
      <c r="K164" s="88"/>
      <c r="L164" s="88"/>
      <c r="M164" s="88"/>
      <c r="N164" s="88"/>
      <c r="O164" s="88"/>
      <c r="P164" s="88"/>
      <c r="Q164" s="88"/>
      <c r="R164" s="88"/>
      <c r="S164" s="88"/>
      <c r="T164" s="88"/>
      <c r="U164" s="88"/>
      <c r="V164" s="88"/>
      <c r="W164" s="88"/>
      <c r="X164" s="89"/>
      <c r="Y164" s="89"/>
      <c r="Z164" s="89"/>
      <c r="AA164" s="89"/>
      <c r="AB164" s="89"/>
      <c r="AC164" s="89"/>
      <c r="AD164" s="89"/>
      <c r="AE164" s="89"/>
      <c r="AF164" s="89"/>
      <c r="AG164" s="89"/>
      <c r="AH164" s="89"/>
      <c r="AI164" s="89"/>
      <c r="AJ164" s="89"/>
      <c r="AK164" s="65">
        <f t="shared" si="17"/>
        <v>0</v>
      </c>
      <c r="AL164" s="66" t="str">
        <f t="shared" si="16"/>
        <v>Tidak disarankan</v>
      </c>
      <c r="AM164" s="67" t="s">
        <v>235</v>
      </c>
      <c r="AN164" s="67" t="s">
        <v>235</v>
      </c>
      <c r="AO164" s="67" t="s">
        <v>235</v>
      </c>
      <c r="AP164" s="67" t="s">
        <v>236</v>
      </c>
      <c r="AQ164" s="67" t="s">
        <v>236</v>
      </c>
    </row>
    <row r="165" spans="1:43" ht="50" x14ac:dyDescent="0.35">
      <c r="A165" s="64">
        <v>163</v>
      </c>
      <c r="B165" s="67" t="s">
        <v>1042</v>
      </c>
      <c r="C165" s="67" t="str">
        <f t="shared" si="12"/>
        <v>Kuala Kurun, 08 Mei 2000</v>
      </c>
      <c r="D165" s="67" t="str">
        <f t="shared" si="13"/>
        <v>S1 - Akuntansi</v>
      </c>
      <c r="E165" s="66">
        <f t="shared" si="14"/>
        <v>111</v>
      </c>
      <c r="F165" s="66" t="str">
        <f t="shared" si="15"/>
        <v>Baik</v>
      </c>
      <c r="G165" s="88"/>
      <c r="H165" s="88"/>
      <c r="I165" s="88"/>
      <c r="J165" s="88"/>
      <c r="K165" s="88"/>
      <c r="L165" s="88"/>
      <c r="M165" s="88"/>
      <c r="N165" s="88"/>
      <c r="O165" s="88"/>
      <c r="P165" s="88"/>
      <c r="Q165" s="88"/>
      <c r="R165" s="88"/>
      <c r="S165" s="88"/>
      <c r="T165" s="88"/>
      <c r="U165" s="88"/>
      <c r="V165" s="88"/>
      <c r="W165" s="88"/>
      <c r="X165" s="89"/>
      <c r="Y165" s="89"/>
      <c r="Z165" s="89"/>
      <c r="AA165" s="89"/>
      <c r="AB165" s="89"/>
      <c r="AC165" s="89"/>
      <c r="AD165" s="89"/>
      <c r="AE165" s="89"/>
      <c r="AF165" s="89"/>
      <c r="AG165" s="89"/>
      <c r="AH165" s="89"/>
      <c r="AI165" s="89"/>
      <c r="AJ165" s="89"/>
      <c r="AK165" s="65">
        <f t="shared" si="17"/>
        <v>0</v>
      </c>
      <c r="AL165" s="66" t="str">
        <f t="shared" si="16"/>
        <v>Tidak disarankan</v>
      </c>
      <c r="AM165" s="67" t="s">
        <v>235</v>
      </c>
      <c r="AN165" s="67" t="s">
        <v>235</v>
      </c>
      <c r="AO165" s="67" t="s">
        <v>235</v>
      </c>
      <c r="AP165" s="67" t="s">
        <v>236</v>
      </c>
      <c r="AQ165" s="67" t="s">
        <v>236</v>
      </c>
    </row>
    <row r="166" spans="1:43" ht="50" x14ac:dyDescent="0.35">
      <c r="A166" s="64">
        <v>164</v>
      </c>
      <c r="B166" s="67" t="s">
        <v>671</v>
      </c>
      <c r="C166" s="67" t="str">
        <f t="shared" si="12"/>
        <v>Tanah Laut, 07 Agustus 2000</v>
      </c>
      <c r="D166" s="67" t="str">
        <f t="shared" si="13"/>
        <v>S1 - Ekonomi Syariah</v>
      </c>
      <c r="E166" s="66">
        <f t="shared" si="14"/>
        <v>115</v>
      </c>
      <c r="F166" s="66" t="str">
        <f t="shared" si="15"/>
        <v>Baik</v>
      </c>
      <c r="G166" s="88"/>
      <c r="H166" s="88"/>
      <c r="I166" s="88"/>
      <c r="J166" s="88"/>
      <c r="K166" s="88"/>
      <c r="L166" s="88"/>
      <c r="M166" s="88"/>
      <c r="N166" s="88"/>
      <c r="O166" s="88"/>
      <c r="P166" s="88"/>
      <c r="Q166" s="88"/>
      <c r="R166" s="88"/>
      <c r="S166" s="88"/>
      <c r="T166" s="88"/>
      <c r="U166" s="88"/>
      <c r="V166" s="88"/>
      <c r="W166" s="88"/>
      <c r="X166" s="89"/>
      <c r="Y166" s="89"/>
      <c r="Z166" s="89"/>
      <c r="AA166" s="89"/>
      <c r="AB166" s="89"/>
      <c r="AC166" s="89"/>
      <c r="AD166" s="89"/>
      <c r="AE166" s="89"/>
      <c r="AF166" s="89"/>
      <c r="AG166" s="89"/>
      <c r="AH166" s="89"/>
      <c r="AI166" s="89"/>
      <c r="AJ166" s="89"/>
      <c r="AK166" s="65">
        <f t="shared" si="17"/>
        <v>0</v>
      </c>
      <c r="AL166" s="66" t="str">
        <f t="shared" si="16"/>
        <v>Tidak disarankan</v>
      </c>
      <c r="AM166" s="67" t="s">
        <v>235</v>
      </c>
      <c r="AN166" s="67" t="s">
        <v>235</v>
      </c>
      <c r="AO166" s="67" t="s">
        <v>235</v>
      </c>
      <c r="AP166" s="67" t="s">
        <v>236</v>
      </c>
      <c r="AQ166" s="67" t="s">
        <v>236</v>
      </c>
    </row>
    <row r="167" spans="1:43" ht="50" x14ac:dyDescent="0.35">
      <c r="A167" s="64">
        <v>165</v>
      </c>
      <c r="B167" s="67" t="s">
        <v>1415</v>
      </c>
      <c r="C167" s="67" t="str">
        <f t="shared" si="12"/>
        <v>Sampit, 20 September 1999</v>
      </c>
      <c r="D167" s="67" t="str">
        <f t="shared" si="13"/>
        <v>S1 - Hukum Ekonomi Syariah</v>
      </c>
      <c r="E167" s="66">
        <f t="shared" si="14"/>
        <v>128</v>
      </c>
      <c r="F167" s="66" t="str">
        <f t="shared" si="15"/>
        <v>Baik Sekali</v>
      </c>
      <c r="G167" s="88"/>
      <c r="H167" s="88"/>
      <c r="I167" s="88"/>
      <c r="J167" s="88"/>
      <c r="K167" s="88"/>
      <c r="L167" s="88"/>
      <c r="M167" s="88"/>
      <c r="N167" s="88"/>
      <c r="O167" s="88"/>
      <c r="P167" s="88"/>
      <c r="Q167" s="88"/>
      <c r="R167" s="88"/>
      <c r="S167" s="88"/>
      <c r="T167" s="88"/>
      <c r="U167" s="88"/>
      <c r="V167" s="88"/>
      <c r="W167" s="88"/>
      <c r="X167" s="89"/>
      <c r="Y167" s="89"/>
      <c r="Z167" s="89"/>
      <c r="AA167" s="89"/>
      <c r="AB167" s="89"/>
      <c r="AC167" s="89"/>
      <c r="AD167" s="89"/>
      <c r="AE167" s="89"/>
      <c r="AF167" s="89"/>
      <c r="AG167" s="89"/>
      <c r="AH167" s="89"/>
      <c r="AI167" s="89"/>
      <c r="AJ167" s="89"/>
      <c r="AK167" s="65">
        <f t="shared" si="17"/>
        <v>0</v>
      </c>
      <c r="AL167" s="66" t="str">
        <f t="shared" si="16"/>
        <v>Tidak disarankan</v>
      </c>
      <c r="AM167" s="67" t="s">
        <v>235</v>
      </c>
      <c r="AN167" s="67" t="s">
        <v>235</v>
      </c>
      <c r="AO167" s="67" t="s">
        <v>235</v>
      </c>
      <c r="AP167" s="67" t="s">
        <v>236</v>
      </c>
      <c r="AQ167" s="67" t="s">
        <v>236</v>
      </c>
    </row>
    <row r="168" spans="1:43" ht="50" x14ac:dyDescent="0.35">
      <c r="A168" s="64">
        <v>166</v>
      </c>
      <c r="B168" s="67" t="s">
        <v>1433</v>
      </c>
      <c r="C168" s="67" t="str">
        <f t="shared" si="12"/>
        <v>Pulang Pisau, 29 Maret 1999</v>
      </c>
      <c r="D168" s="67" t="str">
        <f t="shared" si="13"/>
        <v>S1 - Administrasi Negara</v>
      </c>
      <c r="E168" s="66">
        <f t="shared" si="14"/>
        <v>103</v>
      </c>
      <c r="F168" s="66" t="str">
        <f t="shared" si="15"/>
        <v>Rata-rata</v>
      </c>
      <c r="G168" s="88"/>
      <c r="H168" s="88"/>
      <c r="I168" s="88"/>
      <c r="J168" s="88"/>
      <c r="K168" s="88"/>
      <c r="L168" s="88"/>
      <c r="M168" s="88"/>
      <c r="N168" s="88"/>
      <c r="O168" s="88"/>
      <c r="P168" s="88"/>
      <c r="Q168" s="88"/>
      <c r="R168" s="88"/>
      <c r="S168" s="88"/>
      <c r="T168" s="88"/>
      <c r="U168" s="88"/>
      <c r="V168" s="88"/>
      <c r="W168" s="88"/>
      <c r="X168" s="89"/>
      <c r="Y168" s="89"/>
      <c r="Z168" s="89"/>
      <c r="AA168" s="89"/>
      <c r="AB168" s="89"/>
      <c r="AC168" s="89"/>
      <c r="AD168" s="89"/>
      <c r="AE168" s="89"/>
      <c r="AF168" s="89"/>
      <c r="AG168" s="89"/>
      <c r="AH168" s="89"/>
      <c r="AI168" s="89"/>
      <c r="AJ168" s="89"/>
      <c r="AK168" s="65">
        <f t="shared" si="17"/>
        <v>0</v>
      </c>
      <c r="AL168" s="66" t="str">
        <f t="shared" si="16"/>
        <v>Tidak disarankan</v>
      </c>
      <c r="AM168" s="67" t="s">
        <v>235</v>
      </c>
      <c r="AN168" s="67" t="s">
        <v>235</v>
      </c>
      <c r="AO168" s="67" t="s">
        <v>235</v>
      </c>
      <c r="AP168" s="67" t="s">
        <v>236</v>
      </c>
      <c r="AQ168" s="67" t="s">
        <v>236</v>
      </c>
    </row>
    <row r="169" spans="1:43" ht="50" x14ac:dyDescent="0.35">
      <c r="A169" s="64">
        <v>167</v>
      </c>
      <c r="B169" s="67" t="s">
        <v>1524</v>
      </c>
      <c r="C169" s="67" t="str">
        <f t="shared" si="12"/>
        <v>Sampit, 06 Oktober 1998</v>
      </c>
      <c r="D169" s="67" t="str">
        <f t="shared" si="13"/>
        <v>S1 - Ilmu Kelautan</v>
      </c>
      <c r="E169" s="66">
        <f t="shared" si="14"/>
        <v>116</v>
      </c>
      <c r="F169" s="66" t="str">
        <f t="shared" si="15"/>
        <v>Baik</v>
      </c>
      <c r="G169" s="88"/>
      <c r="H169" s="88"/>
      <c r="I169" s="88"/>
      <c r="J169" s="88"/>
      <c r="K169" s="88"/>
      <c r="L169" s="88"/>
      <c r="M169" s="88"/>
      <c r="N169" s="88"/>
      <c r="O169" s="88"/>
      <c r="P169" s="88"/>
      <c r="Q169" s="88"/>
      <c r="R169" s="88"/>
      <c r="S169" s="88"/>
      <c r="T169" s="88"/>
      <c r="U169" s="88"/>
      <c r="V169" s="88"/>
      <c r="W169" s="88"/>
      <c r="X169" s="89"/>
      <c r="Y169" s="89"/>
      <c r="Z169" s="89"/>
      <c r="AA169" s="89"/>
      <c r="AB169" s="89"/>
      <c r="AC169" s="89"/>
      <c r="AD169" s="89"/>
      <c r="AE169" s="89"/>
      <c r="AF169" s="89"/>
      <c r="AG169" s="89"/>
      <c r="AH169" s="89"/>
      <c r="AI169" s="89"/>
      <c r="AJ169" s="89"/>
      <c r="AK169" s="65">
        <f t="shared" si="17"/>
        <v>0</v>
      </c>
      <c r="AL169" s="66" t="str">
        <f t="shared" si="16"/>
        <v>Tidak disarankan</v>
      </c>
      <c r="AM169" s="67" t="s">
        <v>235</v>
      </c>
      <c r="AN169" s="67" t="s">
        <v>235</v>
      </c>
      <c r="AO169" s="67" t="s">
        <v>235</v>
      </c>
      <c r="AP169" s="67" t="s">
        <v>236</v>
      </c>
      <c r="AQ169" s="67" t="s">
        <v>236</v>
      </c>
    </row>
    <row r="170" spans="1:43" ht="50" x14ac:dyDescent="0.35">
      <c r="A170" s="64">
        <v>168</v>
      </c>
      <c r="B170" s="67" t="s">
        <v>1523</v>
      </c>
      <c r="C170" s="67" t="str">
        <f t="shared" si="12"/>
        <v>Bahaur, 14 Februari 2001</v>
      </c>
      <c r="D170" s="67" t="str">
        <f t="shared" si="13"/>
        <v>S1 - Administrasi Publik</v>
      </c>
      <c r="E170" s="66">
        <f t="shared" si="14"/>
        <v>126</v>
      </c>
      <c r="F170" s="66" t="str">
        <f t="shared" si="15"/>
        <v>Baik Sekali</v>
      </c>
      <c r="G170" s="88"/>
      <c r="H170" s="88"/>
      <c r="I170" s="88"/>
      <c r="J170" s="88"/>
      <c r="K170" s="88"/>
      <c r="L170" s="88"/>
      <c r="M170" s="88"/>
      <c r="N170" s="88"/>
      <c r="O170" s="88"/>
      <c r="P170" s="88"/>
      <c r="Q170" s="88"/>
      <c r="R170" s="88"/>
      <c r="S170" s="88"/>
      <c r="T170" s="88"/>
      <c r="U170" s="88"/>
      <c r="V170" s="88"/>
      <c r="W170" s="88"/>
      <c r="X170" s="89"/>
      <c r="Y170" s="89"/>
      <c r="Z170" s="89"/>
      <c r="AA170" s="89"/>
      <c r="AB170" s="89"/>
      <c r="AC170" s="89"/>
      <c r="AD170" s="89"/>
      <c r="AE170" s="89"/>
      <c r="AF170" s="89"/>
      <c r="AG170" s="89"/>
      <c r="AH170" s="89"/>
      <c r="AI170" s="89"/>
      <c r="AJ170" s="89"/>
      <c r="AK170" s="65">
        <f t="shared" si="17"/>
        <v>0</v>
      </c>
      <c r="AL170" s="66" t="str">
        <f t="shared" si="16"/>
        <v>Tidak disarankan</v>
      </c>
      <c r="AM170" s="67" t="s">
        <v>235</v>
      </c>
      <c r="AN170" s="67" t="s">
        <v>235</v>
      </c>
      <c r="AO170" s="67" t="s">
        <v>235</v>
      </c>
      <c r="AP170" s="67" t="s">
        <v>236</v>
      </c>
      <c r="AQ170" s="67" t="s">
        <v>236</v>
      </c>
    </row>
    <row r="171" spans="1:43" ht="50" x14ac:dyDescent="0.35">
      <c r="A171" s="64">
        <v>169</v>
      </c>
      <c r="B171" s="67" t="s">
        <v>1089</v>
      </c>
      <c r="C171" s="67" t="str">
        <f t="shared" si="12"/>
        <v>Palangka Raya, 21 Desember 1997</v>
      </c>
      <c r="D171" s="67" t="str">
        <f t="shared" si="13"/>
        <v>S1 - Sistem Informasi</v>
      </c>
      <c r="E171" s="66">
        <f t="shared" si="14"/>
        <v>96</v>
      </c>
      <c r="F171" s="66" t="str">
        <f t="shared" si="15"/>
        <v>Rata-rata</v>
      </c>
      <c r="G171" s="88"/>
      <c r="H171" s="88"/>
      <c r="I171" s="88"/>
      <c r="J171" s="88"/>
      <c r="K171" s="88"/>
      <c r="L171" s="88"/>
      <c r="M171" s="88"/>
      <c r="N171" s="88"/>
      <c r="O171" s="88"/>
      <c r="P171" s="88"/>
      <c r="Q171" s="88"/>
      <c r="R171" s="88"/>
      <c r="S171" s="88"/>
      <c r="T171" s="88"/>
      <c r="U171" s="88"/>
      <c r="V171" s="88"/>
      <c r="W171" s="88"/>
      <c r="X171" s="89"/>
      <c r="Y171" s="89"/>
      <c r="Z171" s="89"/>
      <c r="AA171" s="89"/>
      <c r="AB171" s="89"/>
      <c r="AC171" s="89"/>
      <c r="AD171" s="89"/>
      <c r="AE171" s="89"/>
      <c r="AF171" s="89"/>
      <c r="AG171" s="89"/>
      <c r="AH171" s="89"/>
      <c r="AI171" s="89"/>
      <c r="AJ171" s="89"/>
      <c r="AK171" s="65">
        <f t="shared" si="17"/>
        <v>0</v>
      </c>
      <c r="AL171" s="66" t="str">
        <f t="shared" si="16"/>
        <v>Tidak disarankan</v>
      </c>
      <c r="AM171" s="67" t="s">
        <v>235</v>
      </c>
      <c r="AN171" s="67" t="s">
        <v>235</v>
      </c>
      <c r="AO171" s="67" t="s">
        <v>235</v>
      </c>
      <c r="AP171" s="67" t="s">
        <v>236</v>
      </c>
      <c r="AQ171" s="67" t="s">
        <v>236</v>
      </c>
    </row>
    <row r="172" spans="1:43" ht="50" x14ac:dyDescent="0.35">
      <c r="A172" s="64">
        <v>170</v>
      </c>
      <c r="B172" s="67" t="s">
        <v>350</v>
      </c>
      <c r="C172" s="67" t="str">
        <f t="shared" si="12"/>
        <v>Palangka Raya, 13 April 1997</v>
      </c>
      <c r="D172" s="67" t="str">
        <f t="shared" si="13"/>
        <v>S1 - Ilmu Hukum</v>
      </c>
      <c r="E172" s="66">
        <f t="shared" si="14"/>
        <v>113</v>
      </c>
      <c r="F172" s="66" t="str">
        <f t="shared" si="15"/>
        <v>Baik</v>
      </c>
      <c r="G172" s="88"/>
      <c r="H172" s="88"/>
      <c r="I172" s="88"/>
      <c r="J172" s="88"/>
      <c r="K172" s="88"/>
      <c r="L172" s="88"/>
      <c r="M172" s="88"/>
      <c r="N172" s="88"/>
      <c r="O172" s="88"/>
      <c r="P172" s="88"/>
      <c r="Q172" s="88"/>
      <c r="R172" s="88"/>
      <c r="S172" s="88"/>
      <c r="T172" s="88"/>
      <c r="U172" s="88"/>
      <c r="V172" s="88"/>
      <c r="W172" s="88"/>
      <c r="X172" s="89"/>
      <c r="Y172" s="89"/>
      <c r="Z172" s="89"/>
      <c r="AA172" s="89"/>
      <c r="AB172" s="89"/>
      <c r="AC172" s="89"/>
      <c r="AD172" s="89"/>
      <c r="AE172" s="89"/>
      <c r="AF172" s="89"/>
      <c r="AG172" s="89"/>
      <c r="AH172" s="89"/>
      <c r="AI172" s="89"/>
      <c r="AJ172" s="89"/>
      <c r="AK172" s="65">
        <f t="shared" si="17"/>
        <v>0</v>
      </c>
      <c r="AL172" s="66" t="str">
        <f t="shared" si="16"/>
        <v>Tidak disarankan</v>
      </c>
      <c r="AM172" s="67" t="s">
        <v>235</v>
      </c>
      <c r="AN172" s="67" t="s">
        <v>235</v>
      </c>
      <c r="AO172" s="67" t="s">
        <v>235</v>
      </c>
      <c r="AP172" s="67" t="s">
        <v>236</v>
      </c>
      <c r="AQ172" s="67" t="s">
        <v>236</v>
      </c>
    </row>
    <row r="173" spans="1:43" ht="50" x14ac:dyDescent="0.35">
      <c r="A173" s="64">
        <v>171</v>
      </c>
      <c r="B173" s="67" t="s">
        <v>683</v>
      </c>
      <c r="C173" s="67" t="str">
        <f t="shared" si="12"/>
        <v>Banjarmasin, 17 Mei 1999</v>
      </c>
      <c r="D173" s="67" t="str">
        <f t="shared" si="13"/>
        <v>S1 - Akuntansi</v>
      </c>
      <c r="E173" s="66">
        <f t="shared" si="14"/>
        <v>113</v>
      </c>
      <c r="F173" s="66" t="str">
        <f t="shared" si="15"/>
        <v>Baik</v>
      </c>
      <c r="G173" s="88"/>
      <c r="H173" s="88"/>
      <c r="I173" s="88"/>
      <c r="J173" s="88"/>
      <c r="K173" s="88"/>
      <c r="L173" s="88"/>
      <c r="M173" s="88"/>
      <c r="N173" s="88"/>
      <c r="O173" s="88"/>
      <c r="P173" s="88"/>
      <c r="Q173" s="88"/>
      <c r="R173" s="88"/>
      <c r="S173" s="88"/>
      <c r="T173" s="88"/>
      <c r="U173" s="88"/>
      <c r="V173" s="88"/>
      <c r="W173" s="88"/>
      <c r="X173" s="89"/>
      <c r="Y173" s="89"/>
      <c r="Z173" s="89"/>
      <c r="AA173" s="89"/>
      <c r="AB173" s="89"/>
      <c r="AC173" s="89"/>
      <c r="AD173" s="89"/>
      <c r="AE173" s="89"/>
      <c r="AF173" s="89"/>
      <c r="AG173" s="89"/>
      <c r="AH173" s="89"/>
      <c r="AI173" s="89"/>
      <c r="AJ173" s="89"/>
      <c r="AK173" s="65">
        <f t="shared" si="17"/>
        <v>0</v>
      </c>
      <c r="AL173" s="66" t="str">
        <f t="shared" si="16"/>
        <v>Tidak disarankan</v>
      </c>
      <c r="AM173" s="67" t="s">
        <v>235</v>
      </c>
      <c r="AN173" s="67" t="s">
        <v>235</v>
      </c>
      <c r="AO173" s="67" t="s">
        <v>235</v>
      </c>
      <c r="AP173" s="67" t="s">
        <v>236</v>
      </c>
      <c r="AQ173" s="67" t="s">
        <v>236</v>
      </c>
    </row>
    <row r="174" spans="1:43" ht="50" x14ac:dyDescent="0.35">
      <c r="A174" s="64">
        <v>172</v>
      </c>
      <c r="B174" s="67" t="s">
        <v>1151</v>
      </c>
      <c r="C174" s="67" t="str">
        <f t="shared" si="12"/>
        <v>Pulang Pisau, 28 Maret 1996</v>
      </c>
      <c r="D174" s="67" t="str">
        <f t="shared" si="13"/>
        <v>S1 - Akuntansi</v>
      </c>
      <c r="E174" s="66">
        <f t="shared" si="14"/>
        <v>88</v>
      </c>
      <c r="F174" s="66" t="str">
        <f t="shared" si="15"/>
        <v>Kurang</v>
      </c>
      <c r="G174" s="88"/>
      <c r="H174" s="88"/>
      <c r="I174" s="88"/>
      <c r="J174" s="88"/>
      <c r="K174" s="88"/>
      <c r="L174" s="88"/>
      <c r="M174" s="88"/>
      <c r="N174" s="88"/>
      <c r="O174" s="88"/>
      <c r="P174" s="88"/>
      <c r="Q174" s="88"/>
      <c r="R174" s="88"/>
      <c r="S174" s="88"/>
      <c r="T174" s="88"/>
      <c r="U174" s="88"/>
      <c r="V174" s="88"/>
      <c r="W174" s="88"/>
      <c r="X174" s="89"/>
      <c r="Y174" s="89"/>
      <c r="Z174" s="89"/>
      <c r="AA174" s="89"/>
      <c r="AB174" s="89"/>
      <c r="AC174" s="89"/>
      <c r="AD174" s="89"/>
      <c r="AE174" s="89"/>
      <c r="AF174" s="89"/>
      <c r="AG174" s="89"/>
      <c r="AH174" s="89"/>
      <c r="AI174" s="89"/>
      <c r="AJ174" s="89"/>
      <c r="AK174" s="65">
        <f t="shared" si="17"/>
        <v>0</v>
      </c>
      <c r="AL174" s="66" t="str">
        <f t="shared" si="16"/>
        <v>Tidak disarankan</v>
      </c>
      <c r="AM174" s="67" t="s">
        <v>235</v>
      </c>
      <c r="AN174" s="67" t="s">
        <v>235</v>
      </c>
      <c r="AO174" s="67" t="s">
        <v>235</v>
      </c>
      <c r="AP174" s="67" t="s">
        <v>236</v>
      </c>
      <c r="AQ174" s="67" t="s">
        <v>236</v>
      </c>
    </row>
    <row r="175" spans="1:43" ht="50" x14ac:dyDescent="0.35">
      <c r="A175" s="64">
        <v>173</v>
      </c>
      <c r="B175" s="67" t="s">
        <v>1125</v>
      </c>
      <c r="C175" s="67" t="str">
        <f t="shared" si="12"/>
        <v>Palangkaraya, 15 Maret 1996</v>
      </c>
      <c r="D175" s="67" t="str">
        <f t="shared" si="13"/>
        <v>S1 - Manajemen</v>
      </c>
      <c r="E175" s="66">
        <f t="shared" si="14"/>
        <v>110</v>
      </c>
      <c r="F175" s="66" t="str">
        <f t="shared" si="15"/>
        <v>Baik</v>
      </c>
      <c r="G175" s="88"/>
      <c r="H175" s="88"/>
      <c r="I175" s="88"/>
      <c r="J175" s="88"/>
      <c r="K175" s="88"/>
      <c r="L175" s="88"/>
      <c r="M175" s="88"/>
      <c r="N175" s="88"/>
      <c r="O175" s="88"/>
      <c r="P175" s="88"/>
      <c r="Q175" s="88"/>
      <c r="R175" s="88"/>
      <c r="S175" s="88"/>
      <c r="T175" s="88"/>
      <c r="U175" s="88"/>
      <c r="V175" s="88"/>
      <c r="W175" s="88"/>
      <c r="X175" s="89"/>
      <c r="Y175" s="89"/>
      <c r="Z175" s="89"/>
      <c r="AA175" s="89"/>
      <c r="AB175" s="89"/>
      <c r="AC175" s="89"/>
      <c r="AD175" s="89"/>
      <c r="AE175" s="89"/>
      <c r="AF175" s="89"/>
      <c r="AG175" s="89"/>
      <c r="AH175" s="89"/>
      <c r="AI175" s="89"/>
      <c r="AJ175" s="89"/>
      <c r="AK175" s="65">
        <f t="shared" si="17"/>
        <v>0</v>
      </c>
      <c r="AL175" s="66" t="str">
        <f t="shared" si="16"/>
        <v>Tidak disarankan</v>
      </c>
      <c r="AM175" s="67" t="s">
        <v>235</v>
      </c>
      <c r="AN175" s="67" t="s">
        <v>235</v>
      </c>
      <c r="AO175" s="67" t="s">
        <v>235</v>
      </c>
      <c r="AP175" s="67" t="s">
        <v>236</v>
      </c>
      <c r="AQ175" s="67" t="s">
        <v>236</v>
      </c>
    </row>
    <row r="176" spans="1:43" ht="50" x14ac:dyDescent="0.35">
      <c r="A176" s="64">
        <v>174</v>
      </c>
      <c r="B176" s="67" t="s">
        <v>1213</v>
      </c>
      <c r="C176" s="67" t="str">
        <f t="shared" si="12"/>
        <v>Palangka Raya, 27 Maret 1998</v>
      </c>
      <c r="D176" s="67" t="str">
        <f t="shared" si="13"/>
        <v>S1 - Teknologi Hasil Perikanan</v>
      </c>
      <c r="E176" s="66">
        <f t="shared" si="14"/>
        <v>114</v>
      </c>
      <c r="F176" s="66" t="str">
        <f t="shared" si="15"/>
        <v>Baik</v>
      </c>
      <c r="G176" s="88"/>
      <c r="H176" s="88"/>
      <c r="I176" s="88"/>
      <c r="J176" s="88"/>
      <c r="K176" s="88"/>
      <c r="L176" s="88"/>
      <c r="M176" s="88"/>
      <c r="N176" s="88"/>
      <c r="O176" s="88"/>
      <c r="P176" s="88"/>
      <c r="Q176" s="88"/>
      <c r="R176" s="88"/>
      <c r="S176" s="88"/>
      <c r="T176" s="88"/>
      <c r="U176" s="88"/>
      <c r="V176" s="88"/>
      <c r="W176" s="88"/>
      <c r="X176" s="89"/>
      <c r="Y176" s="89"/>
      <c r="Z176" s="89"/>
      <c r="AA176" s="89"/>
      <c r="AB176" s="89"/>
      <c r="AC176" s="89"/>
      <c r="AD176" s="89"/>
      <c r="AE176" s="89"/>
      <c r="AF176" s="89"/>
      <c r="AG176" s="89"/>
      <c r="AH176" s="89"/>
      <c r="AI176" s="89"/>
      <c r="AJ176" s="89"/>
      <c r="AK176" s="65">
        <f t="shared" si="17"/>
        <v>0</v>
      </c>
      <c r="AL176" s="66" t="str">
        <f t="shared" si="16"/>
        <v>Tidak disarankan</v>
      </c>
      <c r="AM176" s="67" t="s">
        <v>235</v>
      </c>
      <c r="AN176" s="67" t="s">
        <v>235</v>
      </c>
      <c r="AO176" s="67" t="s">
        <v>235</v>
      </c>
      <c r="AP176" s="67" t="s">
        <v>236</v>
      </c>
      <c r="AQ176" s="67" t="s">
        <v>236</v>
      </c>
    </row>
    <row r="177" spans="1:43" ht="50" x14ac:dyDescent="0.35">
      <c r="A177" s="64">
        <v>175</v>
      </c>
      <c r="B177" s="67" t="s">
        <v>704</v>
      </c>
      <c r="C177" s="67" t="str">
        <f t="shared" si="12"/>
        <v>Yogyakarta, 30 Agustus 2000</v>
      </c>
      <c r="D177" s="67" t="str">
        <f t="shared" si="13"/>
        <v>S1 - Ekonomi Syariah</v>
      </c>
      <c r="E177" s="66">
        <f t="shared" si="14"/>
        <v>115</v>
      </c>
      <c r="F177" s="66" t="str">
        <f t="shared" si="15"/>
        <v>Baik</v>
      </c>
      <c r="G177" s="88"/>
      <c r="H177" s="88"/>
      <c r="I177" s="88"/>
      <c r="J177" s="88"/>
      <c r="K177" s="88"/>
      <c r="L177" s="88"/>
      <c r="M177" s="88"/>
      <c r="N177" s="88"/>
      <c r="O177" s="88"/>
      <c r="P177" s="88"/>
      <c r="Q177" s="88"/>
      <c r="R177" s="88"/>
      <c r="S177" s="88"/>
      <c r="T177" s="88"/>
      <c r="U177" s="88"/>
      <c r="V177" s="88"/>
      <c r="W177" s="88"/>
      <c r="X177" s="89"/>
      <c r="Y177" s="89"/>
      <c r="Z177" s="89"/>
      <c r="AA177" s="89"/>
      <c r="AB177" s="89"/>
      <c r="AC177" s="89"/>
      <c r="AD177" s="89"/>
      <c r="AE177" s="89"/>
      <c r="AF177" s="89"/>
      <c r="AG177" s="89"/>
      <c r="AH177" s="89"/>
      <c r="AI177" s="89"/>
      <c r="AJ177" s="89"/>
      <c r="AK177" s="65">
        <f t="shared" si="17"/>
        <v>0</v>
      </c>
      <c r="AL177" s="66" t="str">
        <f t="shared" si="16"/>
        <v>Tidak disarankan</v>
      </c>
      <c r="AM177" s="67" t="s">
        <v>235</v>
      </c>
      <c r="AN177" s="67" t="s">
        <v>235</v>
      </c>
      <c r="AO177" s="67" t="s">
        <v>235</v>
      </c>
      <c r="AP177" s="67" t="s">
        <v>236</v>
      </c>
      <c r="AQ177" s="67" t="s">
        <v>236</v>
      </c>
    </row>
    <row r="178" spans="1:43" ht="50" x14ac:dyDescent="0.35">
      <c r="A178" s="64">
        <v>176</v>
      </c>
      <c r="B178" s="67" t="s">
        <v>703</v>
      </c>
      <c r="C178" s="67" t="str">
        <f t="shared" si="12"/>
        <v>Kuala Pembuang, 23 September 1999</v>
      </c>
      <c r="D178" s="67" t="str">
        <f t="shared" si="13"/>
        <v>S1 - Agroteknologi</v>
      </c>
      <c r="E178" s="66">
        <f t="shared" si="14"/>
        <v>120</v>
      </c>
      <c r="F178" s="66" t="str">
        <f t="shared" si="15"/>
        <v>Baik Sekali</v>
      </c>
      <c r="G178" s="88"/>
      <c r="H178" s="88"/>
      <c r="I178" s="88"/>
      <c r="J178" s="88"/>
      <c r="K178" s="88"/>
      <c r="L178" s="88"/>
      <c r="M178" s="88"/>
      <c r="N178" s="88"/>
      <c r="O178" s="88"/>
      <c r="P178" s="88"/>
      <c r="Q178" s="88"/>
      <c r="R178" s="88"/>
      <c r="S178" s="88"/>
      <c r="T178" s="88"/>
      <c r="U178" s="88"/>
      <c r="V178" s="88"/>
      <c r="W178" s="88"/>
      <c r="X178" s="89"/>
      <c r="Y178" s="89"/>
      <c r="Z178" s="89"/>
      <c r="AA178" s="89"/>
      <c r="AB178" s="89"/>
      <c r="AC178" s="89"/>
      <c r="AD178" s="89"/>
      <c r="AE178" s="89"/>
      <c r="AF178" s="89"/>
      <c r="AG178" s="89"/>
      <c r="AH178" s="89"/>
      <c r="AI178" s="89"/>
      <c r="AJ178" s="89"/>
      <c r="AK178" s="65">
        <f t="shared" si="17"/>
        <v>0</v>
      </c>
      <c r="AL178" s="66" t="str">
        <f t="shared" si="16"/>
        <v>Tidak disarankan</v>
      </c>
      <c r="AM178" s="67" t="s">
        <v>235</v>
      </c>
      <c r="AN178" s="67" t="s">
        <v>235</v>
      </c>
      <c r="AO178" s="67" t="s">
        <v>235</v>
      </c>
      <c r="AP178" s="67" t="s">
        <v>236</v>
      </c>
      <c r="AQ178" s="67" t="s">
        <v>236</v>
      </c>
    </row>
    <row r="179" spans="1:43" ht="50" x14ac:dyDescent="0.35">
      <c r="A179" s="64">
        <v>177</v>
      </c>
      <c r="B179" s="67" t="s">
        <v>365</v>
      </c>
      <c r="C179" s="67" t="str">
        <f t="shared" si="12"/>
        <v>Ciamis, 20 Agustus 2000</v>
      </c>
      <c r="D179" s="67" t="str">
        <f t="shared" si="13"/>
        <v>S1 - Manajemen</v>
      </c>
      <c r="E179" s="66">
        <f t="shared" si="14"/>
        <v>111</v>
      </c>
      <c r="F179" s="66" t="str">
        <f t="shared" si="15"/>
        <v>Baik</v>
      </c>
      <c r="G179" s="88"/>
      <c r="H179" s="88"/>
      <c r="I179" s="88"/>
      <c r="J179" s="88"/>
      <c r="K179" s="88"/>
      <c r="L179" s="88"/>
      <c r="M179" s="88"/>
      <c r="N179" s="88"/>
      <c r="O179" s="88"/>
      <c r="P179" s="88"/>
      <c r="Q179" s="88"/>
      <c r="R179" s="88"/>
      <c r="S179" s="88"/>
      <c r="T179" s="88"/>
      <c r="U179" s="88"/>
      <c r="V179" s="88"/>
      <c r="W179" s="88"/>
      <c r="X179" s="89"/>
      <c r="Y179" s="89"/>
      <c r="Z179" s="89"/>
      <c r="AA179" s="89"/>
      <c r="AB179" s="89"/>
      <c r="AC179" s="89"/>
      <c r="AD179" s="89"/>
      <c r="AE179" s="89"/>
      <c r="AF179" s="89"/>
      <c r="AG179" s="89"/>
      <c r="AH179" s="89"/>
      <c r="AI179" s="89"/>
      <c r="AJ179" s="89"/>
      <c r="AK179" s="65">
        <f t="shared" si="17"/>
        <v>0</v>
      </c>
      <c r="AL179" s="66" t="str">
        <f t="shared" si="16"/>
        <v>Tidak disarankan</v>
      </c>
      <c r="AM179" s="67" t="s">
        <v>235</v>
      </c>
      <c r="AN179" s="67" t="s">
        <v>235</v>
      </c>
      <c r="AO179" s="67" t="s">
        <v>235</v>
      </c>
      <c r="AP179" s="67" t="s">
        <v>236</v>
      </c>
      <c r="AQ179" s="67" t="s">
        <v>236</v>
      </c>
    </row>
    <row r="180" spans="1:43" ht="50" x14ac:dyDescent="0.35">
      <c r="A180" s="64">
        <v>178</v>
      </c>
      <c r="B180" s="67" t="s">
        <v>988</v>
      </c>
      <c r="C180" s="67" t="str">
        <f t="shared" si="12"/>
        <v>Bandung, 09 Mei 1999</v>
      </c>
      <c r="D180" s="67" t="str">
        <f t="shared" si="13"/>
        <v>S1 - Ilmu Pemerintahan</v>
      </c>
      <c r="E180" s="66">
        <f t="shared" si="14"/>
        <v>85</v>
      </c>
      <c r="F180" s="66" t="str">
        <f t="shared" si="15"/>
        <v>Kurang</v>
      </c>
      <c r="G180" s="88"/>
      <c r="H180" s="88"/>
      <c r="I180" s="88"/>
      <c r="J180" s="88"/>
      <c r="K180" s="88"/>
      <c r="L180" s="88"/>
      <c r="M180" s="88"/>
      <c r="N180" s="88"/>
      <c r="O180" s="88"/>
      <c r="P180" s="88"/>
      <c r="Q180" s="88"/>
      <c r="R180" s="88"/>
      <c r="S180" s="88"/>
      <c r="T180" s="88"/>
      <c r="U180" s="88"/>
      <c r="V180" s="88"/>
      <c r="W180" s="88"/>
      <c r="X180" s="89"/>
      <c r="Y180" s="89"/>
      <c r="Z180" s="89"/>
      <c r="AA180" s="89"/>
      <c r="AB180" s="89"/>
      <c r="AC180" s="89"/>
      <c r="AD180" s="89"/>
      <c r="AE180" s="89"/>
      <c r="AF180" s="89"/>
      <c r="AG180" s="89"/>
      <c r="AH180" s="89"/>
      <c r="AI180" s="89"/>
      <c r="AJ180" s="89"/>
      <c r="AK180" s="65">
        <f t="shared" si="17"/>
        <v>0</v>
      </c>
      <c r="AL180" s="66" t="str">
        <f t="shared" si="16"/>
        <v>Tidak disarankan</v>
      </c>
      <c r="AM180" s="67" t="s">
        <v>235</v>
      </c>
      <c r="AN180" s="67" t="s">
        <v>235</v>
      </c>
      <c r="AO180" s="67" t="s">
        <v>235</v>
      </c>
      <c r="AP180" s="67" t="s">
        <v>236</v>
      </c>
      <c r="AQ180" s="67" t="s">
        <v>236</v>
      </c>
    </row>
    <row r="181" spans="1:43" ht="50" x14ac:dyDescent="0.35">
      <c r="A181" s="64">
        <v>179</v>
      </c>
      <c r="B181" s="67" t="s">
        <v>721</v>
      </c>
      <c r="C181" s="67" t="str">
        <f t="shared" si="12"/>
        <v>Palangka Raya, 02 Mei 1999</v>
      </c>
      <c r="D181" s="67" t="str">
        <f t="shared" si="13"/>
        <v>S1 - Agroteknologi</v>
      </c>
      <c r="E181" s="66">
        <f t="shared" si="14"/>
        <v>120</v>
      </c>
      <c r="F181" s="66" t="str">
        <f t="shared" si="15"/>
        <v>Baik Sekali</v>
      </c>
      <c r="G181" s="88"/>
      <c r="H181" s="88"/>
      <c r="I181" s="88"/>
      <c r="J181" s="88"/>
      <c r="K181" s="88"/>
      <c r="L181" s="88"/>
      <c r="M181" s="88"/>
      <c r="N181" s="88"/>
      <c r="O181" s="88"/>
      <c r="P181" s="88"/>
      <c r="Q181" s="88"/>
      <c r="R181" s="88"/>
      <c r="S181" s="88"/>
      <c r="T181" s="88"/>
      <c r="U181" s="88"/>
      <c r="V181" s="88"/>
      <c r="W181" s="88"/>
      <c r="X181" s="89"/>
      <c r="Y181" s="89"/>
      <c r="Z181" s="89"/>
      <c r="AA181" s="89"/>
      <c r="AB181" s="89"/>
      <c r="AC181" s="89"/>
      <c r="AD181" s="89"/>
      <c r="AE181" s="89"/>
      <c r="AF181" s="89"/>
      <c r="AG181" s="89"/>
      <c r="AH181" s="89"/>
      <c r="AI181" s="89"/>
      <c r="AJ181" s="89"/>
      <c r="AK181" s="65">
        <f t="shared" si="17"/>
        <v>0</v>
      </c>
      <c r="AL181" s="66" t="str">
        <f t="shared" si="16"/>
        <v>Tidak disarankan</v>
      </c>
      <c r="AM181" s="67" t="s">
        <v>235</v>
      </c>
      <c r="AN181" s="67" t="s">
        <v>235</v>
      </c>
      <c r="AO181" s="67" t="s">
        <v>235</v>
      </c>
      <c r="AP181" s="67" t="s">
        <v>236</v>
      </c>
      <c r="AQ181" s="67" t="s">
        <v>236</v>
      </c>
    </row>
    <row r="182" spans="1:43" ht="50" x14ac:dyDescent="0.35">
      <c r="A182" s="64">
        <v>180</v>
      </c>
      <c r="B182" s="67" t="s">
        <v>963</v>
      </c>
      <c r="C182" s="67" t="str">
        <f t="shared" si="12"/>
        <v>Boyolali, 07 Desember 1999</v>
      </c>
      <c r="D182" s="67" t="str">
        <f t="shared" si="13"/>
        <v>S1 - Akuntansi</v>
      </c>
      <c r="E182" s="66">
        <f t="shared" si="14"/>
        <v>114</v>
      </c>
      <c r="F182" s="66" t="str">
        <f t="shared" si="15"/>
        <v>Baik</v>
      </c>
      <c r="G182" s="88"/>
      <c r="H182" s="88"/>
      <c r="I182" s="88"/>
      <c r="J182" s="88"/>
      <c r="K182" s="88"/>
      <c r="L182" s="88"/>
      <c r="M182" s="88"/>
      <c r="N182" s="88"/>
      <c r="O182" s="88"/>
      <c r="P182" s="88"/>
      <c r="Q182" s="88"/>
      <c r="R182" s="88"/>
      <c r="S182" s="88"/>
      <c r="T182" s="88"/>
      <c r="U182" s="88"/>
      <c r="V182" s="88"/>
      <c r="W182" s="88"/>
      <c r="X182" s="89"/>
      <c r="Y182" s="89"/>
      <c r="Z182" s="89"/>
      <c r="AA182" s="89"/>
      <c r="AB182" s="89"/>
      <c r="AC182" s="89"/>
      <c r="AD182" s="89"/>
      <c r="AE182" s="89"/>
      <c r="AF182" s="89"/>
      <c r="AG182" s="89"/>
      <c r="AH182" s="89"/>
      <c r="AI182" s="89"/>
      <c r="AJ182" s="89"/>
      <c r="AK182" s="65">
        <f t="shared" si="17"/>
        <v>0</v>
      </c>
      <c r="AL182" s="66" t="str">
        <f t="shared" si="16"/>
        <v>Tidak disarankan</v>
      </c>
      <c r="AM182" s="67" t="s">
        <v>235</v>
      </c>
      <c r="AN182" s="67" t="s">
        <v>235</v>
      </c>
      <c r="AO182" s="67" t="s">
        <v>235</v>
      </c>
      <c r="AP182" s="67" t="s">
        <v>236</v>
      </c>
      <c r="AQ182" s="67" t="s">
        <v>236</v>
      </c>
    </row>
    <row r="183" spans="1:43" ht="50" x14ac:dyDescent="0.35">
      <c r="A183" s="64">
        <v>181</v>
      </c>
      <c r="B183" s="67" t="s">
        <v>1153</v>
      </c>
      <c r="C183" s="67" t="str">
        <f t="shared" si="12"/>
        <v>Palangka Raya, 21 Oktober 2000</v>
      </c>
      <c r="D183" s="67" t="str">
        <f t="shared" si="13"/>
        <v>S1 - Jurusan Teknik Informatika</v>
      </c>
      <c r="E183" s="66">
        <f t="shared" si="14"/>
        <v>115</v>
      </c>
      <c r="F183" s="66" t="str">
        <f t="shared" si="15"/>
        <v>Baik</v>
      </c>
      <c r="G183" s="88"/>
      <c r="H183" s="88"/>
      <c r="I183" s="88"/>
      <c r="J183" s="88"/>
      <c r="K183" s="88"/>
      <c r="L183" s="88"/>
      <c r="M183" s="88"/>
      <c r="N183" s="88"/>
      <c r="O183" s="88"/>
      <c r="P183" s="88"/>
      <c r="Q183" s="88"/>
      <c r="R183" s="88"/>
      <c r="S183" s="88"/>
      <c r="T183" s="88"/>
      <c r="U183" s="88"/>
      <c r="V183" s="88"/>
      <c r="W183" s="88"/>
      <c r="X183" s="89"/>
      <c r="Y183" s="89"/>
      <c r="Z183" s="89"/>
      <c r="AA183" s="89"/>
      <c r="AB183" s="89"/>
      <c r="AC183" s="89"/>
      <c r="AD183" s="89"/>
      <c r="AE183" s="89"/>
      <c r="AF183" s="89"/>
      <c r="AG183" s="89"/>
      <c r="AH183" s="89"/>
      <c r="AI183" s="89"/>
      <c r="AJ183" s="89"/>
      <c r="AK183" s="65">
        <f t="shared" si="17"/>
        <v>0</v>
      </c>
      <c r="AL183" s="66" t="str">
        <f t="shared" si="16"/>
        <v>Tidak disarankan</v>
      </c>
      <c r="AM183" s="67" t="s">
        <v>235</v>
      </c>
      <c r="AN183" s="67" t="s">
        <v>235</v>
      </c>
      <c r="AO183" s="67" t="s">
        <v>235</v>
      </c>
      <c r="AP183" s="67" t="s">
        <v>236</v>
      </c>
      <c r="AQ183" s="67" t="s">
        <v>236</v>
      </c>
    </row>
    <row r="184" spans="1:43" ht="50" x14ac:dyDescent="0.35">
      <c r="A184" s="64">
        <v>182</v>
      </c>
      <c r="B184" s="67" t="s">
        <v>1091</v>
      </c>
      <c r="C184" s="67" t="str">
        <f t="shared" si="12"/>
        <v>Pangkalan Bun, 22 Mei 1997</v>
      </c>
      <c r="D184" s="67" t="str">
        <f t="shared" si="13"/>
        <v>S1 - Pendidikan Bahasa Inggris</v>
      </c>
      <c r="E184" s="66">
        <f t="shared" si="14"/>
        <v>103</v>
      </c>
      <c r="F184" s="66" t="str">
        <f t="shared" si="15"/>
        <v>Rata-rata</v>
      </c>
      <c r="G184" s="88"/>
      <c r="H184" s="88"/>
      <c r="I184" s="88"/>
      <c r="J184" s="88"/>
      <c r="K184" s="88"/>
      <c r="L184" s="88"/>
      <c r="M184" s="88"/>
      <c r="N184" s="88"/>
      <c r="O184" s="88"/>
      <c r="P184" s="88"/>
      <c r="Q184" s="88"/>
      <c r="R184" s="88"/>
      <c r="S184" s="88"/>
      <c r="T184" s="88"/>
      <c r="U184" s="88"/>
      <c r="V184" s="88"/>
      <c r="W184" s="88"/>
      <c r="X184" s="89"/>
      <c r="Y184" s="89"/>
      <c r="Z184" s="89"/>
      <c r="AA184" s="89"/>
      <c r="AB184" s="89"/>
      <c r="AC184" s="89"/>
      <c r="AD184" s="89"/>
      <c r="AE184" s="89"/>
      <c r="AF184" s="89"/>
      <c r="AG184" s="89"/>
      <c r="AH184" s="89"/>
      <c r="AI184" s="89"/>
      <c r="AJ184" s="89"/>
      <c r="AK184" s="65">
        <f t="shared" si="17"/>
        <v>0</v>
      </c>
      <c r="AL184" s="66" t="str">
        <f t="shared" si="16"/>
        <v>Tidak disarankan</v>
      </c>
      <c r="AM184" s="67" t="s">
        <v>235</v>
      </c>
      <c r="AN184" s="67" t="s">
        <v>235</v>
      </c>
      <c r="AO184" s="67" t="s">
        <v>235</v>
      </c>
      <c r="AP184" s="67" t="s">
        <v>236</v>
      </c>
      <c r="AQ184" s="67" t="s">
        <v>236</v>
      </c>
    </row>
    <row r="185" spans="1:43" ht="50" x14ac:dyDescent="0.35">
      <c r="A185" s="64">
        <v>183</v>
      </c>
      <c r="B185" s="67" t="s">
        <v>1093</v>
      </c>
      <c r="C185" s="67" t="str">
        <f t="shared" si="12"/>
        <v>Samuda Kota, 11 November 2001</v>
      </c>
      <c r="D185" s="67" t="str">
        <f t="shared" si="13"/>
        <v>S1 - Manajemen</v>
      </c>
      <c r="E185" s="66">
        <f t="shared" si="14"/>
        <v>116</v>
      </c>
      <c r="F185" s="66" t="str">
        <f t="shared" si="15"/>
        <v>Baik</v>
      </c>
      <c r="G185" s="88"/>
      <c r="H185" s="88"/>
      <c r="I185" s="88"/>
      <c r="J185" s="88"/>
      <c r="K185" s="88"/>
      <c r="L185" s="88"/>
      <c r="M185" s="88"/>
      <c r="N185" s="88"/>
      <c r="O185" s="88"/>
      <c r="P185" s="88"/>
      <c r="Q185" s="88"/>
      <c r="R185" s="88"/>
      <c r="S185" s="88"/>
      <c r="T185" s="88"/>
      <c r="U185" s="88"/>
      <c r="V185" s="88"/>
      <c r="W185" s="88"/>
      <c r="X185" s="89"/>
      <c r="Y185" s="89"/>
      <c r="Z185" s="89"/>
      <c r="AA185" s="89"/>
      <c r="AB185" s="89"/>
      <c r="AC185" s="89"/>
      <c r="AD185" s="89"/>
      <c r="AE185" s="89"/>
      <c r="AF185" s="89"/>
      <c r="AG185" s="89"/>
      <c r="AH185" s="89"/>
      <c r="AI185" s="89"/>
      <c r="AJ185" s="89"/>
      <c r="AK185" s="65">
        <f t="shared" si="17"/>
        <v>0</v>
      </c>
      <c r="AL185" s="66" t="str">
        <f t="shared" si="16"/>
        <v>Tidak disarankan</v>
      </c>
      <c r="AM185" s="67" t="s">
        <v>235</v>
      </c>
      <c r="AN185" s="67" t="s">
        <v>235</v>
      </c>
      <c r="AO185" s="67" t="s">
        <v>235</v>
      </c>
      <c r="AP185" s="67" t="s">
        <v>236</v>
      </c>
      <c r="AQ185" s="67" t="s">
        <v>236</v>
      </c>
    </row>
    <row r="186" spans="1:43" ht="50" x14ac:dyDescent="0.35">
      <c r="A186" s="64">
        <v>184</v>
      </c>
      <c r="B186" s="67" t="s">
        <v>681</v>
      </c>
      <c r="C186" s="67" t="str">
        <f t="shared" si="12"/>
        <v>Palangka Raya, 04 Mei 2001</v>
      </c>
      <c r="D186" s="67" t="str">
        <f t="shared" si="13"/>
        <v>S1 - Manajemen</v>
      </c>
      <c r="E186" s="66">
        <f t="shared" si="14"/>
        <v>106</v>
      </c>
      <c r="F186" s="66" t="str">
        <f t="shared" si="15"/>
        <v>Rata-rata</v>
      </c>
      <c r="G186" s="88"/>
      <c r="H186" s="88"/>
      <c r="I186" s="88"/>
      <c r="J186" s="88"/>
      <c r="K186" s="88"/>
      <c r="L186" s="88"/>
      <c r="M186" s="88"/>
      <c r="N186" s="88"/>
      <c r="O186" s="88"/>
      <c r="P186" s="88"/>
      <c r="Q186" s="88"/>
      <c r="R186" s="88"/>
      <c r="S186" s="88"/>
      <c r="T186" s="88"/>
      <c r="U186" s="88"/>
      <c r="V186" s="88"/>
      <c r="W186" s="88"/>
      <c r="X186" s="89"/>
      <c r="Y186" s="89"/>
      <c r="Z186" s="89"/>
      <c r="AA186" s="89"/>
      <c r="AB186" s="89"/>
      <c r="AC186" s="89"/>
      <c r="AD186" s="89"/>
      <c r="AE186" s="89"/>
      <c r="AF186" s="89"/>
      <c r="AG186" s="89"/>
      <c r="AH186" s="89"/>
      <c r="AI186" s="89"/>
      <c r="AJ186" s="89"/>
      <c r="AK186" s="65">
        <f t="shared" si="17"/>
        <v>0</v>
      </c>
      <c r="AL186" s="66" t="str">
        <f t="shared" si="16"/>
        <v>Tidak disarankan</v>
      </c>
      <c r="AM186" s="67" t="s">
        <v>235</v>
      </c>
      <c r="AN186" s="67" t="s">
        <v>235</v>
      </c>
      <c r="AO186" s="67" t="s">
        <v>235</v>
      </c>
      <c r="AP186" s="67" t="s">
        <v>236</v>
      </c>
      <c r="AQ186" s="67" t="s">
        <v>236</v>
      </c>
    </row>
    <row r="187" spans="1:43" ht="50" x14ac:dyDescent="0.35">
      <c r="A187" s="64">
        <v>185</v>
      </c>
      <c r="B187" s="67" t="s">
        <v>657</v>
      </c>
      <c r="C187" s="67" t="str">
        <f t="shared" si="12"/>
        <v>Palangka Raya, 20 Maret 1999</v>
      </c>
      <c r="D187" s="67" t="str">
        <f t="shared" si="13"/>
        <v>S1 - Sistem Informasi</v>
      </c>
      <c r="E187" s="66">
        <f t="shared" si="14"/>
        <v>120</v>
      </c>
      <c r="F187" s="66" t="str">
        <f t="shared" si="15"/>
        <v>Baik Sekali</v>
      </c>
      <c r="G187" s="88"/>
      <c r="H187" s="88"/>
      <c r="I187" s="88"/>
      <c r="J187" s="88"/>
      <c r="K187" s="88"/>
      <c r="L187" s="88"/>
      <c r="M187" s="88"/>
      <c r="N187" s="88"/>
      <c r="O187" s="88"/>
      <c r="P187" s="88"/>
      <c r="Q187" s="88"/>
      <c r="R187" s="88"/>
      <c r="S187" s="88"/>
      <c r="T187" s="88"/>
      <c r="U187" s="88"/>
      <c r="V187" s="88"/>
      <c r="W187" s="88"/>
      <c r="X187" s="89"/>
      <c r="Y187" s="89"/>
      <c r="Z187" s="89"/>
      <c r="AA187" s="89"/>
      <c r="AB187" s="89"/>
      <c r="AC187" s="89"/>
      <c r="AD187" s="89"/>
      <c r="AE187" s="89"/>
      <c r="AF187" s="89"/>
      <c r="AG187" s="89"/>
      <c r="AH187" s="89"/>
      <c r="AI187" s="89"/>
      <c r="AJ187" s="89"/>
      <c r="AK187" s="65">
        <f t="shared" si="17"/>
        <v>0</v>
      </c>
      <c r="AL187" s="66" t="str">
        <f t="shared" si="16"/>
        <v>Tidak disarankan</v>
      </c>
      <c r="AM187" s="67" t="s">
        <v>235</v>
      </c>
      <c r="AN187" s="67" t="s">
        <v>235</v>
      </c>
      <c r="AO187" s="67" t="s">
        <v>235</v>
      </c>
      <c r="AP187" s="67" t="s">
        <v>236</v>
      </c>
      <c r="AQ187" s="67" t="s">
        <v>236</v>
      </c>
    </row>
    <row r="188" spans="1:43" ht="50" x14ac:dyDescent="0.35">
      <c r="A188" s="64">
        <v>186</v>
      </c>
      <c r="B188" s="67" t="s">
        <v>713</v>
      </c>
      <c r="C188" s="67" t="str">
        <f t="shared" si="12"/>
        <v>Tumbang Rungan, 16 Mei 1996</v>
      </c>
      <c r="D188" s="67" t="str">
        <f t="shared" si="13"/>
        <v>S1 - Ilmu Pemerintahan</v>
      </c>
      <c r="E188" s="66">
        <f t="shared" si="14"/>
        <v>116</v>
      </c>
      <c r="F188" s="66" t="str">
        <f t="shared" si="15"/>
        <v>Baik</v>
      </c>
      <c r="G188" s="88"/>
      <c r="H188" s="88"/>
      <c r="I188" s="88"/>
      <c r="J188" s="88"/>
      <c r="K188" s="88"/>
      <c r="L188" s="88"/>
      <c r="M188" s="88"/>
      <c r="N188" s="88"/>
      <c r="O188" s="88"/>
      <c r="P188" s="88"/>
      <c r="Q188" s="88"/>
      <c r="R188" s="88"/>
      <c r="S188" s="88"/>
      <c r="T188" s="88"/>
      <c r="U188" s="88"/>
      <c r="V188" s="88"/>
      <c r="W188" s="88"/>
      <c r="X188" s="89"/>
      <c r="Y188" s="89"/>
      <c r="Z188" s="89"/>
      <c r="AA188" s="89"/>
      <c r="AB188" s="89"/>
      <c r="AC188" s="89"/>
      <c r="AD188" s="89"/>
      <c r="AE188" s="89"/>
      <c r="AF188" s="89"/>
      <c r="AG188" s="89"/>
      <c r="AH188" s="89"/>
      <c r="AI188" s="89"/>
      <c r="AJ188" s="89"/>
      <c r="AK188" s="65">
        <f t="shared" si="17"/>
        <v>0</v>
      </c>
      <c r="AL188" s="66" t="str">
        <f t="shared" si="16"/>
        <v>Tidak disarankan</v>
      </c>
      <c r="AM188" s="67" t="s">
        <v>235</v>
      </c>
      <c r="AN188" s="67" t="s">
        <v>235</v>
      </c>
      <c r="AO188" s="67" t="s">
        <v>235</v>
      </c>
      <c r="AP188" s="67" t="s">
        <v>236</v>
      </c>
      <c r="AQ188" s="67" t="s">
        <v>236</v>
      </c>
    </row>
    <row r="189" spans="1:43" ht="50" x14ac:dyDescent="0.35">
      <c r="A189" s="64">
        <v>187</v>
      </c>
      <c r="B189" s="67" t="s">
        <v>921</v>
      </c>
      <c r="C189" s="67" t="str">
        <f t="shared" si="12"/>
        <v>Kuala Kapuas, 29 Mei 2000</v>
      </c>
      <c r="D189" s="67" t="str">
        <f t="shared" si="13"/>
        <v>S1 - Bimbingan Dan Konseling</v>
      </c>
      <c r="E189" s="66">
        <f t="shared" si="14"/>
        <v>113</v>
      </c>
      <c r="F189" s="66" t="str">
        <f t="shared" si="15"/>
        <v>Baik</v>
      </c>
      <c r="G189" s="88"/>
      <c r="H189" s="88"/>
      <c r="I189" s="88"/>
      <c r="J189" s="88"/>
      <c r="K189" s="88"/>
      <c r="L189" s="88"/>
      <c r="M189" s="88"/>
      <c r="N189" s="88"/>
      <c r="O189" s="88"/>
      <c r="P189" s="88"/>
      <c r="Q189" s="88"/>
      <c r="R189" s="88"/>
      <c r="S189" s="88"/>
      <c r="T189" s="88"/>
      <c r="U189" s="88"/>
      <c r="V189" s="88"/>
      <c r="W189" s="88"/>
      <c r="X189" s="89"/>
      <c r="Y189" s="89"/>
      <c r="Z189" s="89"/>
      <c r="AA189" s="89"/>
      <c r="AB189" s="89"/>
      <c r="AC189" s="89"/>
      <c r="AD189" s="89"/>
      <c r="AE189" s="89"/>
      <c r="AF189" s="89"/>
      <c r="AG189" s="89"/>
      <c r="AH189" s="89"/>
      <c r="AI189" s="89"/>
      <c r="AJ189" s="89"/>
      <c r="AK189" s="65">
        <f t="shared" si="17"/>
        <v>0</v>
      </c>
      <c r="AL189" s="66" t="str">
        <f t="shared" si="16"/>
        <v>Tidak disarankan</v>
      </c>
      <c r="AM189" s="67" t="s">
        <v>235</v>
      </c>
      <c r="AN189" s="67" t="s">
        <v>235</v>
      </c>
      <c r="AO189" s="67" t="s">
        <v>235</v>
      </c>
      <c r="AP189" s="67" t="s">
        <v>236</v>
      </c>
      <c r="AQ189" s="67" t="s">
        <v>236</v>
      </c>
    </row>
    <row r="190" spans="1:43" ht="50" x14ac:dyDescent="0.35">
      <c r="A190" s="64">
        <v>188</v>
      </c>
      <c r="B190" s="67" t="s">
        <v>1188</v>
      </c>
      <c r="C190" s="67" t="str">
        <f t="shared" si="12"/>
        <v>Palangka Raya, 16 April 2000</v>
      </c>
      <c r="D190" s="67" t="str">
        <f t="shared" si="13"/>
        <v>S1 - Hukum</v>
      </c>
      <c r="E190" s="66">
        <f t="shared" si="14"/>
        <v>114</v>
      </c>
      <c r="F190" s="66" t="str">
        <f t="shared" si="15"/>
        <v>Baik</v>
      </c>
      <c r="G190" s="88"/>
      <c r="H190" s="88"/>
      <c r="I190" s="88"/>
      <c r="J190" s="88"/>
      <c r="K190" s="88"/>
      <c r="L190" s="88"/>
      <c r="M190" s="88"/>
      <c r="N190" s="88"/>
      <c r="O190" s="88"/>
      <c r="P190" s="88"/>
      <c r="Q190" s="88"/>
      <c r="R190" s="88"/>
      <c r="S190" s="88"/>
      <c r="T190" s="88"/>
      <c r="U190" s="88"/>
      <c r="V190" s="88"/>
      <c r="W190" s="88"/>
      <c r="X190" s="89"/>
      <c r="Y190" s="89"/>
      <c r="Z190" s="89"/>
      <c r="AA190" s="89"/>
      <c r="AB190" s="89"/>
      <c r="AC190" s="89"/>
      <c r="AD190" s="89"/>
      <c r="AE190" s="89"/>
      <c r="AF190" s="89"/>
      <c r="AG190" s="89"/>
      <c r="AH190" s="89"/>
      <c r="AI190" s="89"/>
      <c r="AJ190" s="89"/>
      <c r="AK190" s="65">
        <f t="shared" si="17"/>
        <v>0</v>
      </c>
      <c r="AL190" s="66" t="str">
        <f t="shared" si="16"/>
        <v>Tidak disarankan</v>
      </c>
      <c r="AM190" s="67" t="s">
        <v>235</v>
      </c>
      <c r="AN190" s="67" t="s">
        <v>235</v>
      </c>
      <c r="AO190" s="67" t="s">
        <v>235</v>
      </c>
      <c r="AP190" s="67" t="s">
        <v>236</v>
      </c>
      <c r="AQ190" s="67" t="s">
        <v>236</v>
      </c>
    </row>
    <row r="191" spans="1:43" ht="50" x14ac:dyDescent="0.35">
      <c r="A191" s="64">
        <v>189</v>
      </c>
      <c r="B191" s="67" t="s">
        <v>709</v>
      </c>
      <c r="C191" s="67" t="str">
        <f t="shared" si="12"/>
        <v>Palangka Raya, 20 Oktober 1999</v>
      </c>
      <c r="D191" s="67" t="str">
        <f t="shared" si="13"/>
        <v>S1 - Ekonomi Pembangunan</v>
      </c>
      <c r="E191" s="66">
        <f t="shared" si="14"/>
        <v>98</v>
      </c>
      <c r="F191" s="66" t="str">
        <f t="shared" si="15"/>
        <v>Rata-rata</v>
      </c>
      <c r="G191" s="88"/>
      <c r="H191" s="88"/>
      <c r="I191" s="88"/>
      <c r="J191" s="88"/>
      <c r="K191" s="88"/>
      <c r="L191" s="88"/>
      <c r="M191" s="88"/>
      <c r="N191" s="88"/>
      <c r="O191" s="88"/>
      <c r="P191" s="88"/>
      <c r="Q191" s="88"/>
      <c r="R191" s="88"/>
      <c r="S191" s="88"/>
      <c r="T191" s="88"/>
      <c r="U191" s="88"/>
      <c r="V191" s="88"/>
      <c r="W191" s="88"/>
      <c r="X191" s="89"/>
      <c r="Y191" s="89"/>
      <c r="Z191" s="89"/>
      <c r="AA191" s="89"/>
      <c r="AB191" s="89"/>
      <c r="AC191" s="89"/>
      <c r="AD191" s="89"/>
      <c r="AE191" s="89"/>
      <c r="AF191" s="89"/>
      <c r="AG191" s="89"/>
      <c r="AH191" s="89"/>
      <c r="AI191" s="89"/>
      <c r="AJ191" s="89"/>
      <c r="AK191" s="65">
        <f t="shared" si="17"/>
        <v>0</v>
      </c>
      <c r="AL191" s="66" t="str">
        <f t="shared" si="16"/>
        <v>Tidak disarankan</v>
      </c>
      <c r="AM191" s="67" t="s">
        <v>235</v>
      </c>
      <c r="AN191" s="67" t="s">
        <v>235</v>
      </c>
      <c r="AO191" s="67" t="s">
        <v>235</v>
      </c>
      <c r="AP191" s="67" t="s">
        <v>236</v>
      </c>
      <c r="AQ191" s="67" t="s">
        <v>236</v>
      </c>
    </row>
    <row r="192" spans="1:43" ht="50" x14ac:dyDescent="0.35">
      <c r="A192" s="64">
        <v>190</v>
      </c>
      <c r="B192" s="67" t="s">
        <v>930</v>
      </c>
      <c r="C192" s="67" t="str">
        <f t="shared" si="12"/>
        <v>Sampit, 12 Agustus 1998</v>
      </c>
      <c r="D192" s="67" t="str">
        <f t="shared" si="13"/>
        <v>S1 - Ilmu Hukum</v>
      </c>
      <c r="E192" s="66">
        <f t="shared" si="14"/>
        <v>111</v>
      </c>
      <c r="F192" s="66" t="str">
        <f t="shared" si="15"/>
        <v>Baik</v>
      </c>
      <c r="G192" s="88"/>
      <c r="H192" s="88"/>
      <c r="I192" s="88"/>
      <c r="J192" s="88"/>
      <c r="K192" s="88"/>
      <c r="L192" s="88"/>
      <c r="M192" s="88"/>
      <c r="N192" s="88"/>
      <c r="O192" s="88"/>
      <c r="P192" s="88"/>
      <c r="Q192" s="88"/>
      <c r="R192" s="88"/>
      <c r="S192" s="88"/>
      <c r="T192" s="88"/>
      <c r="U192" s="88"/>
      <c r="V192" s="88"/>
      <c r="W192" s="88"/>
      <c r="X192" s="89"/>
      <c r="Y192" s="89"/>
      <c r="Z192" s="89"/>
      <c r="AA192" s="89"/>
      <c r="AB192" s="89"/>
      <c r="AC192" s="89"/>
      <c r="AD192" s="89"/>
      <c r="AE192" s="89"/>
      <c r="AF192" s="89"/>
      <c r="AG192" s="89"/>
      <c r="AH192" s="89"/>
      <c r="AI192" s="89"/>
      <c r="AJ192" s="89"/>
      <c r="AK192" s="65">
        <f t="shared" si="17"/>
        <v>0</v>
      </c>
      <c r="AL192" s="66" t="str">
        <f t="shared" si="16"/>
        <v>Tidak disarankan</v>
      </c>
      <c r="AM192" s="67" t="s">
        <v>235</v>
      </c>
      <c r="AN192" s="67" t="s">
        <v>235</v>
      </c>
      <c r="AO192" s="67" t="s">
        <v>235</v>
      </c>
      <c r="AP192" s="67" t="s">
        <v>236</v>
      </c>
      <c r="AQ192" s="67" t="s">
        <v>236</v>
      </c>
    </row>
    <row r="193" spans="1:43" ht="50" x14ac:dyDescent="0.35">
      <c r="A193" s="64">
        <v>191</v>
      </c>
      <c r="B193" s="67" t="s">
        <v>1200</v>
      </c>
      <c r="C193" s="67" t="str">
        <f t="shared" si="12"/>
        <v>Palangkaraya, 17 September 2001</v>
      </c>
      <c r="D193" s="67" t="str">
        <f t="shared" si="13"/>
        <v>S1 - Manajemen</v>
      </c>
      <c r="E193" s="66">
        <f t="shared" si="14"/>
        <v>110</v>
      </c>
      <c r="F193" s="66" t="str">
        <f t="shared" si="15"/>
        <v>Baik</v>
      </c>
      <c r="G193" s="88"/>
      <c r="H193" s="88"/>
      <c r="I193" s="88"/>
      <c r="J193" s="88"/>
      <c r="K193" s="88"/>
      <c r="L193" s="88"/>
      <c r="M193" s="88"/>
      <c r="N193" s="88"/>
      <c r="O193" s="88"/>
      <c r="P193" s="88"/>
      <c r="Q193" s="88"/>
      <c r="R193" s="88"/>
      <c r="S193" s="88"/>
      <c r="T193" s="88"/>
      <c r="U193" s="88"/>
      <c r="V193" s="88"/>
      <c r="W193" s="88"/>
      <c r="X193" s="89"/>
      <c r="Y193" s="89"/>
      <c r="Z193" s="89"/>
      <c r="AA193" s="89"/>
      <c r="AB193" s="89"/>
      <c r="AC193" s="89"/>
      <c r="AD193" s="89"/>
      <c r="AE193" s="89"/>
      <c r="AF193" s="89"/>
      <c r="AG193" s="89"/>
      <c r="AH193" s="89"/>
      <c r="AI193" s="89"/>
      <c r="AJ193" s="89"/>
      <c r="AK193" s="65">
        <f t="shared" si="17"/>
        <v>0</v>
      </c>
      <c r="AL193" s="66" t="str">
        <f t="shared" si="16"/>
        <v>Tidak disarankan</v>
      </c>
      <c r="AM193" s="67" t="s">
        <v>235</v>
      </c>
      <c r="AN193" s="67" t="s">
        <v>235</v>
      </c>
      <c r="AO193" s="67" t="s">
        <v>235</v>
      </c>
      <c r="AP193" s="67" t="s">
        <v>236</v>
      </c>
      <c r="AQ193" s="67" t="s">
        <v>236</v>
      </c>
    </row>
    <row r="194" spans="1:43" ht="50" x14ac:dyDescent="0.35">
      <c r="A194" s="64">
        <v>192</v>
      </c>
      <c r="B194" s="67" t="s">
        <v>662</v>
      </c>
      <c r="C194" s="67" t="str">
        <f t="shared" si="12"/>
        <v>Pangkalan Bun, 13 Februari 1995</v>
      </c>
      <c r="D194" s="67" t="str">
        <f t="shared" si="13"/>
        <v>S1 - Manajemen</v>
      </c>
      <c r="E194" s="66">
        <f t="shared" si="14"/>
        <v>114</v>
      </c>
      <c r="F194" s="66" t="str">
        <f t="shared" si="15"/>
        <v>Baik</v>
      </c>
      <c r="G194" s="88"/>
      <c r="H194" s="88"/>
      <c r="I194" s="88"/>
      <c r="J194" s="88"/>
      <c r="K194" s="88"/>
      <c r="L194" s="88"/>
      <c r="M194" s="88"/>
      <c r="N194" s="88"/>
      <c r="O194" s="88"/>
      <c r="P194" s="88"/>
      <c r="Q194" s="88"/>
      <c r="R194" s="88"/>
      <c r="S194" s="88"/>
      <c r="T194" s="88"/>
      <c r="U194" s="88"/>
      <c r="V194" s="88"/>
      <c r="W194" s="88"/>
      <c r="X194" s="89"/>
      <c r="Y194" s="89"/>
      <c r="Z194" s="89"/>
      <c r="AA194" s="89"/>
      <c r="AB194" s="89"/>
      <c r="AC194" s="89"/>
      <c r="AD194" s="89"/>
      <c r="AE194" s="89"/>
      <c r="AF194" s="89"/>
      <c r="AG194" s="89"/>
      <c r="AH194" s="89"/>
      <c r="AI194" s="89"/>
      <c r="AJ194" s="89"/>
      <c r="AK194" s="65">
        <f t="shared" si="17"/>
        <v>0</v>
      </c>
      <c r="AL194" s="66" t="str">
        <f t="shared" si="16"/>
        <v>Tidak disarankan</v>
      </c>
      <c r="AM194" s="67" t="s">
        <v>235</v>
      </c>
      <c r="AN194" s="67" t="s">
        <v>235</v>
      </c>
      <c r="AO194" s="67" t="s">
        <v>235</v>
      </c>
      <c r="AP194" s="67" t="s">
        <v>236</v>
      </c>
      <c r="AQ194" s="67" t="s">
        <v>236</v>
      </c>
    </row>
    <row r="195" spans="1:43" ht="50" x14ac:dyDescent="0.35">
      <c r="A195" s="64">
        <v>193</v>
      </c>
      <c r="B195" s="67" t="s">
        <v>938</v>
      </c>
      <c r="C195" s="67" t="str">
        <f t="shared" ref="C195:C258" si="18">VLOOKUP(B195,datadiri,3,FALSE)</f>
        <v>Sampit, 04 November 1995</v>
      </c>
      <c r="D195" s="67" t="str">
        <f t="shared" ref="D195:D258" si="19">VLOOKUP(B195,datadiri,4,FALSE)</f>
        <v>S1 - Ilmu Hukum</v>
      </c>
      <c r="E195" s="66">
        <f t="shared" ref="E195:E258" si="20">VLOOKUP(B195,tiunam,2,FALSE)</f>
        <v>118</v>
      </c>
      <c r="F195" s="66" t="str">
        <f t="shared" ref="F195:F258" si="21">VLOOKUP(B195,tiunam,3,FALSE)</f>
        <v>Baik</v>
      </c>
      <c r="G195" s="88"/>
      <c r="H195" s="88"/>
      <c r="I195" s="88"/>
      <c r="J195" s="88"/>
      <c r="K195" s="88"/>
      <c r="L195" s="88"/>
      <c r="M195" s="88"/>
      <c r="N195" s="88"/>
      <c r="O195" s="88"/>
      <c r="P195" s="88"/>
      <c r="Q195" s="88"/>
      <c r="R195" s="88"/>
      <c r="S195" s="88"/>
      <c r="T195" s="88"/>
      <c r="U195" s="88"/>
      <c r="V195" s="88"/>
      <c r="W195" s="88"/>
      <c r="X195" s="89"/>
      <c r="Y195" s="89"/>
      <c r="Z195" s="89"/>
      <c r="AA195" s="89"/>
      <c r="AB195" s="89"/>
      <c r="AC195" s="89"/>
      <c r="AD195" s="89"/>
      <c r="AE195" s="89"/>
      <c r="AF195" s="89"/>
      <c r="AG195" s="89"/>
      <c r="AH195" s="89"/>
      <c r="AI195" s="89"/>
      <c r="AJ195" s="89"/>
      <c r="AK195" s="65">
        <f t="shared" si="17"/>
        <v>0</v>
      </c>
      <c r="AL195" s="66" t="str">
        <f t="shared" ref="AL195:AL258" si="22">VLOOKUP(AK195,judge,2,TRUE)</f>
        <v>Tidak disarankan</v>
      </c>
      <c r="AM195" s="67" t="s">
        <v>235</v>
      </c>
      <c r="AN195" s="67" t="s">
        <v>235</v>
      </c>
      <c r="AO195" s="67" t="s">
        <v>235</v>
      </c>
      <c r="AP195" s="67" t="s">
        <v>236</v>
      </c>
      <c r="AQ195" s="67" t="s">
        <v>236</v>
      </c>
    </row>
    <row r="196" spans="1:43" ht="50" x14ac:dyDescent="0.35">
      <c r="A196" s="64">
        <v>194</v>
      </c>
      <c r="B196" s="67" t="s">
        <v>299</v>
      </c>
      <c r="C196" s="67" t="str">
        <f t="shared" si="18"/>
        <v>Perigi, 12 Desember 1995</v>
      </c>
      <c r="D196" s="67" t="str">
        <f t="shared" si="19"/>
        <v>S1 - Ekonomi Pembangunan</v>
      </c>
      <c r="E196" s="66">
        <f t="shared" si="20"/>
        <v>124</v>
      </c>
      <c r="F196" s="66" t="str">
        <f t="shared" si="21"/>
        <v>Baik Sekali</v>
      </c>
      <c r="G196" s="88"/>
      <c r="H196" s="88"/>
      <c r="I196" s="88"/>
      <c r="J196" s="88"/>
      <c r="K196" s="88"/>
      <c r="L196" s="88"/>
      <c r="M196" s="88"/>
      <c r="N196" s="88"/>
      <c r="O196" s="88"/>
      <c r="P196" s="88"/>
      <c r="Q196" s="88"/>
      <c r="R196" s="88"/>
      <c r="S196" s="88"/>
      <c r="T196" s="88"/>
      <c r="U196" s="88"/>
      <c r="V196" s="88"/>
      <c r="W196" s="88"/>
      <c r="X196" s="89"/>
      <c r="Y196" s="89"/>
      <c r="Z196" s="89"/>
      <c r="AA196" s="89"/>
      <c r="AB196" s="89"/>
      <c r="AC196" s="89"/>
      <c r="AD196" s="89"/>
      <c r="AE196" s="89"/>
      <c r="AF196" s="89"/>
      <c r="AG196" s="89"/>
      <c r="AH196" s="89"/>
      <c r="AI196" s="89"/>
      <c r="AJ196" s="89"/>
      <c r="AK196" s="65">
        <f t="shared" ref="AK196:AK259" si="23">SUM(X196:AJ196)/29</f>
        <v>0</v>
      </c>
      <c r="AL196" s="66" t="str">
        <f t="shared" si="22"/>
        <v>Tidak disarankan</v>
      </c>
      <c r="AM196" s="67" t="s">
        <v>235</v>
      </c>
      <c r="AN196" s="67" t="s">
        <v>235</v>
      </c>
      <c r="AO196" s="67" t="s">
        <v>235</v>
      </c>
      <c r="AP196" s="67" t="s">
        <v>236</v>
      </c>
      <c r="AQ196" s="67" t="s">
        <v>236</v>
      </c>
    </row>
    <row r="197" spans="1:43" ht="50" x14ac:dyDescent="0.35">
      <c r="A197" s="64">
        <v>195</v>
      </c>
      <c r="B197" s="67" t="s">
        <v>1184</v>
      </c>
      <c r="C197" s="67" t="str">
        <f t="shared" si="18"/>
        <v>Palangka Raya, 23 Desember 1998</v>
      </c>
      <c r="D197" s="67" t="str">
        <f t="shared" si="19"/>
        <v>S1 - Manajemen</v>
      </c>
      <c r="E197" s="66">
        <f t="shared" si="20"/>
        <v>109</v>
      </c>
      <c r="F197" s="66" t="str">
        <f t="shared" si="21"/>
        <v>Rata-rata</v>
      </c>
      <c r="G197" s="88"/>
      <c r="H197" s="88"/>
      <c r="I197" s="88"/>
      <c r="J197" s="88"/>
      <c r="K197" s="88"/>
      <c r="L197" s="88"/>
      <c r="M197" s="88"/>
      <c r="N197" s="88"/>
      <c r="O197" s="88"/>
      <c r="P197" s="88"/>
      <c r="Q197" s="88"/>
      <c r="R197" s="88"/>
      <c r="S197" s="88"/>
      <c r="T197" s="88"/>
      <c r="U197" s="88"/>
      <c r="V197" s="88"/>
      <c r="W197" s="88"/>
      <c r="X197" s="89"/>
      <c r="Y197" s="89"/>
      <c r="Z197" s="89"/>
      <c r="AA197" s="89"/>
      <c r="AB197" s="89"/>
      <c r="AC197" s="89"/>
      <c r="AD197" s="89"/>
      <c r="AE197" s="89"/>
      <c r="AF197" s="89"/>
      <c r="AG197" s="89"/>
      <c r="AH197" s="89"/>
      <c r="AI197" s="89"/>
      <c r="AJ197" s="89"/>
      <c r="AK197" s="65">
        <f t="shared" si="23"/>
        <v>0</v>
      </c>
      <c r="AL197" s="66" t="str">
        <f t="shared" si="22"/>
        <v>Tidak disarankan</v>
      </c>
      <c r="AM197" s="67" t="s">
        <v>235</v>
      </c>
      <c r="AN197" s="67" t="s">
        <v>235</v>
      </c>
      <c r="AO197" s="67" t="s">
        <v>235</v>
      </c>
      <c r="AP197" s="67" t="s">
        <v>236</v>
      </c>
      <c r="AQ197" s="67" t="s">
        <v>236</v>
      </c>
    </row>
    <row r="198" spans="1:43" ht="50" x14ac:dyDescent="0.35">
      <c r="A198" s="64">
        <v>196</v>
      </c>
      <c r="B198" s="67" t="s">
        <v>1129</v>
      </c>
      <c r="C198" s="67" t="str">
        <f t="shared" si="18"/>
        <v>Kuala Kapuas, 26 Januari 1995</v>
      </c>
      <c r="D198" s="67" t="str">
        <f t="shared" si="19"/>
        <v>S1 - Manajemen</v>
      </c>
      <c r="E198" s="66">
        <f t="shared" si="20"/>
        <v>118</v>
      </c>
      <c r="F198" s="66" t="str">
        <f t="shared" si="21"/>
        <v>Baik</v>
      </c>
      <c r="G198" s="88"/>
      <c r="H198" s="88"/>
      <c r="I198" s="88"/>
      <c r="J198" s="88"/>
      <c r="K198" s="88"/>
      <c r="L198" s="88"/>
      <c r="M198" s="88"/>
      <c r="N198" s="88"/>
      <c r="O198" s="88"/>
      <c r="P198" s="88"/>
      <c r="Q198" s="88"/>
      <c r="R198" s="88"/>
      <c r="S198" s="88"/>
      <c r="T198" s="88"/>
      <c r="U198" s="88"/>
      <c r="V198" s="88"/>
      <c r="W198" s="88"/>
      <c r="X198" s="89"/>
      <c r="Y198" s="89"/>
      <c r="Z198" s="89"/>
      <c r="AA198" s="89"/>
      <c r="AB198" s="89"/>
      <c r="AC198" s="89"/>
      <c r="AD198" s="89"/>
      <c r="AE198" s="89"/>
      <c r="AF198" s="89"/>
      <c r="AG198" s="89"/>
      <c r="AH198" s="89"/>
      <c r="AI198" s="89"/>
      <c r="AJ198" s="89"/>
      <c r="AK198" s="65">
        <f t="shared" si="23"/>
        <v>0</v>
      </c>
      <c r="AL198" s="66" t="str">
        <f t="shared" si="22"/>
        <v>Tidak disarankan</v>
      </c>
      <c r="AM198" s="67" t="s">
        <v>235</v>
      </c>
      <c r="AN198" s="67" t="s">
        <v>235</v>
      </c>
      <c r="AO198" s="67" t="s">
        <v>235</v>
      </c>
      <c r="AP198" s="67" t="s">
        <v>236</v>
      </c>
      <c r="AQ198" s="67" t="s">
        <v>236</v>
      </c>
    </row>
    <row r="199" spans="1:43" ht="50" x14ac:dyDescent="0.35">
      <c r="A199" s="64">
        <v>197</v>
      </c>
      <c r="B199" s="67" t="s">
        <v>1182</v>
      </c>
      <c r="C199" s="67" t="str">
        <f t="shared" si="18"/>
        <v>Palangka Raya, 29 Juli 1996</v>
      </c>
      <c r="D199" s="67" t="str">
        <f t="shared" si="19"/>
        <v>S1 - Akuntansi</v>
      </c>
      <c r="E199" s="66">
        <f t="shared" si="20"/>
        <v>119</v>
      </c>
      <c r="F199" s="66" t="str">
        <f t="shared" si="21"/>
        <v>Baik</v>
      </c>
      <c r="G199" s="88"/>
      <c r="H199" s="88"/>
      <c r="I199" s="88"/>
      <c r="J199" s="88"/>
      <c r="K199" s="88"/>
      <c r="L199" s="88"/>
      <c r="M199" s="88"/>
      <c r="N199" s="88"/>
      <c r="O199" s="88"/>
      <c r="P199" s="88"/>
      <c r="Q199" s="88"/>
      <c r="R199" s="88"/>
      <c r="S199" s="88"/>
      <c r="T199" s="88"/>
      <c r="U199" s="88"/>
      <c r="V199" s="88"/>
      <c r="W199" s="88"/>
      <c r="X199" s="89"/>
      <c r="Y199" s="89"/>
      <c r="Z199" s="89"/>
      <c r="AA199" s="89"/>
      <c r="AB199" s="89"/>
      <c r="AC199" s="89"/>
      <c r="AD199" s="89"/>
      <c r="AE199" s="89"/>
      <c r="AF199" s="89"/>
      <c r="AG199" s="89"/>
      <c r="AH199" s="89"/>
      <c r="AI199" s="89"/>
      <c r="AJ199" s="89"/>
      <c r="AK199" s="65">
        <f t="shared" si="23"/>
        <v>0</v>
      </c>
      <c r="AL199" s="66" t="str">
        <f t="shared" si="22"/>
        <v>Tidak disarankan</v>
      </c>
      <c r="AM199" s="67" t="s">
        <v>235</v>
      </c>
      <c r="AN199" s="67" t="s">
        <v>235</v>
      </c>
      <c r="AO199" s="67" t="s">
        <v>235</v>
      </c>
      <c r="AP199" s="67" t="s">
        <v>236</v>
      </c>
      <c r="AQ199" s="67" t="s">
        <v>236</v>
      </c>
    </row>
    <row r="200" spans="1:43" ht="50" x14ac:dyDescent="0.35">
      <c r="A200" s="64">
        <v>198</v>
      </c>
      <c r="B200" s="67" t="s">
        <v>714</v>
      </c>
      <c r="C200" s="67" t="str">
        <f t="shared" si="18"/>
        <v>Kuala Kapuas, 20 Februari 1997</v>
      </c>
      <c r="D200" s="67" t="str">
        <f t="shared" si="19"/>
        <v>S1 - Ilmu Adminstrasi Publik</v>
      </c>
      <c r="E200" s="66">
        <f t="shared" si="20"/>
        <v>96</v>
      </c>
      <c r="F200" s="66" t="str">
        <f t="shared" si="21"/>
        <v>Rata-rata</v>
      </c>
      <c r="G200" s="88"/>
      <c r="H200" s="88"/>
      <c r="I200" s="88"/>
      <c r="J200" s="88"/>
      <c r="K200" s="88"/>
      <c r="L200" s="88"/>
      <c r="M200" s="88"/>
      <c r="N200" s="88"/>
      <c r="O200" s="88"/>
      <c r="P200" s="88"/>
      <c r="Q200" s="88"/>
      <c r="R200" s="88"/>
      <c r="S200" s="88"/>
      <c r="T200" s="88"/>
      <c r="U200" s="88"/>
      <c r="V200" s="88"/>
      <c r="W200" s="88"/>
      <c r="X200" s="89"/>
      <c r="Y200" s="89"/>
      <c r="Z200" s="89"/>
      <c r="AA200" s="89"/>
      <c r="AB200" s="89"/>
      <c r="AC200" s="89"/>
      <c r="AD200" s="89"/>
      <c r="AE200" s="89"/>
      <c r="AF200" s="89"/>
      <c r="AG200" s="89"/>
      <c r="AH200" s="89"/>
      <c r="AI200" s="89"/>
      <c r="AJ200" s="89"/>
      <c r="AK200" s="65">
        <f t="shared" si="23"/>
        <v>0</v>
      </c>
      <c r="AL200" s="66" t="str">
        <f t="shared" si="22"/>
        <v>Tidak disarankan</v>
      </c>
      <c r="AM200" s="67" t="s">
        <v>235</v>
      </c>
      <c r="AN200" s="67" t="s">
        <v>235</v>
      </c>
      <c r="AO200" s="67" t="s">
        <v>235</v>
      </c>
      <c r="AP200" s="67" t="s">
        <v>236</v>
      </c>
      <c r="AQ200" s="67" t="s">
        <v>236</v>
      </c>
    </row>
    <row r="201" spans="1:43" ht="50" x14ac:dyDescent="0.35">
      <c r="A201" s="64">
        <v>199</v>
      </c>
      <c r="B201" s="67" t="s">
        <v>971</v>
      </c>
      <c r="C201" s="67" t="str">
        <f t="shared" si="18"/>
        <v>Pangkalan Bun, 29 Oktober 2000</v>
      </c>
      <c r="D201" s="67" t="str">
        <f t="shared" si="19"/>
        <v>S1 - Ilmu Pemerintahan</v>
      </c>
      <c r="E201" s="66">
        <f t="shared" si="20"/>
        <v>118</v>
      </c>
      <c r="F201" s="66" t="str">
        <f t="shared" si="21"/>
        <v>Baik</v>
      </c>
      <c r="G201" s="88"/>
      <c r="H201" s="88"/>
      <c r="I201" s="88"/>
      <c r="J201" s="88"/>
      <c r="K201" s="88"/>
      <c r="L201" s="88"/>
      <c r="M201" s="88"/>
      <c r="N201" s="88"/>
      <c r="O201" s="88"/>
      <c r="P201" s="88"/>
      <c r="Q201" s="88"/>
      <c r="R201" s="88"/>
      <c r="S201" s="88"/>
      <c r="T201" s="88"/>
      <c r="U201" s="88"/>
      <c r="V201" s="88"/>
      <c r="W201" s="88"/>
      <c r="X201" s="89"/>
      <c r="Y201" s="89"/>
      <c r="Z201" s="89"/>
      <c r="AA201" s="89"/>
      <c r="AB201" s="89"/>
      <c r="AC201" s="89"/>
      <c r="AD201" s="89"/>
      <c r="AE201" s="89"/>
      <c r="AF201" s="89"/>
      <c r="AG201" s="89"/>
      <c r="AH201" s="89"/>
      <c r="AI201" s="89"/>
      <c r="AJ201" s="89"/>
      <c r="AK201" s="65">
        <f t="shared" si="23"/>
        <v>0</v>
      </c>
      <c r="AL201" s="66" t="str">
        <f t="shared" si="22"/>
        <v>Tidak disarankan</v>
      </c>
      <c r="AM201" s="67" t="s">
        <v>235</v>
      </c>
      <c r="AN201" s="67" t="s">
        <v>235</v>
      </c>
      <c r="AO201" s="67" t="s">
        <v>235</v>
      </c>
      <c r="AP201" s="67" t="s">
        <v>236</v>
      </c>
      <c r="AQ201" s="67" t="s">
        <v>236</v>
      </c>
    </row>
    <row r="202" spans="1:43" ht="50" x14ac:dyDescent="0.35">
      <c r="A202" s="64">
        <v>200</v>
      </c>
      <c r="B202" s="67" t="s">
        <v>276</v>
      </c>
      <c r="C202" s="67" t="str">
        <f t="shared" si="18"/>
        <v>Palangka Raya, 01 Juli 1997</v>
      </c>
      <c r="D202" s="67" t="str">
        <f t="shared" si="19"/>
        <v>S1 - Akuntansi</v>
      </c>
      <c r="E202" s="66">
        <f t="shared" si="20"/>
        <v>110</v>
      </c>
      <c r="F202" s="66" t="str">
        <f t="shared" si="21"/>
        <v>Baik</v>
      </c>
      <c r="G202" s="88"/>
      <c r="H202" s="88"/>
      <c r="I202" s="88"/>
      <c r="J202" s="88"/>
      <c r="K202" s="88"/>
      <c r="L202" s="88"/>
      <c r="M202" s="88"/>
      <c r="N202" s="88"/>
      <c r="O202" s="88"/>
      <c r="P202" s="88"/>
      <c r="Q202" s="88"/>
      <c r="R202" s="88"/>
      <c r="S202" s="88"/>
      <c r="T202" s="88"/>
      <c r="U202" s="88"/>
      <c r="V202" s="88"/>
      <c r="W202" s="88"/>
      <c r="X202" s="89"/>
      <c r="Y202" s="89"/>
      <c r="Z202" s="89"/>
      <c r="AA202" s="89"/>
      <c r="AB202" s="89"/>
      <c r="AC202" s="89"/>
      <c r="AD202" s="89"/>
      <c r="AE202" s="89"/>
      <c r="AF202" s="89"/>
      <c r="AG202" s="89"/>
      <c r="AH202" s="89"/>
      <c r="AI202" s="89"/>
      <c r="AJ202" s="89"/>
      <c r="AK202" s="65">
        <f t="shared" si="23"/>
        <v>0</v>
      </c>
      <c r="AL202" s="66" t="str">
        <f t="shared" si="22"/>
        <v>Tidak disarankan</v>
      </c>
      <c r="AM202" s="67" t="s">
        <v>235</v>
      </c>
      <c r="AN202" s="67" t="s">
        <v>235</v>
      </c>
      <c r="AO202" s="67" t="s">
        <v>235</v>
      </c>
      <c r="AP202" s="67" t="s">
        <v>236</v>
      </c>
      <c r="AQ202" s="67" t="s">
        <v>236</v>
      </c>
    </row>
    <row r="203" spans="1:43" ht="50" x14ac:dyDescent="0.35">
      <c r="A203" s="64">
        <v>201</v>
      </c>
      <c r="B203" s="67" t="s">
        <v>247</v>
      </c>
      <c r="C203" s="67" t="str">
        <f t="shared" si="18"/>
        <v>Palangka Raya, 15 Oktober 2000</v>
      </c>
      <c r="D203" s="67" t="str">
        <f t="shared" si="19"/>
        <v>S1 - Akuntansi</v>
      </c>
      <c r="E203" s="66">
        <f t="shared" si="20"/>
        <v>111</v>
      </c>
      <c r="F203" s="66" t="str">
        <f t="shared" si="21"/>
        <v>Baik</v>
      </c>
      <c r="G203" s="88"/>
      <c r="H203" s="88"/>
      <c r="I203" s="88"/>
      <c r="J203" s="88"/>
      <c r="K203" s="88"/>
      <c r="L203" s="88"/>
      <c r="M203" s="88"/>
      <c r="N203" s="88"/>
      <c r="O203" s="88"/>
      <c r="P203" s="88"/>
      <c r="Q203" s="88"/>
      <c r="R203" s="88"/>
      <c r="S203" s="88"/>
      <c r="T203" s="88"/>
      <c r="U203" s="88"/>
      <c r="V203" s="88"/>
      <c r="W203" s="88"/>
      <c r="X203" s="89"/>
      <c r="Y203" s="89"/>
      <c r="Z203" s="89"/>
      <c r="AA203" s="89"/>
      <c r="AB203" s="89"/>
      <c r="AC203" s="89"/>
      <c r="AD203" s="89"/>
      <c r="AE203" s="89"/>
      <c r="AF203" s="89"/>
      <c r="AG203" s="89"/>
      <c r="AH203" s="89"/>
      <c r="AI203" s="89"/>
      <c r="AJ203" s="89"/>
      <c r="AK203" s="65">
        <f t="shared" si="23"/>
        <v>0</v>
      </c>
      <c r="AL203" s="66" t="str">
        <f t="shared" si="22"/>
        <v>Tidak disarankan</v>
      </c>
      <c r="AM203" s="67" t="s">
        <v>235</v>
      </c>
      <c r="AN203" s="67" t="s">
        <v>235</v>
      </c>
      <c r="AO203" s="67" t="s">
        <v>235</v>
      </c>
      <c r="AP203" s="67" t="s">
        <v>236</v>
      </c>
      <c r="AQ203" s="67" t="s">
        <v>236</v>
      </c>
    </row>
    <row r="204" spans="1:43" ht="50" x14ac:dyDescent="0.35">
      <c r="A204" s="64">
        <v>202</v>
      </c>
      <c r="B204" s="67" t="s">
        <v>266</v>
      </c>
      <c r="C204" s="67" t="str">
        <f t="shared" si="18"/>
        <v>Palangka Raya, 08 September 1994</v>
      </c>
      <c r="D204" s="67" t="str">
        <f t="shared" si="19"/>
        <v>S1 - Psikologi</v>
      </c>
      <c r="E204" s="66">
        <f t="shared" si="20"/>
        <v>118</v>
      </c>
      <c r="F204" s="66" t="str">
        <f t="shared" si="21"/>
        <v>Baik</v>
      </c>
      <c r="G204" s="88"/>
      <c r="H204" s="88"/>
      <c r="I204" s="88"/>
      <c r="J204" s="88"/>
      <c r="K204" s="88"/>
      <c r="L204" s="88"/>
      <c r="M204" s="88"/>
      <c r="N204" s="88"/>
      <c r="O204" s="88"/>
      <c r="P204" s="88"/>
      <c r="Q204" s="88"/>
      <c r="R204" s="88"/>
      <c r="S204" s="88"/>
      <c r="T204" s="88"/>
      <c r="U204" s="88"/>
      <c r="V204" s="88"/>
      <c r="W204" s="88"/>
      <c r="X204" s="89"/>
      <c r="Y204" s="89"/>
      <c r="Z204" s="89"/>
      <c r="AA204" s="89"/>
      <c r="AB204" s="89"/>
      <c r="AC204" s="89"/>
      <c r="AD204" s="89"/>
      <c r="AE204" s="89"/>
      <c r="AF204" s="89"/>
      <c r="AG204" s="89"/>
      <c r="AH204" s="89"/>
      <c r="AI204" s="89"/>
      <c r="AJ204" s="89"/>
      <c r="AK204" s="65">
        <f t="shared" si="23"/>
        <v>0</v>
      </c>
      <c r="AL204" s="66" t="str">
        <f t="shared" si="22"/>
        <v>Tidak disarankan</v>
      </c>
      <c r="AM204" s="67" t="s">
        <v>235</v>
      </c>
      <c r="AN204" s="67" t="s">
        <v>235</v>
      </c>
      <c r="AO204" s="67" t="s">
        <v>235</v>
      </c>
      <c r="AP204" s="67" t="s">
        <v>236</v>
      </c>
      <c r="AQ204" s="67" t="s">
        <v>236</v>
      </c>
    </row>
    <row r="205" spans="1:43" ht="50" x14ac:dyDescent="0.35">
      <c r="A205" s="64">
        <v>203</v>
      </c>
      <c r="B205" s="67" t="s">
        <v>932</v>
      </c>
      <c r="C205" s="67" t="str">
        <f t="shared" si="18"/>
        <v>Samuda, 28 April 1998</v>
      </c>
      <c r="D205" s="67" t="str">
        <f t="shared" si="19"/>
        <v>S1 - Bimbingan Dan Konseling</v>
      </c>
      <c r="E205" s="66">
        <f t="shared" si="20"/>
        <v>114</v>
      </c>
      <c r="F205" s="66" t="str">
        <f t="shared" si="21"/>
        <v>Baik</v>
      </c>
      <c r="G205" s="88"/>
      <c r="H205" s="88"/>
      <c r="I205" s="88"/>
      <c r="J205" s="88"/>
      <c r="K205" s="88"/>
      <c r="L205" s="88"/>
      <c r="M205" s="88"/>
      <c r="N205" s="88"/>
      <c r="O205" s="88"/>
      <c r="P205" s="88"/>
      <c r="Q205" s="88"/>
      <c r="R205" s="88"/>
      <c r="S205" s="88"/>
      <c r="T205" s="88"/>
      <c r="U205" s="88"/>
      <c r="V205" s="88"/>
      <c r="W205" s="88"/>
      <c r="X205" s="89"/>
      <c r="Y205" s="89"/>
      <c r="Z205" s="89"/>
      <c r="AA205" s="89"/>
      <c r="AB205" s="89"/>
      <c r="AC205" s="89"/>
      <c r="AD205" s="89"/>
      <c r="AE205" s="89"/>
      <c r="AF205" s="89"/>
      <c r="AG205" s="89"/>
      <c r="AH205" s="89"/>
      <c r="AI205" s="89"/>
      <c r="AJ205" s="89"/>
      <c r="AK205" s="65">
        <f t="shared" si="23"/>
        <v>0</v>
      </c>
      <c r="AL205" s="66" t="str">
        <f t="shared" si="22"/>
        <v>Tidak disarankan</v>
      </c>
      <c r="AM205" s="67" t="s">
        <v>235</v>
      </c>
      <c r="AN205" s="67" t="s">
        <v>235</v>
      </c>
      <c r="AO205" s="67" t="s">
        <v>235</v>
      </c>
      <c r="AP205" s="67" t="s">
        <v>236</v>
      </c>
      <c r="AQ205" s="67" t="s">
        <v>236</v>
      </c>
    </row>
    <row r="206" spans="1:43" ht="50" x14ac:dyDescent="0.35">
      <c r="A206" s="64">
        <v>204</v>
      </c>
      <c r="B206" s="67" t="s">
        <v>1131</v>
      </c>
      <c r="C206" s="67" t="str">
        <f t="shared" si="18"/>
        <v>Banjarmasin, 12 Juli 2001</v>
      </c>
      <c r="D206" s="67" t="str">
        <f t="shared" si="19"/>
        <v>D3 - Akuntansi</v>
      </c>
      <c r="E206" s="66">
        <f t="shared" si="20"/>
        <v>113</v>
      </c>
      <c r="F206" s="66" t="str">
        <f t="shared" si="21"/>
        <v>Baik</v>
      </c>
      <c r="G206" s="88"/>
      <c r="H206" s="88"/>
      <c r="I206" s="88"/>
      <c r="J206" s="88"/>
      <c r="K206" s="88"/>
      <c r="L206" s="88"/>
      <c r="M206" s="88"/>
      <c r="N206" s="88"/>
      <c r="O206" s="88"/>
      <c r="P206" s="88"/>
      <c r="Q206" s="88"/>
      <c r="R206" s="88"/>
      <c r="S206" s="88"/>
      <c r="T206" s="88"/>
      <c r="U206" s="88"/>
      <c r="V206" s="88"/>
      <c r="W206" s="88"/>
      <c r="X206" s="89"/>
      <c r="Y206" s="89"/>
      <c r="Z206" s="89"/>
      <c r="AA206" s="89"/>
      <c r="AB206" s="89"/>
      <c r="AC206" s="89"/>
      <c r="AD206" s="89"/>
      <c r="AE206" s="89"/>
      <c r="AF206" s="89"/>
      <c r="AG206" s="89"/>
      <c r="AH206" s="89"/>
      <c r="AI206" s="89"/>
      <c r="AJ206" s="89"/>
      <c r="AK206" s="65">
        <f t="shared" si="23"/>
        <v>0</v>
      </c>
      <c r="AL206" s="66" t="str">
        <f t="shared" si="22"/>
        <v>Tidak disarankan</v>
      </c>
      <c r="AM206" s="67" t="s">
        <v>235</v>
      </c>
      <c r="AN206" s="67" t="s">
        <v>235</v>
      </c>
      <c r="AO206" s="67" t="s">
        <v>235</v>
      </c>
      <c r="AP206" s="67" t="s">
        <v>236</v>
      </c>
      <c r="AQ206" s="67" t="s">
        <v>236</v>
      </c>
    </row>
    <row r="207" spans="1:43" ht="50" x14ac:dyDescent="0.35">
      <c r="A207" s="64">
        <v>205</v>
      </c>
      <c r="B207" s="67" t="s">
        <v>1486</v>
      </c>
      <c r="C207" s="67" t="str">
        <f t="shared" si="18"/>
        <v>Ciamis, 11 Februari 2000</v>
      </c>
      <c r="D207" s="67" t="str">
        <f t="shared" si="19"/>
        <v>S1 - Psikologi</v>
      </c>
      <c r="E207" s="66">
        <f t="shared" si="20"/>
        <v>126</v>
      </c>
      <c r="F207" s="66" t="str">
        <f t="shared" si="21"/>
        <v>Baik Sekali</v>
      </c>
      <c r="G207" s="88"/>
      <c r="H207" s="88"/>
      <c r="I207" s="88"/>
      <c r="J207" s="88"/>
      <c r="K207" s="88"/>
      <c r="L207" s="88"/>
      <c r="M207" s="88"/>
      <c r="N207" s="88"/>
      <c r="O207" s="88"/>
      <c r="P207" s="88"/>
      <c r="Q207" s="88"/>
      <c r="R207" s="88"/>
      <c r="S207" s="88"/>
      <c r="T207" s="88"/>
      <c r="U207" s="88"/>
      <c r="V207" s="88"/>
      <c r="W207" s="88"/>
      <c r="X207" s="89"/>
      <c r="Y207" s="89"/>
      <c r="Z207" s="89"/>
      <c r="AA207" s="89"/>
      <c r="AB207" s="89"/>
      <c r="AC207" s="89"/>
      <c r="AD207" s="89"/>
      <c r="AE207" s="89"/>
      <c r="AF207" s="89"/>
      <c r="AG207" s="89"/>
      <c r="AH207" s="89"/>
      <c r="AI207" s="89"/>
      <c r="AJ207" s="89"/>
      <c r="AK207" s="65">
        <f t="shared" si="23"/>
        <v>0</v>
      </c>
      <c r="AL207" s="66" t="str">
        <f t="shared" si="22"/>
        <v>Tidak disarankan</v>
      </c>
      <c r="AM207" s="67" t="s">
        <v>235</v>
      </c>
      <c r="AN207" s="67" t="s">
        <v>235</v>
      </c>
      <c r="AO207" s="67" t="s">
        <v>235</v>
      </c>
      <c r="AP207" s="67" t="s">
        <v>236</v>
      </c>
      <c r="AQ207" s="67" t="s">
        <v>236</v>
      </c>
    </row>
    <row r="208" spans="1:43" ht="50" x14ac:dyDescent="0.35">
      <c r="A208" s="64">
        <v>206</v>
      </c>
      <c r="B208" s="67" t="s">
        <v>973</v>
      </c>
      <c r="C208" s="67" t="str">
        <f t="shared" si="18"/>
        <v>Puruk Cahu, 03 Juli 2000</v>
      </c>
      <c r="D208" s="67" t="str">
        <f t="shared" si="19"/>
        <v>S1 - Ilmu Hukum</v>
      </c>
      <c r="E208" s="66">
        <f t="shared" si="20"/>
        <v>121</v>
      </c>
      <c r="F208" s="66" t="str">
        <f t="shared" si="21"/>
        <v>Baik Sekali</v>
      </c>
      <c r="G208" s="88"/>
      <c r="H208" s="88"/>
      <c r="I208" s="88"/>
      <c r="J208" s="88"/>
      <c r="K208" s="88"/>
      <c r="L208" s="88"/>
      <c r="M208" s="88"/>
      <c r="N208" s="88"/>
      <c r="O208" s="88"/>
      <c r="P208" s="88"/>
      <c r="Q208" s="88"/>
      <c r="R208" s="88"/>
      <c r="S208" s="88"/>
      <c r="T208" s="88"/>
      <c r="U208" s="88"/>
      <c r="V208" s="88"/>
      <c r="W208" s="88"/>
      <c r="X208" s="89"/>
      <c r="Y208" s="89"/>
      <c r="Z208" s="89"/>
      <c r="AA208" s="89"/>
      <c r="AB208" s="89"/>
      <c r="AC208" s="89"/>
      <c r="AD208" s="89"/>
      <c r="AE208" s="89"/>
      <c r="AF208" s="89"/>
      <c r="AG208" s="89"/>
      <c r="AH208" s="89"/>
      <c r="AI208" s="89"/>
      <c r="AJ208" s="89"/>
      <c r="AK208" s="65">
        <f t="shared" si="23"/>
        <v>0</v>
      </c>
      <c r="AL208" s="66" t="str">
        <f t="shared" si="22"/>
        <v>Tidak disarankan</v>
      </c>
      <c r="AM208" s="67" t="s">
        <v>235</v>
      </c>
      <c r="AN208" s="67" t="s">
        <v>235</v>
      </c>
      <c r="AO208" s="67" t="s">
        <v>235</v>
      </c>
      <c r="AP208" s="67" t="s">
        <v>236</v>
      </c>
      <c r="AQ208" s="67" t="s">
        <v>236</v>
      </c>
    </row>
    <row r="209" spans="1:43" ht="50" x14ac:dyDescent="0.35">
      <c r="A209" s="64">
        <v>207</v>
      </c>
      <c r="B209" s="67" t="s">
        <v>702</v>
      </c>
      <c r="C209" s="67" t="str">
        <f t="shared" si="18"/>
        <v>Palangka Raya, 20 Juni 1999</v>
      </c>
      <c r="D209" s="67" t="str">
        <f t="shared" si="19"/>
        <v>S1 - Ilmu Hukum</v>
      </c>
      <c r="E209" s="66">
        <f t="shared" si="20"/>
        <v>88</v>
      </c>
      <c r="F209" s="66" t="str">
        <f t="shared" si="21"/>
        <v>Kurang</v>
      </c>
      <c r="G209" s="88"/>
      <c r="H209" s="88"/>
      <c r="I209" s="88"/>
      <c r="J209" s="88"/>
      <c r="K209" s="88"/>
      <c r="L209" s="88"/>
      <c r="M209" s="88"/>
      <c r="N209" s="88"/>
      <c r="O209" s="88"/>
      <c r="P209" s="88"/>
      <c r="Q209" s="88"/>
      <c r="R209" s="88"/>
      <c r="S209" s="88"/>
      <c r="T209" s="88"/>
      <c r="U209" s="88"/>
      <c r="V209" s="88"/>
      <c r="W209" s="88"/>
      <c r="X209" s="89"/>
      <c r="Y209" s="89"/>
      <c r="Z209" s="89"/>
      <c r="AA209" s="89"/>
      <c r="AB209" s="89"/>
      <c r="AC209" s="89"/>
      <c r="AD209" s="89"/>
      <c r="AE209" s="89"/>
      <c r="AF209" s="89"/>
      <c r="AG209" s="89"/>
      <c r="AH209" s="89"/>
      <c r="AI209" s="89"/>
      <c r="AJ209" s="89"/>
      <c r="AK209" s="65">
        <f t="shared" si="23"/>
        <v>0</v>
      </c>
      <c r="AL209" s="66" t="str">
        <f t="shared" si="22"/>
        <v>Tidak disarankan</v>
      </c>
      <c r="AM209" s="67" t="s">
        <v>235</v>
      </c>
      <c r="AN209" s="67" t="s">
        <v>235</v>
      </c>
      <c r="AO209" s="67" t="s">
        <v>235</v>
      </c>
      <c r="AP209" s="67" t="s">
        <v>236</v>
      </c>
      <c r="AQ209" s="67" t="s">
        <v>236</v>
      </c>
    </row>
    <row r="210" spans="1:43" ht="50" x14ac:dyDescent="0.35">
      <c r="A210" s="64">
        <v>208</v>
      </c>
      <c r="B210" s="67" t="s">
        <v>297</v>
      </c>
      <c r="C210" s="67" t="str">
        <f t="shared" si="18"/>
        <v>Muara Teweh, 04 Oktober 1999</v>
      </c>
      <c r="D210" s="67" t="str">
        <f t="shared" si="19"/>
        <v>S1 - Ilmu Hukum</v>
      </c>
      <c r="E210" s="66">
        <f t="shared" si="20"/>
        <v>113</v>
      </c>
      <c r="F210" s="66" t="str">
        <f t="shared" si="21"/>
        <v>Baik</v>
      </c>
      <c r="G210" s="88"/>
      <c r="H210" s="88"/>
      <c r="I210" s="88"/>
      <c r="J210" s="88"/>
      <c r="K210" s="88"/>
      <c r="L210" s="88"/>
      <c r="M210" s="88"/>
      <c r="N210" s="88"/>
      <c r="O210" s="88"/>
      <c r="P210" s="88"/>
      <c r="Q210" s="88"/>
      <c r="R210" s="88"/>
      <c r="S210" s="88"/>
      <c r="T210" s="88"/>
      <c r="U210" s="88"/>
      <c r="V210" s="88"/>
      <c r="W210" s="88"/>
      <c r="X210" s="89"/>
      <c r="Y210" s="89"/>
      <c r="Z210" s="89"/>
      <c r="AA210" s="89"/>
      <c r="AB210" s="89"/>
      <c r="AC210" s="89"/>
      <c r="AD210" s="89"/>
      <c r="AE210" s="89"/>
      <c r="AF210" s="89"/>
      <c r="AG210" s="89"/>
      <c r="AH210" s="89"/>
      <c r="AI210" s="89"/>
      <c r="AJ210" s="89"/>
      <c r="AK210" s="65">
        <f t="shared" si="23"/>
        <v>0</v>
      </c>
      <c r="AL210" s="66" t="str">
        <f t="shared" si="22"/>
        <v>Tidak disarankan</v>
      </c>
      <c r="AM210" s="67" t="s">
        <v>235</v>
      </c>
      <c r="AN210" s="67" t="s">
        <v>235</v>
      </c>
      <c r="AO210" s="67" t="s">
        <v>235</v>
      </c>
      <c r="AP210" s="67" t="s">
        <v>236</v>
      </c>
      <c r="AQ210" s="67" t="s">
        <v>236</v>
      </c>
    </row>
    <row r="211" spans="1:43" ht="50" x14ac:dyDescent="0.35">
      <c r="A211" s="64">
        <v>209</v>
      </c>
      <c r="B211" s="67" t="s">
        <v>336</v>
      </c>
      <c r="C211" s="67" t="str">
        <f t="shared" si="18"/>
        <v>Muara Teweh, 25 Desember 2001</v>
      </c>
      <c r="D211" s="67" t="str">
        <f t="shared" si="19"/>
        <v>S1 - Akuntansi</v>
      </c>
      <c r="E211" s="66">
        <f t="shared" si="20"/>
        <v>96</v>
      </c>
      <c r="F211" s="66" t="str">
        <f t="shared" si="21"/>
        <v>Rata-rata</v>
      </c>
      <c r="G211" s="88"/>
      <c r="H211" s="88"/>
      <c r="I211" s="88"/>
      <c r="J211" s="88"/>
      <c r="K211" s="88"/>
      <c r="L211" s="88"/>
      <c r="M211" s="88"/>
      <c r="N211" s="88"/>
      <c r="O211" s="88"/>
      <c r="P211" s="88"/>
      <c r="Q211" s="88"/>
      <c r="R211" s="88"/>
      <c r="S211" s="88"/>
      <c r="T211" s="88"/>
      <c r="U211" s="88"/>
      <c r="V211" s="88"/>
      <c r="W211" s="88"/>
      <c r="X211" s="89"/>
      <c r="Y211" s="89"/>
      <c r="Z211" s="89"/>
      <c r="AA211" s="89"/>
      <c r="AB211" s="89"/>
      <c r="AC211" s="89"/>
      <c r="AD211" s="89"/>
      <c r="AE211" s="89"/>
      <c r="AF211" s="89"/>
      <c r="AG211" s="89"/>
      <c r="AH211" s="89"/>
      <c r="AI211" s="89"/>
      <c r="AJ211" s="89"/>
      <c r="AK211" s="65">
        <f t="shared" si="23"/>
        <v>0</v>
      </c>
      <c r="AL211" s="66" t="str">
        <f t="shared" si="22"/>
        <v>Tidak disarankan</v>
      </c>
      <c r="AM211" s="67" t="s">
        <v>235</v>
      </c>
      <c r="AN211" s="67" t="s">
        <v>235</v>
      </c>
      <c r="AO211" s="67" t="s">
        <v>235</v>
      </c>
      <c r="AP211" s="67" t="s">
        <v>236</v>
      </c>
      <c r="AQ211" s="67" t="s">
        <v>236</v>
      </c>
    </row>
    <row r="212" spans="1:43" ht="50" x14ac:dyDescent="0.35">
      <c r="A212" s="64">
        <v>210</v>
      </c>
      <c r="B212" s="67" t="s">
        <v>680</v>
      </c>
      <c r="C212" s="67" t="str">
        <f t="shared" si="18"/>
        <v>Dili, 01 Desember 1997</v>
      </c>
      <c r="D212" s="67" t="str">
        <f t="shared" si="19"/>
        <v>S1 - Perbankan Syariah</v>
      </c>
      <c r="E212" s="66">
        <f t="shared" si="20"/>
        <v>114</v>
      </c>
      <c r="F212" s="66" t="str">
        <f t="shared" si="21"/>
        <v>Baik</v>
      </c>
      <c r="G212" s="88"/>
      <c r="H212" s="88"/>
      <c r="I212" s="88"/>
      <c r="J212" s="88"/>
      <c r="K212" s="88"/>
      <c r="L212" s="88"/>
      <c r="M212" s="88"/>
      <c r="N212" s="88"/>
      <c r="O212" s="88"/>
      <c r="P212" s="88"/>
      <c r="Q212" s="88"/>
      <c r="R212" s="88"/>
      <c r="S212" s="88"/>
      <c r="T212" s="88"/>
      <c r="U212" s="88"/>
      <c r="V212" s="88"/>
      <c r="W212" s="88"/>
      <c r="X212" s="89"/>
      <c r="Y212" s="89"/>
      <c r="Z212" s="89"/>
      <c r="AA212" s="89"/>
      <c r="AB212" s="89"/>
      <c r="AC212" s="89"/>
      <c r="AD212" s="89"/>
      <c r="AE212" s="89"/>
      <c r="AF212" s="89"/>
      <c r="AG212" s="89"/>
      <c r="AH212" s="89"/>
      <c r="AI212" s="89"/>
      <c r="AJ212" s="89"/>
      <c r="AK212" s="65">
        <f t="shared" si="23"/>
        <v>0</v>
      </c>
      <c r="AL212" s="66" t="str">
        <f t="shared" si="22"/>
        <v>Tidak disarankan</v>
      </c>
      <c r="AM212" s="67" t="s">
        <v>235</v>
      </c>
      <c r="AN212" s="67" t="s">
        <v>235</v>
      </c>
      <c r="AO212" s="67" t="s">
        <v>235</v>
      </c>
      <c r="AP212" s="67" t="s">
        <v>236</v>
      </c>
      <c r="AQ212" s="67" t="s">
        <v>236</v>
      </c>
    </row>
    <row r="213" spans="1:43" ht="50" x14ac:dyDescent="0.35">
      <c r="A213" s="64">
        <v>211</v>
      </c>
      <c r="B213" s="67" t="s">
        <v>356</v>
      </c>
      <c r="C213" s="67" t="str">
        <f t="shared" si="18"/>
        <v>Nganjuk, 22 April 1999</v>
      </c>
      <c r="D213" s="67" t="str">
        <f t="shared" si="19"/>
        <v>S1 - Ekonomi Pembangunan</v>
      </c>
      <c r="E213" s="66">
        <f t="shared" si="20"/>
        <v>113</v>
      </c>
      <c r="F213" s="66" t="str">
        <f t="shared" si="21"/>
        <v>Baik</v>
      </c>
      <c r="G213" s="88"/>
      <c r="H213" s="88"/>
      <c r="I213" s="88"/>
      <c r="J213" s="88"/>
      <c r="K213" s="88"/>
      <c r="L213" s="88"/>
      <c r="M213" s="88"/>
      <c r="N213" s="88"/>
      <c r="O213" s="88"/>
      <c r="P213" s="88"/>
      <c r="Q213" s="88"/>
      <c r="R213" s="88"/>
      <c r="S213" s="88"/>
      <c r="T213" s="88"/>
      <c r="U213" s="88"/>
      <c r="V213" s="88"/>
      <c r="W213" s="88"/>
      <c r="X213" s="89"/>
      <c r="Y213" s="89"/>
      <c r="Z213" s="89"/>
      <c r="AA213" s="89"/>
      <c r="AB213" s="89"/>
      <c r="AC213" s="89"/>
      <c r="AD213" s="89"/>
      <c r="AE213" s="89"/>
      <c r="AF213" s="89"/>
      <c r="AG213" s="89"/>
      <c r="AH213" s="89"/>
      <c r="AI213" s="89"/>
      <c r="AJ213" s="89"/>
      <c r="AK213" s="65">
        <f t="shared" si="23"/>
        <v>0</v>
      </c>
      <c r="AL213" s="66" t="str">
        <f t="shared" si="22"/>
        <v>Tidak disarankan</v>
      </c>
      <c r="AM213" s="67" t="s">
        <v>235</v>
      </c>
      <c r="AN213" s="67" t="s">
        <v>235</v>
      </c>
      <c r="AO213" s="67" t="s">
        <v>235</v>
      </c>
      <c r="AP213" s="67" t="s">
        <v>236</v>
      </c>
      <c r="AQ213" s="67" t="s">
        <v>236</v>
      </c>
    </row>
    <row r="214" spans="1:43" ht="50" x14ac:dyDescent="0.35">
      <c r="A214" s="64">
        <v>212</v>
      </c>
      <c r="B214" s="67" t="s">
        <v>1004</v>
      </c>
      <c r="C214" s="67" t="str">
        <f t="shared" si="18"/>
        <v>Sampit, 18 Oktober 2000</v>
      </c>
      <c r="D214" s="67" t="str">
        <f t="shared" si="19"/>
        <v>S1 - Hukum</v>
      </c>
      <c r="E214" s="66">
        <f t="shared" si="20"/>
        <v>110</v>
      </c>
      <c r="F214" s="66" t="str">
        <f t="shared" si="21"/>
        <v>Baik</v>
      </c>
      <c r="G214" s="88"/>
      <c r="H214" s="88"/>
      <c r="I214" s="88"/>
      <c r="J214" s="88"/>
      <c r="K214" s="88"/>
      <c r="L214" s="88"/>
      <c r="M214" s="88"/>
      <c r="N214" s="88"/>
      <c r="O214" s="88"/>
      <c r="P214" s="88"/>
      <c r="Q214" s="88"/>
      <c r="R214" s="88"/>
      <c r="S214" s="88"/>
      <c r="T214" s="88"/>
      <c r="U214" s="88"/>
      <c r="V214" s="88"/>
      <c r="W214" s="88"/>
      <c r="X214" s="89"/>
      <c r="Y214" s="89"/>
      <c r="Z214" s="89"/>
      <c r="AA214" s="89"/>
      <c r="AB214" s="89"/>
      <c r="AC214" s="89"/>
      <c r="AD214" s="89"/>
      <c r="AE214" s="89"/>
      <c r="AF214" s="89"/>
      <c r="AG214" s="89"/>
      <c r="AH214" s="89"/>
      <c r="AI214" s="89"/>
      <c r="AJ214" s="89"/>
      <c r="AK214" s="65">
        <f t="shared" si="23"/>
        <v>0</v>
      </c>
      <c r="AL214" s="66" t="str">
        <f t="shared" si="22"/>
        <v>Tidak disarankan</v>
      </c>
      <c r="AM214" s="67" t="s">
        <v>235</v>
      </c>
      <c r="AN214" s="67" t="s">
        <v>235</v>
      </c>
      <c r="AO214" s="67" t="s">
        <v>235</v>
      </c>
      <c r="AP214" s="67" t="s">
        <v>236</v>
      </c>
      <c r="AQ214" s="67" t="s">
        <v>236</v>
      </c>
    </row>
    <row r="215" spans="1:43" ht="50" x14ac:dyDescent="0.35">
      <c r="A215" s="64">
        <v>213</v>
      </c>
      <c r="B215" s="67" t="s">
        <v>255</v>
      </c>
      <c r="C215" s="67" t="str">
        <f t="shared" si="18"/>
        <v>Basarang, 22 November 1996</v>
      </c>
      <c r="D215" s="67" t="str">
        <f t="shared" si="19"/>
        <v>S1 - Pendidikan Bahasa Inggris</v>
      </c>
      <c r="E215" s="66">
        <f t="shared" si="20"/>
        <v>111</v>
      </c>
      <c r="F215" s="66" t="str">
        <f t="shared" si="21"/>
        <v>Baik</v>
      </c>
      <c r="G215" s="88"/>
      <c r="H215" s="88"/>
      <c r="I215" s="88"/>
      <c r="J215" s="88"/>
      <c r="K215" s="88"/>
      <c r="L215" s="88"/>
      <c r="M215" s="88"/>
      <c r="N215" s="88"/>
      <c r="O215" s="88"/>
      <c r="P215" s="88"/>
      <c r="Q215" s="88"/>
      <c r="R215" s="88"/>
      <c r="S215" s="88"/>
      <c r="T215" s="88"/>
      <c r="U215" s="88"/>
      <c r="V215" s="88"/>
      <c r="W215" s="88"/>
      <c r="X215" s="89"/>
      <c r="Y215" s="89"/>
      <c r="Z215" s="89"/>
      <c r="AA215" s="89"/>
      <c r="AB215" s="89"/>
      <c r="AC215" s="89"/>
      <c r="AD215" s="89"/>
      <c r="AE215" s="89"/>
      <c r="AF215" s="89"/>
      <c r="AG215" s="89"/>
      <c r="AH215" s="89"/>
      <c r="AI215" s="89"/>
      <c r="AJ215" s="89"/>
      <c r="AK215" s="65">
        <f t="shared" si="23"/>
        <v>0</v>
      </c>
      <c r="AL215" s="66" t="str">
        <f t="shared" si="22"/>
        <v>Tidak disarankan</v>
      </c>
      <c r="AM215" s="67" t="s">
        <v>235</v>
      </c>
      <c r="AN215" s="67" t="s">
        <v>235</v>
      </c>
      <c r="AO215" s="67" t="s">
        <v>235</v>
      </c>
      <c r="AP215" s="67" t="s">
        <v>236</v>
      </c>
      <c r="AQ215" s="67" t="s">
        <v>236</v>
      </c>
    </row>
    <row r="216" spans="1:43" ht="50" x14ac:dyDescent="0.35">
      <c r="A216" s="64">
        <v>214</v>
      </c>
      <c r="B216" s="67" t="s">
        <v>1073</v>
      </c>
      <c r="C216" s="67" t="str">
        <f t="shared" si="18"/>
        <v>Kasongan, 09 April 1999</v>
      </c>
      <c r="D216" s="67" t="str">
        <f t="shared" si="19"/>
        <v>S1 - Ilmu Administrasi Negara</v>
      </c>
      <c r="E216" s="66">
        <f t="shared" si="20"/>
        <v>106</v>
      </c>
      <c r="F216" s="66" t="str">
        <f t="shared" si="21"/>
        <v>Rata-rata</v>
      </c>
      <c r="G216" s="88"/>
      <c r="H216" s="88"/>
      <c r="I216" s="88"/>
      <c r="J216" s="88"/>
      <c r="K216" s="88"/>
      <c r="L216" s="88"/>
      <c r="M216" s="88"/>
      <c r="N216" s="88"/>
      <c r="O216" s="88"/>
      <c r="P216" s="88"/>
      <c r="Q216" s="88"/>
      <c r="R216" s="88"/>
      <c r="S216" s="88"/>
      <c r="T216" s="88"/>
      <c r="U216" s="88"/>
      <c r="V216" s="88"/>
      <c r="W216" s="88"/>
      <c r="X216" s="89"/>
      <c r="Y216" s="89"/>
      <c r="Z216" s="89"/>
      <c r="AA216" s="89"/>
      <c r="AB216" s="89"/>
      <c r="AC216" s="89"/>
      <c r="AD216" s="89"/>
      <c r="AE216" s="89"/>
      <c r="AF216" s="89"/>
      <c r="AG216" s="89"/>
      <c r="AH216" s="89"/>
      <c r="AI216" s="89"/>
      <c r="AJ216" s="89"/>
      <c r="AK216" s="65">
        <f t="shared" si="23"/>
        <v>0</v>
      </c>
      <c r="AL216" s="66" t="str">
        <f t="shared" si="22"/>
        <v>Tidak disarankan</v>
      </c>
      <c r="AM216" s="67" t="s">
        <v>235</v>
      </c>
      <c r="AN216" s="67" t="s">
        <v>235</v>
      </c>
      <c r="AO216" s="67" t="s">
        <v>235</v>
      </c>
      <c r="AP216" s="67" t="s">
        <v>236</v>
      </c>
      <c r="AQ216" s="67" t="s">
        <v>236</v>
      </c>
    </row>
    <row r="217" spans="1:43" ht="50" x14ac:dyDescent="0.35">
      <c r="A217" s="64">
        <v>215</v>
      </c>
      <c r="B217" s="67" t="s">
        <v>934</v>
      </c>
      <c r="C217" s="67" t="str">
        <f t="shared" si="18"/>
        <v>Sampit, 26 Juni 2001</v>
      </c>
      <c r="D217" s="67" t="str">
        <f t="shared" si="19"/>
        <v>S1 - Akuntansi Syariah</v>
      </c>
      <c r="E217" s="66">
        <f t="shared" si="20"/>
        <v>121</v>
      </c>
      <c r="F217" s="66" t="str">
        <f t="shared" si="21"/>
        <v>Baik Sekali</v>
      </c>
      <c r="G217" s="88"/>
      <c r="H217" s="88"/>
      <c r="I217" s="88"/>
      <c r="J217" s="88"/>
      <c r="K217" s="88"/>
      <c r="L217" s="88"/>
      <c r="M217" s="88"/>
      <c r="N217" s="88"/>
      <c r="O217" s="88"/>
      <c r="P217" s="88"/>
      <c r="Q217" s="88"/>
      <c r="R217" s="88"/>
      <c r="S217" s="88"/>
      <c r="T217" s="88"/>
      <c r="U217" s="88"/>
      <c r="V217" s="88"/>
      <c r="W217" s="88"/>
      <c r="X217" s="89"/>
      <c r="Y217" s="89"/>
      <c r="Z217" s="89"/>
      <c r="AA217" s="89"/>
      <c r="AB217" s="89"/>
      <c r="AC217" s="89"/>
      <c r="AD217" s="89"/>
      <c r="AE217" s="89"/>
      <c r="AF217" s="89"/>
      <c r="AG217" s="89"/>
      <c r="AH217" s="89"/>
      <c r="AI217" s="89"/>
      <c r="AJ217" s="89"/>
      <c r="AK217" s="65">
        <f t="shared" si="23"/>
        <v>0</v>
      </c>
      <c r="AL217" s="66" t="str">
        <f t="shared" si="22"/>
        <v>Tidak disarankan</v>
      </c>
      <c r="AM217" s="67" t="s">
        <v>235</v>
      </c>
      <c r="AN217" s="67" t="s">
        <v>235</v>
      </c>
      <c r="AO217" s="67" t="s">
        <v>235</v>
      </c>
      <c r="AP217" s="67" t="s">
        <v>236</v>
      </c>
      <c r="AQ217" s="67" t="s">
        <v>236</v>
      </c>
    </row>
    <row r="218" spans="1:43" ht="50" x14ac:dyDescent="0.35">
      <c r="A218" s="64">
        <v>216</v>
      </c>
      <c r="B218" s="67" t="s">
        <v>666</v>
      </c>
      <c r="C218" s="67" t="str">
        <f t="shared" si="18"/>
        <v>Banjarmasin, 30 April 1998</v>
      </c>
      <c r="D218" s="67" t="str">
        <f t="shared" si="19"/>
        <v>S1 - Akuntansi</v>
      </c>
      <c r="E218" s="66">
        <f t="shared" si="20"/>
        <v>115</v>
      </c>
      <c r="F218" s="66" t="str">
        <f t="shared" si="21"/>
        <v>Baik</v>
      </c>
      <c r="G218" s="88"/>
      <c r="H218" s="88"/>
      <c r="I218" s="88"/>
      <c r="J218" s="88"/>
      <c r="K218" s="88"/>
      <c r="L218" s="88"/>
      <c r="M218" s="88"/>
      <c r="N218" s="88"/>
      <c r="O218" s="88"/>
      <c r="P218" s="88"/>
      <c r="Q218" s="88"/>
      <c r="R218" s="88"/>
      <c r="S218" s="88"/>
      <c r="T218" s="88"/>
      <c r="U218" s="88"/>
      <c r="V218" s="88"/>
      <c r="W218" s="88"/>
      <c r="X218" s="89"/>
      <c r="Y218" s="89"/>
      <c r="Z218" s="89"/>
      <c r="AA218" s="89"/>
      <c r="AB218" s="89"/>
      <c r="AC218" s="89"/>
      <c r="AD218" s="89"/>
      <c r="AE218" s="89"/>
      <c r="AF218" s="89"/>
      <c r="AG218" s="89"/>
      <c r="AH218" s="89"/>
      <c r="AI218" s="89"/>
      <c r="AJ218" s="89"/>
      <c r="AK218" s="65">
        <f t="shared" si="23"/>
        <v>0</v>
      </c>
      <c r="AL218" s="66" t="str">
        <f t="shared" si="22"/>
        <v>Tidak disarankan</v>
      </c>
      <c r="AM218" s="67" t="s">
        <v>235</v>
      </c>
      <c r="AN218" s="67" t="s">
        <v>235</v>
      </c>
      <c r="AO218" s="67" t="s">
        <v>235</v>
      </c>
      <c r="AP218" s="67" t="s">
        <v>236</v>
      </c>
      <c r="AQ218" s="67" t="s">
        <v>236</v>
      </c>
    </row>
    <row r="219" spans="1:43" ht="50" x14ac:dyDescent="0.35">
      <c r="A219" s="64">
        <v>217</v>
      </c>
      <c r="B219" s="67" t="s">
        <v>344</v>
      </c>
      <c r="C219" s="67" t="str">
        <f t="shared" si="18"/>
        <v>Palangka Raya, 18 Agustus 1999</v>
      </c>
      <c r="D219" s="67" t="str">
        <f t="shared" si="19"/>
        <v>S1 - Ilmu Komunikasi</v>
      </c>
      <c r="E219" s="66">
        <f t="shared" si="20"/>
        <v>120</v>
      </c>
      <c r="F219" s="66" t="str">
        <f t="shared" si="21"/>
        <v>Baik Sekali</v>
      </c>
      <c r="G219" s="88"/>
      <c r="H219" s="88"/>
      <c r="I219" s="88"/>
      <c r="J219" s="88"/>
      <c r="K219" s="88"/>
      <c r="L219" s="88"/>
      <c r="M219" s="88"/>
      <c r="N219" s="88"/>
      <c r="O219" s="88"/>
      <c r="P219" s="88"/>
      <c r="Q219" s="88"/>
      <c r="R219" s="88"/>
      <c r="S219" s="88"/>
      <c r="T219" s="88"/>
      <c r="U219" s="88"/>
      <c r="V219" s="88"/>
      <c r="W219" s="88"/>
      <c r="X219" s="89"/>
      <c r="Y219" s="89"/>
      <c r="Z219" s="89"/>
      <c r="AA219" s="89"/>
      <c r="AB219" s="89"/>
      <c r="AC219" s="89"/>
      <c r="AD219" s="89"/>
      <c r="AE219" s="89"/>
      <c r="AF219" s="89"/>
      <c r="AG219" s="89"/>
      <c r="AH219" s="89"/>
      <c r="AI219" s="89"/>
      <c r="AJ219" s="89"/>
      <c r="AK219" s="65">
        <f t="shared" si="23"/>
        <v>0</v>
      </c>
      <c r="AL219" s="66" t="str">
        <f t="shared" si="22"/>
        <v>Tidak disarankan</v>
      </c>
      <c r="AM219" s="67" t="s">
        <v>235</v>
      </c>
      <c r="AN219" s="67" t="s">
        <v>235</v>
      </c>
      <c r="AO219" s="67" t="s">
        <v>235</v>
      </c>
      <c r="AP219" s="67" t="s">
        <v>236</v>
      </c>
      <c r="AQ219" s="67" t="s">
        <v>236</v>
      </c>
    </row>
    <row r="220" spans="1:43" ht="50" x14ac:dyDescent="0.35">
      <c r="A220" s="64">
        <v>218</v>
      </c>
      <c r="B220" s="67" t="s">
        <v>661</v>
      </c>
      <c r="C220" s="67" t="str">
        <f t="shared" si="18"/>
        <v>Tumbang Hiran, 26 Mei 1999</v>
      </c>
      <c r="D220" s="67" t="str">
        <f t="shared" si="19"/>
        <v>S1 - Akuntansi</v>
      </c>
      <c r="E220" s="66">
        <f t="shared" si="20"/>
        <v>114</v>
      </c>
      <c r="F220" s="66" t="str">
        <f t="shared" si="21"/>
        <v>Baik</v>
      </c>
      <c r="G220" s="88"/>
      <c r="H220" s="88"/>
      <c r="I220" s="88"/>
      <c r="J220" s="88"/>
      <c r="K220" s="88"/>
      <c r="L220" s="88"/>
      <c r="M220" s="88"/>
      <c r="N220" s="88"/>
      <c r="O220" s="88"/>
      <c r="P220" s="88"/>
      <c r="Q220" s="88"/>
      <c r="R220" s="88"/>
      <c r="S220" s="88"/>
      <c r="T220" s="88"/>
      <c r="U220" s="88"/>
      <c r="V220" s="88"/>
      <c r="W220" s="88"/>
      <c r="X220" s="89"/>
      <c r="Y220" s="89"/>
      <c r="Z220" s="89"/>
      <c r="AA220" s="89"/>
      <c r="AB220" s="89"/>
      <c r="AC220" s="89"/>
      <c r="AD220" s="89"/>
      <c r="AE220" s="89"/>
      <c r="AF220" s="89"/>
      <c r="AG220" s="89"/>
      <c r="AH220" s="89"/>
      <c r="AI220" s="89"/>
      <c r="AJ220" s="89"/>
      <c r="AK220" s="65">
        <f t="shared" si="23"/>
        <v>0</v>
      </c>
      <c r="AL220" s="66" t="str">
        <f t="shared" si="22"/>
        <v>Tidak disarankan</v>
      </c>
      <c r="AM220" s="67" t="s">
        <v>235</v>
      </c>
      <c r="AN220" s="67" t="s">
        <v>235</v>
      </c>
      <c r="AO220" s="67" t="s">
        <v>235</v>
      </c>
      <c r="AP220" s="67" t="s">
        <v>236</v>
      </c>
      <c r="AQ220" s="67" t="s">
        <v>236</v>
      </c>
    </row>
    <row r="221" spans="1:43" ht="50" x14ac:dyDescent="0.35">
      <c r="A221" s="64">
        <v>219</v>
      </c>
      <c r="B221" s="67" t="s">
        <v>242</v>
      </c>
      <c r="C221" s="67" t="str">
        <f t="shared" si="18"/>
        <v>Pundu, 11 Juli 1996</v>
      </c>
      <c r="D221" s="67" t="str">
        <f t="shared" si="19"/>
        <v>S1 - Agroteknologi</v>
      </c>
      <c r="E221" s="66">
        <f t="shared" si="20"/>
        <v>103</v>
      </c>
      <c r="F221" s="66" t="str">
        <f t="shared" si="21"/>
        <v>Rata-rata</v>
      </c>
      <c r="G221" s="88"/>
      <c r="H221" s="88"/>
      <c r="I221" s="88"/>
      <c r="J221" s="88"/>
      <c r="K221" s="88"/>
      <c r="L221" s="88"/>
      <c r="M221" s="88"/>
      <c r="N221" s="88"/>
      <c r="O221" s="88"/>
      <c r="P221" s="88"/>
      <c r="Q221" s="88"/>
      <c r="R221" s="88"/>
      <c r="S221" s="88"/>
      <c r="T221" s="88"/>
      <c r="U221" s="88"/>
      <c r="V221" s="88"/>
      <c r="W221" s="88"/>
      <c r="X221" s="89"/>
      <c r="Y221" s="89"/>
      <c r="Z221" s="89"/>
      <c r="AA221" s="89"/>
      <c r="AB221" s="89"/>
      <c r="AC221" s="89"/>
      <c r="AD221" s="89"/>
      <c r="AE221" s="89"/>
      <c r="AF221" s="89"/>
      <c r="AG221" s="89"/>
      <c r="AH221" s="89"/>
      <c r="AI221" s="89"/>
      <c r="AJ221" s="89"/>
      <c r="AK221" s="65">
        <f t="shared" si="23"/>
        <v>0</v>
      </c>
      <c r="AL221" s="66" t="str">
        <f t="shared" si="22"/>
        <v>Tidak disarankan</v>
      </c>
      <c r="AM221" s="67" t="s">
        <v>235</v>
      </c>
      <c r="AN221" s="67" t="s">
        <v>235</v>
      </c>
      <c r="AO221" s="67" t="s">
        <v>235</v>
      </c>
      <c r="AP221" s="67" t="s">
        <v>236</v>
      </c>
      <c r="AQ221" s="67" t="s">
        <v>236</v>
      </c>
    </row>
    <row r="222" spans="1:43" ht="50" x14ac:dyDescent="0.35">
      <c r="A222" s="64">
        <v>220</v>
      </c>
      <c r="B222" s="67" t="s">
        <v>354</v>
      </c>
      <c r="C222" s="67" t="str">
        <f t="shared" si="18"/>
        <v>Puruk Cahu, 03 Oktober 2000</v>
      </c>
      <c r="D222" s="67" t="str">
        <f t="shared" si="19"/>
        <v>S1 - Sosiologi</v>
      </c>
      <c r="E222" s="66">
        <f t="shared" si="20"/>
        <v>113</v>
      </c>
      <c r="F222" s="66" t="str">
        <f t="shared" si="21"/>
        <v>Baik</v>
      </c>
      <c r="G222" s="88"/>
      <c r="H222" s="88"/>
      <c r="I222" s="88"/>
      <c r="J222" s="88"/>
      <c r="K222" s="88"/>
      <c r="L222" s="88"/>
      <c r="M222" s="88"/>
      <c r="N222" s="88"/>
      <c r="O222" s="88"/>
      <c r="P222" s="88"/>
      <c r="Q222" s="88"/>
      <c r="R222" s="88"/>
      <c r="S222" s="88"/>
      <c r="T222" s="88"/>
      <c r="U222" s="88"/>
      <c r="V222" s="88"/>
      <c r="W222" s="88"/>
      <c r="X222" s="89"/>
      <c r="Y222" s="89"/>
      <c r="Z222" s="89"/>
      <c r="AA222" s="89"/>
      <c r="AB222" s="89"/>
      <c r="AC222" s="89"/>
      <c r="AD222" s="89"/>
      <c r="AE222" s="89"/>
      <c r="AF222" s="89"/>
      <c r="AG222" s="89"/>
      <c r="AH222" s="89"/>
      <c r="AI222" s="89"/>
      <c r="AJ222" s="89"/>
      <c r="AK222" s="65">
        <f t="shared" si="23"/>
        <v>0</v>
      </c>
      <c r="AL222" s="66" t="str">
        <f t="shared" si="22"/>
        <v>Tidak disarankan</v>
      </c>
      <c r="AM222" s="67" t="s">
        <v>235</v>
      </c>
      <c r="AN222" s="67" t="s">
        <v>235</v>
      </c>
      <c r="AO222" s="67" t="s">
        <v>235</v>
      </c>
      <c r="AP222" s="67" t="s">
        <v>236</v>
      </c>
      <c r="AQ222" s="67" t="s">
        <v>236</v>
      </c>
    </row>
    <row r="223" spans="1:43" ht="50" x14ac:dyDescent="0.35">
      <c r="A223" s="64">
        <v>221</v>
      </c>
      <c r="B223" s="67" t="s">
        <v>273</v>
      </c>
      <c r="C223" s="67" t="str">
        <f t="shared" si="18"/>
        <v>Palangka Raya, 03 Februari 1999</v>
      </c>
      <c r="D223" s="67" t="str">
        <f t="shared" si="19"/>
        <v>S1 - Ilmu Hukum</v>
      </c>
      <c r="E223" s="66">
        <f t="shared" si="20"/>
        <v>110</v>
      </c>
      <c r="F223" s="66" t="str">
        <f t="shared" si="21"/>
        <v>Baik</v>
      </c>
      <c r="G223" s="88"/>
      <c r="H223" s="88"/>
      <c r="I223" s="88"/>
      <c r="J223" s="88"/>
      <c r="K223" s="88"/>
      <c r="L223" s="88"/>
      <c r="M223" s="88"/>
      <c r="N223" s="88"/>
      <c r="O223" s="88"/>
      <c r="P223" s="88"/>
      <c r="Q223" s="88"/>
      <c r="R223" s="88"/>
      <c r="S223" s="88"/>
      <c r="T223" s="88"/>
      <c r="U223" s="88"/>
      <c r="V223" s="88"/>
      <c r="W223" s="88"/>
      <c r="X223" s="89"/>
      <c r="Y223" s="89"/>
      <c r="Z223" s="89"/>
      <c r="AA223" s="89"/>
      <c r="AB223" s="89"/>
      <c r="AC223" s="89"/>
      <c r="AD223" s="89"/>
      <c r="AE223" s="89"/>
      <c r="AF223" s="89"/>
      <c r="AG223" s="89"/>
      <c r="AH223" s="89"/>
      <c r="AI223" s="89"/>
      <c r="AJ223" s="89"/>
      <c r="AK223" s="65">
        <f t="shared" si="23"/>
        <v>0</v>
      </c>
      <c r="AL223" s="66" t="str">
        <f t="shared" si="22"/>
        <v>Tidak disarankan</v>
      </c>
      <c r="AM223" s="67" t="s">
        <v>235</v>
      </c>
      <c r="AN223" s="67" t="s">
        <v>235</v>
      </c>
      <c r="AO223" s="67" t="s">
        <v>235</v>
      </c>
      <c r="AP223" s="67" t="s">
        <v>236</v>
      </c>
      <c r="AQ223" s="67" t="s">
        <v>236</v>
      </c>
    </row>
    <row r="224" spans="1:43" ht="50" x14ac:dyDescent="0.35">
      <c r="A224" s="64">
        <v>222</v>
      </c>
      <c r="B224" s="67" t="s">
        <v>1239</v>
      </c>
      <c r="C224" s="67" t="str">
        <f t="shared" si="18"/>
        <v>Mantangai, 08 November 1999</v>
      </c>
      <c r="D224" s="67" t="str">
        <f t="shared" si="19"/>
        <v>S1 - Akuntansi</v>
      </c>
      <c r="E224" s="66">
        <f t="shared" si="20"/>
        <v>121</v>
      </c>
      <c r="F224" s="66" t="str">
        <f t="shared" si="21"/>
        <v>Baik Sekali</v>
      </c>
      <c r="G224" s="88"/>
      <c r="H224" s="88"/>
      <c r="I224" s="88"/>
      <c r="J224" s="88"/>
      <c r="K224" s="88"/>
      <c r="L224" s="88"/>
      <c r="M224" s="88"/>
      <c r="N224" s="88"/>
      <c r="O224" s="88"/>
      <c r="P224" s="88"/>
      <c r="Q224" s="88"/>
      <c r="R224" s="88"/>
      <c r="S224" s="88"/>
      <c r="T224" s="88"/>
      <c r="U224" s="88"/>
      <c r="V224" s="88"/>
      <c r="W224" s="88"/>
      <c r="X224" s="89"/>
      <c r="Y224" s="89"/>
      <c r="Z224" s="89"/>
      <c r="AA224" s="89"/>
      <c r="AB224" s="89"/>
      <c r="AC224" s="89"/>
      <c r="AD224" s="89"/>
      <c r="AE224" s="89"/>
      <c r="AF224" s="89"/>
      <c r="AG224" s="89"/>
      <c r="AH224" s="89"/>
      <c r="AI224" s="89"/>
      <c r="AJ224" s="89"/>
      <c r="AK224" s="65">
        <f t="shared" si="23"/>
        <v>0</v>
      </c>
      <c r="AL224" s="66" t="str">
        <f t="shared" si="22"/>
        <v>Tidak disarankan</v>
      </c>
      <c r="AM224" s="67" t="s">
        <v>235</v>
      </c>
      <c r="AN224" s="67" t="s">
        <v>235</v>
      </c>
      <c r="AO224" s="67" t="s">
        <v>235</v>
      </c>
      <c r="AP224" s="67" t="s">
        <v>236</v>
      </c>
      <c r="AQ224" s="67" t="s">
        <v>236</v>
      </c>
    </row>
    <row r="225" spans="1:43" ht="50" x14ac:dyDescent="0.35">
      <c r="A225" s="64">
        <v>223</v>
      </c>
      <c r="B225" s="67" t="s">
        <v>257</v>
      </c>
      <c r="C225" s="67" t="str">
        <f t="shared" si="18"/>
        <v>Malang, 26 Oktober 1995</v>
      </c>
      <c r="D225" s="67" t="str">
        <f t="shared" si="19"/>
        <v>S1 - Pendidikan Fisika</v>
      </c>
      <c r="E225" s="66">
        <f t="shared" si="20"/>
        <v>125</v>
      </c>
      <c r="F225" s="66" t="str">
        <f t="shared" si="21"/>
        <v>Baik Sekali</v>
      </c>
      <c r="G225" s="88"/>
      <c r="H225" s="88"/>
      <c r="I225" s="88"/>
      <c r="J225" s="88"/>
      <c r="K225" s="88"/>
      <c r="L225" s="88"/>
      <c r="M225" s="88"/>
      <c r="N225" s="88"/>
      <c r="O225" s="88"/>
      <c r="P225" s="88"/>
      <c r="Q225" s="88"/>
      <c r="R225" s="88"/>
      <c r="S225" s="88"/>
      <c r="T225" s="88"/>
      <c r="U225" s="88"/>
      <c r="V225" s="88"/>
      <c r="W225" s="88"/>
      <c r="X225" s="89"/>
      <c r="Y225" s="89"/>
      <c r="Z225" s="89"/>
      <c r="AA225" s="89"/>
      <c r="AB225" s="89"/>
      <c r="AC225" s="89"/>
      <c r="AD225" s="89"/>
      <c r="AE225" s="89"/>
      <c r="AF225" s="89"/>
      <c r="AG225" s="89"/>
      <c r="AH225" s="89"/>
      <c r="AI225" s="89"/>
      <c r="AJ225" s="89"/>
      <c r="AK225" s="65">
        <f t="shared" si="23"/>
        <v>0</v>
      </c>
      <c r="AL225" s="66" t="str">
        <f t="shared" si="22"/>
        <v>Tidak disarankan</v>
      </c>
      <c r="AM225" s="67" t="s">
        <v>235</v>
      </c>
      <c r="AN225" s="67" t="s">
        <v>235</v>
      </c>
      <c r="AO225" s="67" t="s">
        <v>235</v>
      </c>
      <c r="AP225" s="67" t="s">
        <v>236</v>
      </c>
      <c r="AQ225" s="67" t="s">
        <v>236</v>
      </c>
    </row>
    <row r="226" spans="1:43" ht="50" x14ac:dyDescent="0.35">
      <c r="A226" s="64">
        <v>224</v>
      </c>
      <c r="B226" s="67" t="s">
        <v>719</v>
      </c>
      <c r="C226" s="67" t="str">
        <f t="shared" si="18"/>
        <v>Pangkalan Bun, 06 Februari 1995</v>
      </c>
      <c r="D226" s="67" t="str">
        <f t="shared" si="19"/>
        <v>S1 - Akuntansi</v>
      </c>
      <c r="E226" s="66">
        <f t="shared" si="20"/>
        <v>118</v>
      </c>
      <c r="F226" s="66" t="str">
        <f t="shared" si="21"/>
        <v>Baik</v>
      </c>
      <c r="G226" s="88"/>
      <c r="H226" s="88"/>
      <c r="I226" s="88"/>
      <c r="J226" s="88"/>
      <c r="K226" s="88"/>
      <c r="L226" s="88"/>
      <c r="M226" s="88"/>
      <c r="N226" s="88"/>
      <c r="O226" s="88"/>
      <c r="P226" s="88"/>
      <c r="Q226" s="88"/>
      <c r="R226" s="88"/>
      <c r="S226" s="88"/>
      <c r="T226" s="88"/>
      <c r="U226" s="88"/>
      <c r="V226" s="88"/>
      <c r="W226" s="88"/>
      <c r="X226" s="89"/>
      <c r="Y226" s="89"/>
      <c r="Z226" s="89"/>
      <c r="AA226" s="89"/>
      <c r="AB226" s="89"/>
      <c r="AC226" s="89"/>
      <c r="AD226" s="89"/>
      <c r="AE226" s="89"/>
      <c r="AF226" s="89"/>
      <c r="AG226" s="89"/>
      <c r="AH226" s="89"/>
      <c r="AI226" s="89"/>
      <c r="AJ226" s="89"/>
      <c r="AK226" s="65">
        <f t="shared" si="23"/>
        <v>0</v>
      </c>
      <c r="AL226" s="66" t="str">
        <f t="shared" si="22"/>
        <v>Tidak disarankan</v>
      </c>
      <c r="AM226" s="67" t="s">
        <v>235</v>
      </c>
      <c r="AN226" s="67" t="s">
        <v>235</v>
      </c>
      <c r="AO226" s="67" t="s">
        <v>235</v>
      </c>
      <c r="AP226" s="67" t="s">
        <v>236</v>
      </c>
      <c r="AQ226" s="67" t="s">
        <v>236</v>
      </c>
    </row>
    <row r="227" spans="1:43" ht="50" x14ac:dyDescent="0.35">
      <c r="A227" s="64">
        <v>225</v>
      </c>
      <c r="B227" s="67" t="s">
        <v>990</v>
      </c>
      <c r="C227" s="67" t="str">
        <f t="shared" si="18"/>
        <v>Kotawaringin Lama, 05 Juli 2000</v>
      </c>
      <c r="D227" s="67" t="str">
        <f t="shared" si="19"/>
        <v>D3 - Keuangan Dan Perbankan</v>
      </c>
      <c r="E227" s="66">
        <f t="shared" si="20"/>
        <v>111</v>
      </c>
      <c r="F227" s="66" t="str">
        <f t="shared" si="21"/>
        <v>Baik</v>
      </c>
      <c r="G227" s="88"/>
      <c r="H227" s="88"/>
      <c r="I227" s="88"/>
      <c r="J227" s="88"/>
      <c r="K227" s="88"/>
      <c r="L227" s="88"/>
      <c r="M227" s="88"/>
      <c r="N227" s="88"/>
      <c r="O227" s="88"/>
      <c r="P227" s="88"/>
      <c r="Q227" s="88"/>
      <c r="R227" s="88"/>
      <c r="S227" s="88"/>
      <c r="T227" s="88"/>
      <c r="U227" s="88"/>
      <c r="V227" s="88"/>
      <c r="W227" s="88"/>
      <c r="X227" s="89"/>
      <c r="Y227" s="89"/>
      <c r="Z227" s="89"/>
      <c r="AA227" s="89"/>
      <c r="AB227" s="89"/>
      <c r="AC227" s="89"/>
      <c r="AD227" s="89"/>
      <c r="AE227" s="89"/>
      <c r="AF227" s="89"/>
      <c r="AG227" s="89"/>
      <c r="AH227" s="89"/>
      <c r="AI227" s="89"/>
      <c r="AJ227" s="89"/>
      <c r="AK227" s="65">
        <f t="shared" si="23"/>
        <v>0</v>
      </c>
      <c r="AL227" s="66" t="str">
        <f t="shared" si="22"/>
        <v>Tidak disarankan</v>
      </c>
      <c r="AM227" s="67" t="s">
        <v>235</v>
      </c>
      <c r="AN227" s="67" t="s">
        <v>235</v>
      </c>
      <c r="AO227" s="67" t="s">
        <v>235</v>
      </c>
      <c r="AP227" s="67" t="s">
        <v>236</v>
      </c>
      <c r="AQ227" s="67" t="s">
        <v>236</v>
      </c>
    </row>
    <row r="228" spans="1:43" ht="50" x14ac:dyDescent="0.35">
      <c r="A228" s="64">
        <v>226</v>
      </c>
      <c r="B228" s="67" t="s">
        <v>992</v>
      </c>
      <c r="C228" s="67" t="str">
        <f t="shared" si="18"/>
        <v>Muara Laung I, 14 Januari 2000</v>
      </c>
      <c r="D228" s="67" t="str">
        <f t="shared" si="19"/>
        <v>S1 - Akuntansi</v>
      </c>
      <c r="E228" s="66">
        <f t="shared" si="20"/>
        <v>120</v>
      </c>
      <c r="F228" s="66" t="str">
        <f t="shared" si="21"/>
        <v>Baik Sekali</v>
      </c>
      <c r="G228" s="88"/>
      <c r="H228" s="88"/>
      <c r="I228" s="88"/>
      <c r="J228" s="88"/>
      <c r="K228" s="88"/>
      <c r="L228" s="88"/>
      <c r="M228" s="88"/>
      <c r="N228" s="88"/>
      <c r="O228" s="88"/>
      <c r="P228" s="88"/>
      <c r="Q228" s="88"/>
      <c r="R228" s="88"/>
      <c r="S228" s="88"/>
      <c r="T228" s="88"/>
      <c r="U228" s="88"/>
      <c r="V228" s="88"/>
      <c r="W228" s="88"/>
      <c r="X228" s="89"/>
      <c r="Y228" s="89"/>
      <c r="Z228" s="89"/>
      <c r="AA228" s="89"/>
      <c r="AB228" s="89"/>
      <c r="AC228" s="89"/>
      <c r="AD228" s="89"/>
      <c r="AE228" s="89"/>
      <c r="AF228" s="89"/>
      <c r="AG228" s="89"/>
      <c r="AH228" s="89"/>
      <c r="AI228" s="89"/>
      <c r="AJ228" s="89"/>
      <c r="AK228" s="65">
        <f t="shared" si="23"/>
        <v>0</v>
      </c>
      <c r="AL228" s="66" t="str">
        <f t="shared" si="22"/>
        <v>Tidak disarankan</v>
      </c>
      <c r="AM228" s="67" t="s">
        <v>235</v>
      </c>
      <c r="AN228" s="67" t="s">
        <v>235</v>
      </c>
      <c r="AO228" s="67" t="s">
        <v>235</v>
      </c>
      <c r="AP228" s="67" t="s">
        <v>236</v>
      </c>
      <c r="AQ228" s="67" t="s">
        <v>236</v>
      </c>
    </row>
    <row r="229" spans="1:43" ht="50" x14ac:dyDescent="0.35">
      <c r="A229" s="64">
        <v>227</v>
      </c>
      <c r="B229" s="67" t="s">
        <v>1156</v>
      </c>
      <c r="C229" s="67" t="str">
        <f t="shared" si="18"/>
        <v>Tumbang Sanamang, 18 September 2001</v>
      </c>
      <c r="D229" s="67" t="str">
        <f t="shared" si="19"/>
        <v>S1 - Ekonomi Syariah</v>
      </c>
      <c r="E229" s="66">
        <f t="shared" si="20"/>
        <v>113</v>
      </c>
      <c r="F229" s="66" t="str">
        <f t="shared" si="21"/>
        <v>Baik</v>
      </c>
      <c r="G229" s="88"/>
      <c r="H229" s="88"/>
      <c r="I229" s="88"/>
      <c r="J229" s="88"/>
      <c r="K229" s="88"/>
      <c r="L229" s="88"/>
      <c r="M229" s="88"/>
      <c r="N229" s="88"/>
      <c r="O229" s="88"/>
      <c r="P229" s="88"/>
      <c r="Q229" s="88"/>
      <c r="R229" s="88"/>
      <c r="S229" s="88"/>
      <c r="T229" s="88"/>
      <c r="U229" s="88"/>
      <c r="V229" s="88"/>
      <c r="W229" s="88"/>
      <c r="X229" s="89"/>
      <c r="Y229" s="89"/>
      <c r="Z229" s="89"/>
      <c r="AA229" s="89"/>
      <c r="AB229" s="89"/>
      <c r="AC229" s="89"/>
      <c r="AD229" s="89"/>
      <c r="AE229" s="89"/>
      <c r="AF229" s="89"/>
      <c r="AG229" s="89"/>
      <c r="AH229" s="89"/>
      <c r="AI229" s="89"/>
      <c r="AJ229" s="89"/>
      <c r="AK229" s="65">
        <f t="shared" si="23"/>
        <v>0</v>
      </c>
      <c r="AL229" s="66" t="str">
        <f t="shared" si="22"/>
        <v>Tidak disarankan</v>
      </c>
      <c r="AM229" s="67" t="s">
        <v>235</v>
      </c>
      <c r="AN229" s="67" t="s">
        <v>235</v>
      </c>
      <c r="AO229" s="67" t="s">
        <v>235</v>
      </c>
      <c r="AP229" s="67" t="s">
        <v>236</v>
      </c>
      <c r="AQ229" s="67" t="s">
        <v>236</v>
      </c>
    </row>
    <row r="230" spans="1:43" ht="50" x14ac:dyDescent="0.35">
      <c r="A230" s="64">
        <v>228</v>
      </c>
      <c r="B230" s="67" t="s">
        <v>940</v>
      </c>
      <c r="C230" s="67" t="str">
        <f t="shared" si="18"/>
        <v>Palangka Raya, 27 November 2001</v>
      </c>
      <c r="D230" s="67" t="str">
        <f t="shared" si="19"/>
        <v>S1 - Budidaya Perairan</v>
      </c>
      <c r="E230" s="66">
        <f t="shared" si="20"/>
        <v>123</v>
      </c>
      <c r="F230" s="66" t="str">
        <f t="shared" si="21"/>
        <v>Baik Sekali</v>
      </c>
      <c r="G230" s="88"/>
      <c r="H230" s="88"/>
      <c r="I230" s="88"/>
      <c r="J230" s="88"/>
      <c r="K230" s="88"/>
      <c r="L230" s="88"/>
      <c r="M230" s="88"/>
      <c r="N230" s="88"/>
      <c r="O230" s="88"/>
      <c r="P230" s="88"/>
      <c r="Q230" s="88"/>
      <c r="R230" s="88"/>
      <c r="S230" s="88"/>
      <c r="T230" s="88"/>
      <c r="U230" s="88"/>
      <c r="V230" s="88"/>
      <c r="W230" s="88"/>
      <c r="X230" s="89"/>
      <c r="Y230" s="89"/>
      <c r="Z230" s="89"/>
      <c r="AA230" s="89"/>
      <c r="AB230" s="89"/>
      <c r="AC230" s="89"/>
      <c r="AD230" s="89"/>
      <c r="AE230" s="89"/>
      <c r="AF230" s="89"/>
      <c r="AG230" s="89"/>
      <c r="AH230" s="89"/>
      <c r="AI230" s="89"/>
      <c r="AJ230" s="89"/>
      <c r="AK230" s="65">
        <f t="shared" si="23"/>
        <v>0</v>
      </c>
      <c r="AL230" s="66" t="str">
        <f t="shared" si="22"/>
        <v>Tidak disarankan</v>
      </c>
      <c r="AM230" s="67" t="s">
        <v>235</v>
      </c>
      <c r="AN230" s="67" t="s">
        <v>235</v>
      </c>
      <c r="AO230" s="67" t="s">
        <v>235</v>
      </c>
      <c r="AP230" s="67" t="s">
        <v>236</v>
      </c>
      <c r="AQ230" s="67" t="s">
        <v>236</v>
      </c>
    </row>
    <row r="231" spans="1:43" ht="50" x14ac:dyDescent="0.35">
      <c r="A231" s="64">
        <v>229</v>
      </c>
      <c r="B231" s="67" t="s">
        <v>1006</v>
      </c>
      <c r="C231" s="67" t="str">
        <f t="shared" si="18"/>
        <v>Bangkuang, 10 Januari 2000</v>
      </c>
      <c r="D231" s="67" t="str">
        <f t="shared" si="19"/>
        <v>S1 - Ekonomi Syariah</v>
      </c>
      <c r="E231" s="66">
        <f t="shared" si="20"/>
        <v>98</v>
      </c>
      <c r="F231" s="66" t="str">
        <f t="shared" si="21"/>
        <v>Rata-rata</v>
      </c>
      <c r="G231" s="88"/>
      <c r="H231" s="88"/>
      <c r="I231" s="88"/>
      <c r="J231" s="88"/>
      <c r="K231" s="88"/>
      <c r="L231" s="88"/>
      <c r="M231" s="88"/>
      <c r="N231" s="88"/>
      <c r="O231" s="88"/>
      <c r="P231" s="88"/>
      <c r="Q231" s="88"/>
      <c r="R231" s="88"/>
      <c r="S231" s="88"/>
      <c r="T231" s="88"/>
      <c r="U231" s="88"/>
      <c r="V231" s="88"/>
      <c r="W231" s="88"/>
      <c r="X231" s="89"/>
      <c r="Y231" s="89"/>
      <c r="Z231" s="89"/>
      <c r="AA231" s="89"/>
      <c r="AB231" s="89"/>
      <c r="AC231" s="89"/>
      <c r="AD231" s="89"/>
      <c r="AE231" s="89"/>
      <c r="AF231" s="89"/>
      <c r="AG231" s="89"/>
      <c r="AH231" s="89"/>
      <c r="AI231" s="89"/>
      <c r="AJ231" s="89"/>
      <c r="AK231" s="65">
        <f t="shared" si="23"/>
        <v>0</v>
      </c>
      <c r="AL231" s="66" t="str">
        <f t="shared" si="22"/>
        <v>Tidak disarankan</v>
      </c>
      <c r="AM231" s="67" t="s">
        <v>235</v>
      </c>
      <c r="AN231" s="67" t="s">
        <v>235</v>
      </c>
      <c r="AO231" s="67" t="s">
        <v>235</v>
      </c>
      <c r="AP231" s="67" t="s">
        <v>236</v>
      </c>
      <c r="AQ231" s="67" t="s">
        <v>236</v>
      </c>
    </row>
    <row r="232" spans="1:43" ht="50" x14ac:dyDescent="0.35">
      <c r="A232" s="64">
        <v>230</v>
      </c>
      <c r="B232" s="67" t="s">
        <v>695</v>
      </c>
      <c r="C232" s="67" t="str">
        <f t="shared" si="18"/>
        <v>Kuala Kapuas, 30 Oktober 2001</v>
      </c>
      <c r="D232" s="67" t="str">
        <f t="shared" si="19"/>
        <v>S1 - Akuntansi</v>
      </c>
      <c r="E232" s="66">
        <f t="shared" si="20"/>
        <v>121</v>
      </c>
      <c r="F232" s="66" t="str">
        <f t="shared" si="21"/>
        <v>Baik Sekali</v>
      </c>
      <c r="G232" s="88"/>
      <c r="H232" s="88"/>
      <c r="I232" s="88"/>
      <c r="J232" s="88"/>
      <c r="K232" s="88"/>
      <c r="L232" s="88"/>
      <c r="M232" s="88"/>
      <c r="N232" s="88"/>
      <c r="O232" s="88"/>
      <c r="P232" s="88"/>
      <c r="Q232" s="88"/>
      <c r="R232" s="88"/>
      <c r="S232" s="88"/>
      <c r="T232" s="88"/>
      <c r="U232" s="88"/>
      <c r="V232" s="88"/>
      <c r="W232" s="88"/>
      <c r="X232" s="89"/>
      <c r="Y232" s="89"/>
      <c r="Z232" s="89"/>
      <c r="AA232" s="89"/>
      <c r="AB232" s="89"/>
      <c r="AC232" s="89"/>
      <c r="AD232" s="89"/>
      <c r="AE232" s="89"/>
      <c r="AF232" s="89"/>
      <c r="AG232" s="89"/>
      <c r="AH232" s="89"/>
      <c r="AI232" s="89"/>
      <c r="AJ232" s="89"/>
      <c r="AK232" s="65">
        <f t="shared" si="23"/>
        <v>0</v>
      </c>
      <c r="AL232" s="66" t="str">
        <f t="shared" si="22"/>
        <v>Tidak disarankan</v>
      </c>
      <c r="AM232" s="67" t="s">
        <v>235</v>
      </c>
      <c r="AN232" s="67" t="s">
        <v>235</v>
      </c>
      <c r="AO232" s="67" t="s">
        <v>235</v>
      </c>
      <c r="AP232" s="67" t="s">
        <v>236</v>
      </c>
      <c r="AQ232" s="67" t="s">
        <v>236</v>
      </c>
    </row>
    <row r="233" spans="1:43" ht="50" x14ac:dyDescent="0.35">
      <c r="A233" s="64">
        <v>231</v>
      </c>
      <c r="B233" s="67" t="s">
        <v>282</v>
      </c>
      <c r="C233" s="67" t="str">
        <f t="shared" si="18"/>
        <v>Banjarbaru, 13 September 1997</v>
      </c>
      <c r="D233" s="67" t="str">
        <f t="shared" si="19"/>
        <v>S1 - Teknik Telekomunikasi</v>
      </c>
      <c r="E233" s="66">
        <f t="shared" si="20"/>
        <v>118</v>
      </c>
      <c r="F233" s="66" t="str">
        <f t="shared" si="21"/>
        <v>Baik</v>
      </c>
      <c r="G233" s="88"/>
      <c r="H233" s="88"/>
      <c r="I233" s="88"/>
      <c r="J233" s="88"/>
      <c r="K233" s="88"/>
      <c r="L233" s="88"/>
      <c r="M233" s="88"/>
      <c r="N233" s="88"/>
      <c r="O233" s="88"/>
      <c r="P233" s="88"/>
      <c r="Q233" s="88"/>
      <c r="R233" s="88"/>
      <c r="S233" s="88"/>
      <c r="T233" s="88"/>
      <c r="U233" s="88"/>
      <c r="V233" s="88"/>
      <c r="W233" s="88"/>
      <c r="X233" s="89"/>
      <c r="Y233" s="89"/>
      <c r="Z233" s="89"/>
      <c r="AA233" s="89"/>
      <c r="AB233" s="89"/>
      <c r="AC233" s="89"/>
      <c r="AD233" s="89"/>
      <c r="AE233" s="89"/>
      <c r="AF233" s="89"/>
      <c r="AG233" s="89"/>
      <c r="AH233" s="89"/>
      <c r="AI233" s="89"/>
      <c r="AJ233" s="89"/>
      <c r="AK233" s="65">
        <f t="shared" si="23"/>
        <v>0</v>
      </c>
      <c r="AL233" s="66" t="str">
        <f t="shared" si="22"/>
        <v>Tidak disarankan</v>
      </c>
      <c r="AM233" s="67" t="s">
        <v>235</v>
      </c>
      <c r="AN233" s="67" t="s">
        <v>235</v>
      </c>
      <c r="AO233" s="67" t="s">
        <v>235</v>
      </c>
      <c r="AP233" s="67" t="s">
        <v>236</v>
      </c>
      <c r="AQ233" s="67" t="s">
        <v>236</v>
      </c>
    </row>
    <row r="234" spans="1:43" ht="50" x14ac:dyDescent="0.35">
      <c r="A234" s="64">
        <v>232</v>
      </c>
      <c r="B234" s="67" t="s">
        <v>653</v>
      </c>
      <c r="C234" s="67" t="str">
        <f t="shared" si="18"/>
        <v>Palangka Raya, 04 November 1998</v>
      </c>
      <c r="D234" s="67" t="str">
        <f t="shared" si="19"/>
        <v>S1 - Ekonomi Syariah</v>
      </c>
      <c r="E234" s="66">
        <f t="shared" si="20"/>
        <v>116</v>
      </c>
      <c r="F234" s="66" t="str">
        <f t="shared" si="21"/>
        <v>Baik</v>
      </c>
      <c r="G234" s="88"/>
      <c r="H234" s="88"/>
      <c r="I234" s="88"/>
      <c r="J234" s="88"/>
      <c r="K234" s="88"/>
      <c r="L234" s="88"/>
      <c r="M234" s="88"/>
      <c r="N234" s="88"/>
      <c r="O234" s="88"/>
      <c r="P234" s="88"/>
      <c r="Q234" s="88"/>
      <c r="R234" s="88"/>
      <c r="S234" s="88"/>
      <c r="T234" s="88"/>
      <c r="U234" s="88"/>
      <c r="V234" s="88"/>
      <c r="W234" s="88"/>
      <c r="X234" s="89"/>
      <c r="Y234" s="89"/>
      <c r="Z234" s="89"/>
      <c r="AA234" s="89"/>
      <c r="AB234" s="89"/>
      <c r="AC234" s="89"/>
      <c r="AD234" s="89"/>
      <c r="AE234" s="89"/>
      <c r="AF234" s="89"/>
      <c r="AG234" s="89"/>
      <c r="AH234" s="89"/>
      <c r="AI234" s="89"/>
      <c r="AJ234" s="89"/>
      <c r="AK234" s="65">
        <f t="shared" si="23"/>
        <v>0</v>
      </c>
      <c r="AL234" s="66" t="str">
        <f t="shared" si="22"/>
        <v>Tidak disarankan</v>
      </c>
      <c r="AM234" s="67" t="s">
        <v>235</v>
      </c>
      <c r="AN234" s="67" t="s">
        <v>235</v>
      </c>
      <c r="AO234" s="67" t="s">
        <v>235</v>
      </c>
      <c r="AP234" s="67" t="s">
        <v>236</v>
      </c>
      <c r="AQ234" s="67" t="s">
        <v>236</v>
      </c>
    </row>
    <row r="235" spans="1:43" ht="50" x14ac:dyDescent="0.35">
      <c r="A235" s="64">
        <v>233</v>
      </c>
      <c r="B235" s="67" t="s">
        <v>953</v>
      </c>
      <c r="C235" s="67" t="str">
        <f t="shared" si="18"/>
        <v>Kuala Pembuang, 08 Februari 2001</v>
      </c>
      <c r="D235" s="67" t="str">
        <f t="shared" si="19"/>
        <v>S1 - Hukum Keluarga Islam</v>
      </c>
      <c r="E235" s="66">
        <f t="shared" si="20"/>
        <v>114</v>
      </c>
      <c r="F235" s="66" t="str">
        <f t="shared" si="21"/>
        <v>Baik</v>
      </c>
      <c r="G235" s="88"/>
      <c r="H235" s="88"/>
      <c r="I235" s="88"/>
      <c r="J235" s="88"/>
      <c r="K235" s="88"/>
      <c r="L235" s="88"/>
      <c r="M235" s="88"/>
      <c r="N235" s="88"/>
      <c r="O235" s="88"/>
      <c r="P235" s="88"/>
      <c r="Q235" s="88"/>
      <c r="R235" s="88"/>
      <c r="S235" s="88"/>
      <c r="T235" s="88"/>
      <c r="U235" s="88"/>
      <c r="V235" s="88"/>
      <c r="W235" s="88"/>
      <c r="X235" s="89"/>
      <c r="Y235" s="89"/>
      <c r="Z235" s="89"/>
      <c r="AA235" s="89"/>
      <c r="AB235" s="89"/>
      <c r="AC235" s="89"/>
      <c r="AD235" s="89"/>
      <c r="AE235" s="89"/>
      <c r="AF235" s="89"/>
      <c r="AG235" s="89"/>
      <c r="AH235" s="89"/>
      <c r="AI235" s="89"/>
      <c r="AJ235" s="89"/>
      <c r="AK235" s="65">
        <f t="shared" si="23"/>
        <v>0</v>
      </c>
      <c r="AL235" s="66" t="str">
        <f t="shared" si="22"/>
        <v>Tidak disarankan</v>
      </c>
      <c r="AM235" s="67" t="s">
        <v>235</v>
      </c>
      <c r="AN235" s="67" t="s">
        <v>235</v>
      </c>
      <c r="AO235" s="67" t="s">
        <v>235</v>
      </c>
      <c r="AP235" s="67" t="s">
        <v>236</v>
      </c>
      <c r="AQ235" s="67" t="s">
        <v>236</v>
      </c>
    </row>
    <row r="236" spans="1:43" ht="50" x14ac:dyDescent="0.35">
      <c r="A236" s="64">
        <v>234</v>
      </c>
      <c r="B236" s="67" t="s">
        <v>967</v>
      </c>
      <c r="C236" s="67" t="str">
        <f t="shared" si="18"/>
        <v>Sampit, 08 November 1997</v>
      </c>
      <c r="D236" s="67" t="str">
        <f t="shared" si="19"/>
        <v>S1 - Manajemen</v>
      </c>
      <c r="E236" s="66">
        <f t="shared" si="20"/>
        <v>121</v>
      </c>
      <c r="F236" s="66" t="str">
        <f t="shared" si="21"/>
        <v>Baik Sekali</v>
      </c>
      <c r="G236" s="88"/>
      <c r="H236" s="88"/>
      <c r="I236" s="88"/>
      <c r="J236" s="88"/>
      <c r="K236" s="88"/>
      <c r="L236" s="88"/>
      <c r="M236" s="88"/>
      <c r="N236" s="88"/>
      <c r="O236" s="88"/>
      <c r="P236" s="88"/>
      <c r="Q236" s="88"/>
      <c r="R236" s="88"/>
      <c r="S236" s="88"/>
      <c r="T236" s="88"/>
      <c r="U236" s="88"/>
      <c r="V236" s="88"/>
      <c r="W236" s="88"/>
      <c r="X236" s="89"/>
      <c r="Y236" s="89"/>
      <c r="Z236" s="89"/>
      <c r="AA236" s="89"/>
      <c r="AB236" s="89"/>
      <c r="AC236" s="89"/>
      <c r="AD236" s="89"/>
      <c r="AE236" s="89"/>
      <c r="AF236" s="89"/>
      <c r="AG236" s="89"/>
      <c r="AH236" s="89"/>
      <c r="AI236" s="89"/>
      <c r="AJ236" s="89"/>
      <c r="AK236" s="65">
        <f t="shared" si="23"/>
        <v>0</v>
      </c>
      <c r="AL236" s="66" t="str">
        <f t="shared" si="22"/>
        <v>Tidak disarankan</v>
      </c>
      <c r="AM236" s="67" t="s">
        <v>235</v>
      </c>
      <c r="AN236" s="67" t="s">
        <v>235</v>
      </c>
      <c r="AO236" s="67" t="s">
        <v>235</v>
      </c>
      <c r="AP236" s="67" t="s">
        <v>236</v>
      </c>
      <c r="AQ236" s="67" t="s">
        <v>236</v>
      </c>
    </row>
    <row r="237" spans="1:43" ht="50" x14ac:dyDescent="0.35">
      <c r="A237" s="64">
        <v>235</v>
      </c>
      <c r="B237" s="67" t="s">
        <v>994</v>
      </c>
      <c r="C237" s="67" t="str">
        <f t="shared" si="18"/>
        <v>Sidoarjo, 15 April 1999</v>
      </c>
      <c r="D237" s="67" t="str">
        <f t="shared" si="19"/>
        <v>S1 - Manajemen</v>
      </c>
      <c r="E237" s="66">
        <f t="shared" si="20"/>
        <v>118</v>
      </c>
      <c r="F237" s="66" t="str">
        <f t="shared" si="21"/>
        <v>Baik</v>
      </c>
      <c r="G237" s="88"/>
      <c r="H237" s="88"/>
      <c r="I237" s="88"/>
      <c r="J237" s="88"/>
      <c r="K237" s="88"/>
      <c r="L237" s="88"/>
      <c r="M237" s="88"/>
      <c r="N237" s="88"/>
      <c r="O237" s="88"/>
      <c r="P237" s="88"/>
      <c r="Q237" s="88"/>
      <c r="R237" s="88"/>
      <c r="S237" s="88"/>
      <c r="T237" s="88"/>
      <c r="U237" s="88"/>
      <c r="V237" s="88"/>
      <c r="W237" s="88"/>
      <c r="X237" s="89"/>
      <c r="Y237" s="89"/>
      <c r="Z237" s="89"/>
      <c r="AA237" s="89"/>
      <c r="AB237" s="89"/>
      <c r="AC237" s="89"/>
      <c r="AD237" s="89"/>
      <c r="AE237" s="89"/>
      <c r="AF237" s="89"/>
      <c r="AG237" s="89"/>
      <c r="AH237" s="89"/>
      <c r="AI237" s="89"/>
      <c r="AJ237" s="89"/>
      <c r="AK237" s="65">
        <f t="shared" si="23"/>
        <v>0</v>
      </c>
      <c r="AL237" s="66" t="str">
        <f t="shared" si="22"/>
        <v>Tidak disarankan</v>
      </c>
      <c r="AM237" s="67" t="s">
        <v>235</v>
      </c>
      <c r="AN237" s="67" t="s">
        <v>235</v>
      </c>
      <c r="AO237" s="67" t="s">
        <v>235</v>
      </c>
      <c r="AP237" s="67" t="s">
        <v>236</v>
      </c>
      <c r="AQ237" s="67" t="s">
        <v>236</v>
      </c>
    </row>
    <row r="238" spans="1:43" ht="50" x14ac:dyDescent="0.35">
      <c r="A238" s="64">
        <v>236</v>
      </c>
      <c r="B238" s="67" t="s">
        <v>720</v>
      </c>
      <c r="C238" s="67" t="str">
        <f t="shared" si="18"/>
        <v>Palangka Raya, 17 Desember 1999</v>
      </c>
      <c r="D238" s="67" t="str">
        <f t="shared" si="19"/>
        <v>S1 - Perbankan Syariah</v>
      </c>
      <c r="E238" s="66">
        <f t="shared" si="20"/>
        <v>98</v>
      </c>
      <c r="F238" s="66" t="str">
        <f t="shared" si="21"/>
        <v>Rata-rata</v>
      </c>
      <c r="G238" s="88"/>
      <c r="H238" s="88"/>
      <c r="I238" s="88"/>
      <c r="J238" s="88"/>
      <c r="K238" s="88"/>
      <c r="L238" s="88"/>
      <c r="M238" s="88"/>
      <c r="N238" s="88"/>
      <c r="O238" s="88"/>
      <c r="P238" s="88"/>
      <c r="Q238" s="88"/>
      <c r="R238" s="88"/>
      <c r="S238" s="88"/>
      <c r="T238" s="88"/>
      <c r="U238" s="88"/>
      <c r="V238" s="88"/>
      <c r="W238" s="88"/>
      <c r="X238" s="89"/>
      <c r="Y238" s="89"/>
      <c r="Z238" s="89"/>
      <c r="AA238" s="89"/>
      <c r="AB238" s="89"/>
      <c r="AC238" s="89"/>
      <c r="AD238" s="89"/>
      <c r="AE238" s="89"/>
      <c r="AF238" s="89"/>
      <c r="AG238" s="89"/>
      <c r="AH238" s="89"/>
      <c r="AI238" s="89"/>
      <c r="AJ238" s="89"/>
      <c r="AK238" s="65">
        <f t="shared" si="23"/>
        <v>0</v>
      </c>
      <c r="AL238" s="66" t="str">
        <f t="shared" si="22"/>
        <v>Tidak disarankan</v>
      </c>
      <c r="AM238" s="67" t="s">
        <v>235</v>
      </c>
      <c r="AN238" s="67" t="s">
        <v>235</v>
      </c>
      <c r="AO238" s="67" t="s">
        <v>235</v>
      </c>
      <c r="AP238" s="67" t="s">
        <v>236</v>
      </c>
      <c r="AQ238" s="67" t="s">
        <v>236</v>
      </c>
    </row>
    <row r="239" spans="1:43" ht="50" x14ac:dyDescent="0.35">
      <c r="A239" s="64">
        <v>237</v>
      </c>
      <c r="B239" s="67" t="s">
        <v>1022</v>
      </c>
      <c r="C239" s="67" t="str">
        <f t="shared" si="18"/>
        <v>Pangkalan Bun, 06 Juli 1999</v>
      </c>
      <c r="D239" s="67" t="str">
        <f t="shared" si="19"/>
        <v>S1 - Budidaya Perairan</v>
      </c>
      <c r="E239" s="66">
        <f t="shared" si="20"/>
        <v>115</v>
      </c>
      <c r="F239" s="66" t="str">
        <f t="shared" si="21"/>
        <v>Baik</v>
      </c>
      <c r="G239" s="88"/>
      <c r="H239" s="88"/>
      <c r="I239" s="88"/>
      <c r="J239" s="88"/>
      <c r="K239" s="88"/>
      <c r="L239" s="88"/>
      <c r="M239" s="88"/>
      <c r="N239" s="88"/>
      <c r="O239" s="88"/>
      <c r="P239" s="88"/>
      <c r="Q239" s="88"/>
      <c r="R239" s="88"/>
      <c r="S239" s="88"/>
      <c r="T239" s="88"/>
      <c r="U239" s="88"/>
      <c r="V239" s="88"/>
      <c r="W239" s="88"/>
      <c r="X239" s="89"/>
      <c r="Y239" s="89"/>
      <c r="Z239" s="89"/>
      <c r="AA239" s="89"/>
      <c r="AB239" s="89"/>
      <c r="AC239" s="89"/>
      <c r="AD239" s="89"/>
      <c r="AE239" s="89"/>
      <c r="AF239" s="89"/>
      <c r="AG239" s="89"/>
      <c r="AH239" s="89"/>
      <c r="AI239" s="89"/>
      <c r="AJ239" s="89"/>
      <c r="AK239" s="65">
        <f t="shared" si="23"/>
        <v>0</v>
      </c>
      <c r="AL239" s="66" t="str">
        <f t="shared" si="22"/>
        <v>Tidak disarankan</v>
      </c>
      <c r="AM239" s="67" t="s">
        <v>235</v>
      </c>
      <c r="AN239" s="67" t="s">
        <v>235</v>
      </c>
      <c r="AO239" s="67" t="s">
        <v>235</v>
      </c>
      <c r="AP239" s="67" t="s">
        <v>236</v>
      </c>
      <c r="AQ239" s="67" t="s">
        <v>236</v>
      </c>
    </row>
    <row r="240" spans="1:43" ht="50" x14ac:dyDescent="0.35">
      <c r="A240" s="64">
        <v>238</v>
      </c>
      <c r="B240" s="67" t="s">
        <v>1095</v>
      </c>
      <c r="C240" s="67" t="str">
        <f t="shared" si="18"/>
        <v>Palangka Raya, 07 Juli 1996</v>
      </c>
      <c r="D240" s="67" t="str">
        <f t="shared" si="19"/>
        <v>S1 - Sistem Informasi</v>
      </c>
      <c r="E240" s="66">
        <f t="shared" si="20"/>
        <v>113</v>
      </c>
      <c r="F240" s="66" t="str">
        <f t="shared" si="21"/>
        <v>Baik</v>
      </c>
      <c r="G240" s="88"/>
      <c r="H240" s="88"/>
      <c r="I240" s="88"/>
      <c r="J240" s="88"/>
      <c r="K240" s="88"/>
      <c r="L240" s="88"/>
      <c r="M240" s="88"/>
      <c r="N240" s="88"/>
      <c r="O240" s="88"/>
      <c r="P240" s="88"/>
      <c r="Q240" s="88"/>
      <c r="R240" s="88"/>
      <c r="S240" s="88"/>
      <c r="T240" s="88"/>
      <c r="U240" s="88"/>
      <c r="V240" s="88"/>
      <c r="W240" s="88"/>
      <c r="X240" s="89"/>
      <c r="Y240" s="89"/>
      <c r="Z240" s="89"/>
      <c r="AA240" s="89"/>
      <c r="AB240" s="89"/>
      <c r="AC240" s="89"/>
      <c r="AD240" s="89"/>
      <c r="AE240" s="89"/>
      <c r="AF240" s="89"/>
      <c r="AG240" s="89"/>
      <c r="AH240" s="89"/>
      <c r="AI240" s="89"/>
      <c r="AJ240" s="89"/>
      <c r="AK240" s="65">
        <f t="shared" si="23"/>
        <v>0</v>
      </c>
      <c r="AL240" s="66" t="str">
        <f t="shared" si="22"/>
        <v>Tidak disarankan</v>
      </c>
      <c r="AM240" s="67" t="s">
        <v>235</v>
      </c>
      <c r="AN240" s="67" t="s">
        <v>235</v>
      </c>
      <c r="AO240" s="67" t="s">
        <v>235</v>
      </c>
      <c r="AP240" s="67" t="s">
        <v>236</v>
      </c>
      <c r="AQ240" s="67" t="s">
        <v>236</v>
      </c>
    </row>
    <row r="241" spans="1:43" ht="50" x14ac:dyDescent="0.35">
      <c r="A241" s="64">
        <v>239</v>
      </c>
      <c r="B241" s="67" t="s">
        <v>712</v>
      </c>
      <c r="C241" s="67" t="str">
        <f t="shared" si="18"/>
        <v>Kampung Baru, 10 April 2000</v>
      </c>
      <c r="D241" s="67" t="str">
        <f t="shared" si="19"/>
        <v>S1 - Manajemen</v>
      </c>
      <c r="E241" s="66">
        <f t="shared" si="20"/>
        <v>125</v>
      </c>
      <c r="F241" s="66" t="str">
        <f t="shared" si="21"/>
        <v>Baik Sekali</v>
      </c>
      <c r="G241" s="88"/>
      <c r="H241" s="88"/>
      <c r="I241" s="88"/>
      <c r="J241" s="88"/>
      <c r="K241" s="88"/>
      <c r="L241" s="88"/>
      <c r="M241" s="88"/>
      <c r="N241" s="88"/>
      <c r="O241" s="88"/>
      <c r="P241" s="88"/>
      <c r="Q241" s="88"/>
      <c r="R241" s="88"/>
      <c r="S241" s="88"/>
      <c r="T241" s="88"/>
      <c r="U241" s="88"/>
      <c r="V241" s="88"/>
      <c r="W241" s="88"/>
      <c r="X241" s="89"/>
      <c r="Y241" s="89"/>
      <c r="Z241" s="89"/>
      <c r="AA241" s="89"/>
      <c r="AB241" s="89"/>
      <c r="AC241" s="89"/>
      <c r="AD241" s="89"/>
      <c r="AE241" s="89"/>
      <c r="AF241" s="89"/>
      <c r="AG241" s="89"/>
      <c r="AH241" s="89"/>
      <c r="AI241" s="89"/>
      <c r="AJ241" s="89"/>
      <c r="AK241" s="65">
        <f t="shared" si="23"/>
        <v>0</v>
      </c>
      <c r="AL241" s="66" t="str">
        <f t="shared" si="22"/>
        <v>Tidak disarankan</v>
      </c>
      <c r="AM241" s="67" t="s">
        <v>235</v>
      </c>
      <c r="AN241" s="67" t="s">
        <v>235</v>
      </c>
      <c r="AO241" s="67" t="s">
        <v>235</v>
      </c>
      <c r="AP241" s="67" t="s">
        <v>236</v>
      </c>
      <c r="AQ241" s="67" t="s">
        <v>236</v>
      </c>
    </row>
    <row r="242" spans="1:43" ht="50" x14ac:dyDescent="0.35">
      <c r="A242" s="64">
        <v>240</v>
      </c>
      <c r="B242" s="67" t="s">
        <v>1243</v>
      </c>
      <c r="C242" s="67" t="str">
        <f t="shared" si="18"/>
        <v>Kuala Kapuas, 01 Juni 1999</v>
      </c>
      <c r="D242" s="67" t="str">
        <f t="shared" si="19"/>
        <v>S1 - Pendidikan Ekonomi</v>
      </c>
      <c r="E242" s="66">
        <f t="shared" si="20"/>
        <v>114</v>
      </c>
      <c r="F242" s="66" t="str">
        <f t="shared" si="21"/>
        <v>Baik</v>
      </c>
      <c r="G242" s="88"/>
      <c r="H242" s="88"/>
      <c r="I242" s="88"/>
      <c r="J242" s="88"/>
      <c r="K242" s="88"/>
      <c r="L242" s="88"/>
      <c r="M242" s="88"/>
      <c r="N242" s="88"/>
      <c r="O242" s="88"/>
      <c r="P242" s="88"/>
      <c r="Q242" s="88"/>
      <c r="R242" s="88"/>
      <c r="S242" s="88"/>
      <c r="T242" s="88"/>
      <c r="U242" s="88"/>
      <c r="V242" s="88"/>
      <c r="W242" s="88"/>
      <c r="X242" s="89"/>
      <c r="Y242" s="89"/>
      <c r="Z242" s="89"/>
      <c r="AA242" s="89"/>
      <c r="AB242" s="89"/>
      <c r="AC242" s="89"/>
      <c r="AD242" s="89"/>
      <c r="AE242" s="89"/>
      <c r="AF242" s="89"/>
      <c r="AG242" s="89"/>
      <c r="AH242" s="89"/>
      <c r="AI242" s="89"/>
      <c r="AJ242" s="89"/>
      <c r="AK242" s="65">
        <f t="shared" si="23"/>
        <v>0</v>
      </c>
      <c r="AL242" s="66" t="str">
        <f t="shared" si="22"/>
        <v>Tidak disarankan</v>
      </c>
      <c r="AM242" s="67" t="s">
        <v>235</v>
      </c>
      <c r="AN242" s="67" t="s">
        <v>235</v>
      </c>
      <c r="AO242" s="67" t="s">
        <v>235</v>
      </c>
      <c r="AP242" s="67" t="s">
        <v>236</v>
      </c>
      <c r="AQ242" s="67" t="s">
        <v>236</v>
      </c>
    </row>
    <row r="243" spans="1:43" ht="50" x14ac:dyDescent="0.35">
      <c r="A243" s="64">
        <v>241</v>
      </c>
      <c r="B243" s="67" t="s">
        <v>342</v>
      </c>
      <c r="C243" s="67" t="str">
        <f t="shared" si="18"/>
        <v>Kuala Kapuas, 21 Oktober 2000</v>
      </c>
      <c r="D243" s="67" t="str">
        <f t="shared" si="19"/>
        <v>S1 - Ilmu Hubungan Internasional</v>
      </c>
      <c r="E243" s="66">
        <f t="shared" si="20"/>
        <v>124</v>
      </c>
      <c r="F243" s="66" t="str">
        <f t="shared" si="21"/>
        <v>Baik Sekali</v>
      </c>
      <c r="G243" s="88"/>
      <c r="H243" s="88"/>
      <c r="I243" s="88"/>
      <c r="J243" s="88"/>
      <c r="K243" s="88"/>
      <c r="L243" s="88"/>
      <c r="M243" s="88"/>
      <c r="N243" s="88"/>
      <c r="O243" s="88"/>
      <c r="P243" s="88"/>
      <c r="Q243" s="88"/>
      <c r="R243" s="88"/>
      <c r="S243" s="88"/>
      <c r="T243" s="88"/>
      <c r="U243" s="88"/>
      <c r="V243" s="88"/>
      <c r="W243" s="88"/>
      <c r="X243" s="89"/>
      <c r="Y243" s="89"/>
      <c r="Z243" s="89"/>
      <c r="AA243" s="89"/>
      <c r="AB243" s="89"/>
      <c r="AC243" s="89"/>
      <c r="AD243" s="89"/>
      <c r="AE243" s="89"/>
      <c r="AF243" s="89"/>
      <c r="AG243" s="89"/>
      <c r="AH243" s="89"/>
      <c r="AI243" s="89"/>
      <c r="AJ243" s="89"/>
      <c r="AK243" s="65">
        <f t="shared" si="23"/>
        <v>0</v>
      </c>
      <c r="AL243" s="66" t="str">
        <f t="shared" si="22"/>
        <v>Tidak disarankan</v>
      </c>
      <c r="AM243" s="67" t="s">
        <v>235</v>
      </c>
      <c r="AN243" s="67" t="s">
        <v>235</v>
      </c>
      <c r="AO243" s="67" t="s">
        <v>235</v>
      </c>
      <c r="AP243" s="67" t="s">
        <v>236</v>
      </c>
      <c r="AQ243" s="67" t="s">
        <v>236</v>
      </c>
    </row>
    <row r="244" spans="1:43" ht="50" x14ac:dyDescent="0.35">
      <c r="A244" s="64">
        <v>242</v>
      </c>
      <c r="B244" s="67" t="s">
        <v>1508</v>
      </c>
      <c r="C244" s="67" t="str">
        <f t="shared" si="18"/>
        <v>Palangka Raya, 16 Agustus 2001</v>
      </c>
      <c r="D244" s="67" t="str">
        <f t="shared" si="19"/>
        <v>S1 - Perbankan Syariah</v>
      </c>
      <c r="E244" s="66" t="e">
        <f t="shared" si="20"/>
        <v>#N/A</v>
      </c>
      <c r="F244" s="66" t="e">
        <f t="shared" si="21"/>
        <v>#N/A</v>
      </c>
      <c r="G244" s="88"/>
      <c r="H244" s="88"/>
      <c r="I244" s="88"/>
      <c r="J244" s="88"/>
      <c r="K244" s="88"/>
      <c r="L244" s="88"/>
      <c r="M244" s="88"/>
      <c r="N244" s="88"/>
      <c r="O244" s="88"/>
      <c r="P244" s="88"/>
      <c r="Q244" s="88"/>
      <c r="R244" s="88"/>
      <c r="S244" s="88"/>
      <c r="T244" s="88"/>
      <c r="U244" s="88"/>
      <c r="V244" s="88"/>
      <c r="W244" s="88"/>
      <c r="X244" s="89"/>
      <c r="Y244" s="89"/>
      <c r="Z244" s="89"/>
      <c r="AA244" s="89"/>
      <c r="AB244" s="89"/>
      <c r="AC244" s="89"/>
      <c r="AD244" s="89"/>
      <c r="AE244" s="89"/>
      <c r="AF244" s="89"/>
      <c r="AG244" s="89"/>
      <c r="AH244" s="89"/>
      <c r="AI244" s="89"/>
      <c r="AJ244" s="89"/>
      <c r="AK244" s="65">
        <f t="shared" si="23"/>
        <v>0</v>
      </c>
      <c r="AL244" s="66" t="str">
        <f t="shared" si="22"/>
        <v>Tidak disarankan</v>
      </c>
      <c r="AM244" s="67" t="s">
        <v>235</v>
      </c>
      <c r="AN244" s="67" t="s">
        <v>235</v>
      </c>
      <c r="AO244" s="67" t="s">
        <v>235</v>
      </c>
      <c r="AP244" s="67" t="s">
        <v>236</v>
      </c>
      <c r="AQ244" s="67" t="s">
        <v>236</v>
      </c>
    </row>
    <row r="245" spans="1:43" ht="50" x14ac:dyDescent="0.35">
      <c r="A245" s="64">
        <v>243</v>
      </c>
      <c r="B245" s="67" t="s">
        <v>682</v>
      </c>
      <c r="C245" s="67" t="str">
        <f t="shared" si="18"/>
        <v>Palangka Raya, 15 Maret 2000</v>
      </c>
      <c r="D245" s="67" t="str">
        <f t="shared" si="19"/>
        <v>S1 - Administrasi Bisnis</v>
      </c>
      <c r="E245" s="66">
        <f t="shared" si="20"/>
        <v>126</v>
      </c>
      <c r="F245" s="66" t="str">
        <f t="shared" si="21"/>
        <v>Baik Sekali</v>
      </c>
      <c r="G245" s="88"/>
      <c r="H245" s="88"/>
      <c r="I245" s="88"/>
      <c r="J245" s="88"/>
      <c r="K245" s="88"/>
      <c r="L245" s="88"/>
      <c r="M245" s="88"/>
      <c r="N245" s="88"/>
      <c r="O245" s="88"/>
      <c r="P245" s="88"/>
      <c r="Q245" s="88"/>
      <c r="R245" s="88"/>
      <c r="S245" s="88"/>
      <c r="T245" s="88"/>
      <c r="U245" s="88"/>
      <c r="V245" s="88"/>
      <c r="W245" s="88"/>
      <c r="X245" s="89"/>
      <c r="Y245" s="89"/>
      <c r="Z245" s="89"/>
      <c r="AA245" s="89"/>
      <c r="AB245" s="89"/>
      <c r="AC245" s="89"/>
      <c r="AD245" s="89"/>
      <c r="AE245" s="89"/>
      <c r="AF245" s="89"/>
      <c r="AG245" s="89"/>
      <c r="AH245" s="89"/>
      <c r="AI245" s="89"/>
      <c r="AJ245" s="89"/>
      <c r="AK245" s="65">
        <f t="shared" si="23"/>
        <v>0</v>
      </c>
      <c r="AL245" s="66" t="str">
        <f t="shared" si="22"/>
        <v>Tidak disarankan</v>
      </c>
      <c r="AM245" s="67" t="s">
        <v>235</v>
      </c>
      <c r="AN245" s="67" t="s">
        <v>235</v>
      </c>
      <c r="AO245" s="67" t="s">
        <v>235</v>
      </c>
      <c r="AP245" s="67" t="s">
        <v>236</v>
      </c>
      <c r="AQ245" s="67" t="s">
        <v>236</v>
      </c>
    </row>
    <row r="246" spans="1:43" ht="50" x14ac:dyDescent="0.35">
      <c r="A246" s="64">
        <v>244</v>
      </c>
      <c r="B246" s="67" t="s">
        <v>694</v>
      </c>
      <c r="C246" s="67" t="str">
        <f t="shared" si="18"/>
        <v>Jaya Kelapa, 15 Juli 2002</v>
      </c>
      <c r="D246" s="67" t="str">
        <f t="shared" si="19"/>
        <v>S1 - Ilmu Hukum</v>
      </c>
      <c r="E246" s="66">
        <f t="shared" si="20"/>
        <v>110</v>
      </c>
      <c r="F246" s="66" t="str">
        <f t="shared" si="21"/>
        <v>Baik</v>
      </c>
      <c r="G246" s="88"/>
      <c r="H246" s="88"/>
      <c r="I246" s="88"/>
      <c r="J246" s="88"/>
      <c r="K246" s="88"/>
      <c r="L246" s="88"/>
      <c r="M246" s="88"/>
      <c r="N246" s="88"/>
      <c r="O246" s="88"/>
      <c r="P246" s="88"/>
      <c r="Q246" s="88"/>
      <c r="R246" s="88"/>
      <c r="S246" s="88"/>
      <c r="T246" s="88"/>
      <c r="U246" s="88"/>
      <c r="V246" s="88"/>
      <c r="W246" s="88"/>
      <c r="X246" s="89"/>
      <c r="Y246" s="89"/>
      <c r="Z246" s="89"/>
      <c r="AA246" s="89"/>
      <c r="AB246" s="89"/>
      <c r="AC246" s="89"/>
      <c r="AD246" s="89"/>
      <c r="AE246" s="89"/>
      <c r="AF246" s="89"/>
      <c r="AG246" s="89"/>
      <c r="AH246" s="89"/>
      <c r="AI246" s="89"/>
      <c r="AJ246" s="89"/>
      <c r="AK246" s="65">
        <f t="shared" si="23"/>
        <v>0</v>
      </c>
      <c r="AL246" s="66" t="str">
        <f t="shared" si="22"/>
        <v>Tidak disarankan</v>
      </c>
      <c r="AM246" s="67" t="s">
        <v>235</v>
      </c>
      <c r="AN246" s="67" t="s">
        <v>235</v>
      </c>
      <c r="AO246" s="67" t="s">
        <v>235</v>
      </c>
      <c r="AP246" s="67" t="s">
        <v>236</v>
      </c>
      <c r="AQ246" s="67" t="s">
        <v>236</v>
      </c>
    </row>
    <row r="247" spans="1:43" ht="50" x14ac:dyDescent="0.35">
      <c r="A247" s="64">
        <v>245</v>
      </c>
      <c r="B247" s="67" t="s">
        <v>996</v>
      </c>
      <c r="C247" s="67" t="str">
        <f t="shared" si="18"/>
        <v>Palangkaraya, 05 November 1996</v>
      </c>
      <c r="D247" s="67" t="str">
        <f t="shared" si="19"/>
        <v>S1 - Ilmu Hukum</v>
      </c>
      <c r="E247" s="66">
        <f t="shared" si="20"/>
        <v>116</v>
      </c>
      <c r="F247" s="66" t="str">
        <f t="shared" si="21"/>
        <v>Baik</v>
      </c>
      <c r="G247" s="88"/>
      <c r="H247" s="88"/>
      <c r="I247" s="88"/>
      <c r="J247" s="88"/>
      <c r="K247" s="88"/>
      <c r="L247" s="88"/>
      <c r="M247" s="88"/>
      <c r="N247" s="88"/>
      <c r="O247" s="88"/>
      <c r="P247" s="88"/>
      <c r="Q247" s="88"/>
      <c r="R247" s="88"/>
      <c r="S247" s="88"/>
      <c r="T247" s="88"/>
      <c r="U247" s="88"/>
      <c r="V247" s="88"/>
      <c r="W247" s="88"/>
      <c r="X247" s="89"/>
      <c r="Y247" s="89"/>
      <c r="Z247" s="89"/>
      <c r="AA247" s="89"/>
      <c r="AB247" s="89"/>
      <c r="AC247" s="89"/>
      <c r="AD247" s="89"/>
      <c r="AE247" s="89"/>
      <c r="AF247" s="89"/>
      <c r="AG247" s="89"/>
      <c r="AH247" s="89"/>
      <c r="AI247" s="89"/>
      <c r="AJ247" s="89"/>
      <c r="AK247" s="65">
        <f t="shared" si="23"/>
        <v>0</v>
      </c>
      <c r="AL247" s="66" t="str">
        <f t="shared" si="22"/>
        <v>Tidak disarankan</v>
      </c>
      <c r="AM247" s="67" t="s">
        <v>235</v>
      </c>
      <c r="AN247" s="67" t="s">
        <v>235</v>
      </c>
      <c r="AO247" s="67" t="s">
        <v>235</v>
      </c>
      <c r="AP247" s="67" t="s">
        <v>236</v>
      </c>
      <c r="AQ247" s="67" t="s">
        <v>236</v>
      </c>
    </row>
    <row r="248" spans="1:43" ht="50" x14ac:dyDescent="0.35">
      <c r="A248" s="64">
        <v>246</v>
      </c>
      <c r="B248" s="67" t="s">
        <v>715</v>
      </c>
      <c r="C248" s="67" t="str">
        <f t="shared" si="18"/>
        <v>Palangka Raya, 16 Agustus 1996</v>
      </c>
      <c r="D248" s="67" t="str">
        <f t="shared" si="19"/>
        <v>S1 - Teknik Sipil</v>
      </c>
      <c r="E248" s="66">
        <f t="shared" si="20"/>
        <v>118</v>
      </c>
      <c r="F248" s="66" t="str">
        <f t="shared" si="21"/>
        <v>Baik</v>
      </c>
      <c r="G248" s="88"/>
      <c r="H248" s="88"/>
      <c r="I248" s="88"/>
      <c r="J248" s="88"/>
      <c r="K248" s="88"/>
      <c r="L248" s="88"/>
      <c r="M248" s="88"/>
      <c r="N248" s="88"/>
      <c r="O248" s="88"/>
      <c r="P248" s="88"/>
      <c r="Q248" s="88"/>
      <c r="R248" s="88"/>
      <c r="S248" s="88"/>
      <c r="T248" s="88"/>
      <c r="U248" s="88"/>
      <c r="V248" s="88"/>
      <c r="W248" s="88"/>
      <c r="X248" s="89"/>
      <c r="Y248" s="89"/>
      <c r="Z248" s="89"/>
      <c r="AA248" s="89"/>
      <c r="AB248" s="89"/>
      <c r="AC248" s="89"/>
      <c r="AD248" s="89"/>
      <c r="AE248" s="89"/>
      <c r="AF248" s="89"/>
      <c r="AG248" s="89"/>
      <c r="AH248" s="89"/>
      <c r="AI248" s="89"/>
      <c r="AJ248" s="89"/>
      <c r="AK248" s="65">
        <f t="shared" si="23"/>
        <v>0</v>
      </c>
      <c r="AL248" s="66" t="str">
        <f t="shared" si="22"/>
        <v>Tidak disarankan</v>
      </c>
      <c r="AM248" s="67" t="s">
        <v>235</v>
      </c>
      <c r="AN248" s="67" t="s">
        <v>235</v>
      </c>
      <c r="AO248" s="67" t="s">
        <v>235</v>
      </c>
      <c r="AP248" s="67" t="s">
        <v>236</v>
      </c>
      <c r="AQ248" s="67" t="s">
        <v>236</v>
      </c>
    </row>
    <row r="249" spans="1:43" ht="50" x14ac:dyDescent="0.35">
      <c r="A249" s="64">
        <v>247</v>
      </c>
      <c r="B249" s="67" t="s">
        <v>975</v>
      </c>
      <c r="C249" s="67" t="str">
        <f t="shared" si="18"/>
        <v>Sampit, 14 Juni 1995</v>
      </c>
      <c r="D249" s="67" t="str">
        <f t="shared" si="19"/>
        <v>S1 - Perencanaan Wilayah Dan Kota</v>
      </c>
      <c r="E249" s="66">
        <f t="shared" si="20"/>
        <v>114</v>
      </c>
      <c r="F249" s="66" t="str">
        <f t="shared" si="21"/>
        <v>Baik</v>
      </c>
      <c r="G249" s="88">
        <v>3</v>
      </c>
      <c r="H249" s="88">
        <v>2</v>
      </c>
      <c r="I249" s="88">
        <v>2</v>
      </c>
      <c r="J249" s="88">
        <v>3</v>
      </c>
      <c r="K249" s="88">
        <v>3</v>
      </c>
      <c r="L249" s="88">
        <v>2</v>
      </c>
      <c r="M249" s="88">
        <v>2</v>
      </c>
      <c r="N249" s="88">
        <v>3</v>
      </c>
      <c r="O249" s="88">
        <v>2</v>
      </c>
      <c r="P249" s="88">
        <v>3</v>
      </c>
      <c r="Q249" s="88">
        <v>2</v>
      </c>
      <c r="R249" s="88">
        <v>2</v>
      </c>
      <c r="S249" s="88">
        <v>2</v>
      </c>
      <c r="T249" s="88">
        <v>2</v>
      </c>
      <c r="U249" s="88">
        <v>2</v>
      </c>
      <c r="V249" s="88">
        <v>3</v>
      </c>
      <c r="W249" s="88">
        <v>2</v>
      </c>
      <c r="X249" s="89">
        <v>2</v>
      </c>
      <c r="Y249" s="89">
        <v>3</v>
      </c>
      <c r="Z249" s="89">
        <v>2</v>
      </c>
      <c r="AA249" s="89">
        <v>2</v>
      </c>
      <c r="AB249" s="89">
        <v>1</v>
      </c>
      <c r="AC249" s="89">
        <v>1</v>
      </c>
      <c r="AD249" s="89">
        <v>1</v>
      </c>
      <c r="AE249" s="89">
        <v>2</v>
      </c>
      <c r="AF249" s="89">
        <v>2</v>
      </c>
      <c r="AG249" s="89">
        <v>2</v>
      </c>
      <c r="AH249" s="89">
        <v>3</v>
      </c>
      <c r="AI249" s="89">
        <v>2</v>
      </c>
      <c r="AJ249" s="89">
        <v>1</v>
      </c>
      <c r="AK249" s="65">
        <f t="shared" si="23"/>
        <v>0.82758620689655171</v>
      </c>
      <c r="AL249" s="66" t="str">
        <f t="shared" si="22"/>
        <v>Disarankan</v>
      </c>
      <c r="AM249" s="67" t="s">
        <v>235</v>
      </c>
      <c r="AN249" s="67" t="s">
        <v>235</v>
      </c>
      <c r="AO249" s="67" t="s">
        <v>235</v>
      </c>
      <c r="AP249" s="67" t="s">
        <v>236</v>
      </c>
      <c r="AQ249" s="67" t="s">
        <v>236</v>
      </c>
    </row>
    <row r="250" spans="1:43" ht="50" x14ac:dyDescent="0.35">
      <c r="A250" s="64">
        <v>248</v>
      </c>
      <c r="B250" s="67" t="s">
        <v>686</v>
      </c>
      <c r="C250" s="67" t="str">
        <f t="shared" si="18"/>
        <v>Palangka Raya, 10 Mei 2001</v>
      </c>
      <c r="D250" s="67" t="str">
        <f t="shared" si="19"/>
        <v>S1 - Ilmu Administrasi Negara</v>
      </c>
      <c r="E250" s="66">
        <f t="shared" si="20"/>
        <v>86</v>
      </c>
      <c r="F250" s="66" t="str">
        <f t="shared" si="21"/>
        <v>Kurang</v>
      </c>
      <c r="G250" s="88"/>
      <c r="H250" s="88"/>
      <c r="I250" s="88"/>
      <c r="J250" s="88"/>
      <c r="K250" s="88"/>
      <c r="L250" s="88"/>
      <c r="M250" s="88"/>
      <c r="N250" s="88"/>
      <c r="O250" s="88"/>
      <c r="P250" s="88"/>
      <c r="Q250" s="88"/>
      <c r="R250" s="88"/>
      <c r="S250" s="88"/>
      <c r="T250" s="88"/>
      <c r="U250" s="88"/>
      <c r="V250" s="88"/>
      <c r="W250" s="88"/>
      <c r="X250" s="89"/>
      <c r="Y250" s="89"/>
      <c r="Z250" s="89"/>
      <c r="AA250" s="89"/>
      <c r="AB250" s="89"/>
      <c r="AC250" s="89"/>
      <c r="AD250" s="89"/>
      <c r="AE250" s="89"/>
      <c r="AF250" s="89"/>
      <c r="AG250" s="89"/>
      <c r="AH250" s="89"/>
      <c r="AI250" s="89"/>
      <c r="AJ250" s="89"/>
      <c r="AK250" s="65">
        <f t="shared" si="23"/>
        <v>0</v>
      </c>
      <c r="AL250" s="66" t="str">
        <f t="shared" si="22"/>
        <v>Tidak disarankan</v>
      </c>
      <c r="AM250" s="67" t="s">
        <v>235</v>
      </c>
      <c r="AN250" s="67" t="s">
        <v>235</v>
      </c>
      <c r="AO250" s="67" t="s">
        <v>235</v>
      </c>
      <c r="AP250" s="67" t="s">
        <v>236</v>
      </c>
      <c r="AQ250" s="67" t="s">
        <v>236</v>
      </c>
    </row>
    <row r="251" spans="1:43" ht="50" x14ac:dyDescent="0.35">
      <c r="A251" s="64">
        <v>249</v>
      </c>
      <c r="B251" s="67" t="s">
        <v>1255</v>
      </c>
      <c r="C251" s="67" t="str">
        <f t="shared" si="18"/>
        <v>Kotim, 30 November 1995</v>
      </c>
      <c r="D251" s="67" t="str">
        <f t="shared" si="19"/>
        <v>S1 - Perbankan Syariah</v>
      </c>
      <c r="E251" s="66">
        <f t="shared" si="20"/>
        <v>120</v>
      </c>
      <c r="F251" s="66" t="str">
        <f t="shared" si="21"/>
        <v>Baik Sekali</v>
      </c>
      <c r="G251" s="88"/>
      <c r="H251" s="88"/>
      <c r="I251" s="88"/>
      <c r="J251" s="88"/>
      <c r="K251" s="88"/>
      <c r="L251" s="88"/>
      <c r="M251" s="88"/>
      <c r="N251" s="88"/>
      <c r="O251" s="88"/>
      <c r="P251" s="88"/>
      <c r="Q251" s="88"/>
      <c r="R251" s="88"/>
      <c r="S251" s="88"/>
      <c r="T251" s="88"/>
      <c r="U251" s="88"/>
      <c r="V251" s="88"/>
      <c r="W251" s="88"/>
      <c r="X251" s="89"/>
      <c r="Y251" s="89"/>
      <c r="Z251" s="89"/>
      <c r="AA251" s="89"/>
      <c r="AB251" s="89"/>
      <c r="AC251" s="89"/>
      <c r="AD251" s="89"/>
      <c r="AE251" s="89"/>
      <c r="AF251" s="89"/>
      <c r="AG251" s="89"/>
      <c r="AH251" s="89"/>
      <c r="AI251" s="89"/>
      <c r="AJ251" s="89"/>
      <c r="AK251" s="65">
        <f t="shared" si="23"/>
        <v>0</v>
      </c>
      <c r="AL251" s="66" t="str">
        <f t="shared" si="22"/>
        <v>Tidak disarankan</v>
      </c>
      <c r="AM251" s="67" t="s">
        <v>235</v>
      </c>
      <c r="AN251" s="67" t="s">
        <v>235</v>
      </c>
      <c r="AO251" s="67" t="s">
        <v>235</v>
      </c>
      <c r="AP251" s="67" t="s">
        <v>236</v>
      </c>
      <c r="AQ251" s="67" t="s">
        <v>236</v>
      </c>
    </row>
    <row r="252" spans="1:43" ht="50" x14ac:dyDescent="0.35">
      <c r="A252" s="64">
        <v>250</v>
      </c>
      <c r="B252" s="67" t="s">
        <v>583</v>
      </c>
      <c r="C252" s="67" t="str">
        <f t="shared" si="18"/>
        <v>Gantung Pengayuh, 24 Januari 2000</v>
      </c>
      <c r="D252" s="67" t="str">
        <f t="shared" si="19"/>
        <v>S1 - Akuntansi Syariah</v>
      </c>
      <c r="E252" s="66">
        <f t="shared" si="20"/>
        <v>116</v>
      </c>
      <c r="F252" s="66" t="str">
        <f t="shared" si="21"/>
        <v>Baik</v>
      </c>
      <c r="G252" s="88"/>
      <c r="H252" s="88"/>
      <c r="I252" s="88"/>
      <c r="J252" s="88"/>
      <c r="K252" s="88"/>
      <c r="L252" s="88"/>
      <c r="M252" s="88"/>
      <c r="N252" s="88"/>
      <c r="O252" s="88"/>
      <c r="P252" s="88"/>
      <c r="Q252" s="88"/>
      <c r="R252" s="88"/>
      <c r="S252" s="88"/>
      <c r="T252" s="88"/>
      <c r="U252" s="88"/>
      <c r="V252" s="88"/>
      <c r="W252" s="88"/>
      <c r="X252" s="89"/>
      <c r="Y252" s="89"/>
      <c r="Z252" s="89"/>
      <c r="AA252" s="89"/>
      <c r="AB252" s="89"/>
      <c r="AC252" s="89"/>
      <c r="AD252" s="89"/>
      <c r="AE252" s="89"/>
      <c r="AF252" s="89"/>
      <c r="AG252" s="89"/>
      <c r="AH252" s="89"/>
      <c r="AI252" s="89"/>
      <c r="AJ252" s="89"/>
      <c r="AK252" s="65">
        <f t="shared" si="23"/>
        <v>0</v>
      </c>
      <c r="AL252" s="66" t="str">
        <f t="shared" si="22"/>
        <v>Tidak disarankan</v>
      </c>
      <c r="AM252" s="67" t="s">
        <v>235</v>
      </c>
      <c r="AN252" s="67" t="s">
        <v>235</v>
      </c>
      <c r="AO252" s="67" t="s">
        <v>235</v>
      </c>
      <c r="AP252" s="67" t="s">
        <v>236</v>
      </c>
      <c r="AQ252" s="67" t="s">
        <v>236</v>
      </c>
    </row>
    <row r="253" spans="1:43" ht="50" x14ac:dyDescent="0.35">
      <c r="A253" s="64">
        <v>251</v>
      </c>
      <c r="B253" s="67" t="s">
        <v>1133</v>
      </c>
      <c r="C253" s="67" t="str">
        <f t="shared" si="18"/>
        <v>Pulang Pisau, 25 Juli 2000</v>
      </c>
      <c r="D253" s="67" t="str">
        <f t="shared" si="19"/>
        <v>S1 - Agroekoteknologi</v>
      </c>
      <c r="E253" s="66">
        <f t="shared" si="20"/>
        <v>121</v>
      </c>
      <c r="F253" s="66" t="str">
        <f t="shared" si="21"/>
        <v>Baik Sekali</v>
      </c>
      <c r="G253" s="88">
        <v>3</v>
      </c>
      <c r="H253" s="88">
        <v>2</v>
      </c>
      <c r="I253" s="88">
        <v>2</v>
      </c>
      <c r="J253" s="88">
        <v>3</v>
      </c>
      <c r="K253" s="88">
        <v>3</v>
      </c>
      <c r="L253" s="88">
        <v>2</v>
      </c>
      <c r="M253" s="88">
        <v>2</v>
      </c>
      <c r="N253" s="88">
        <v>3</v>
      </c>
      <c r="O253" s="88">
        <v>2</v>
      </c>
      <c r="P253" s="88">
        <v>3</v>
      </c>
      <c r="Q253" s="88">
        <v>2</v>
      </c>
      <c r="R253" s="88">
        <v>2</v>
      </c>
      <c r="S253" s="88">
        <v>2</v>
      </c>
      <c r="T253" s="88">
        <v>2</v>
      </c>
      <c r="U253" s="88">
        <v>2</v>
      </c>
      <c r="V253" s="88">
        <v>3</v>
      </c>
      <c r="W253" s="88">
        <v>2</v>
      </c>
      <c r="X253" s="89">
        <v>1</v>
      </c>
      <c r="Y253" s="89">
        <v>3</v>
      </c>
      <c r="Z253" s="89">
        <v>2</v>
      </c>
      <c r="AA253" s="89">
        <v>1</v>
      </c>
      <c r="AB253" s="89">
        <v>1</v>
      </c>
      <c r="AC253" s="89">
        <v>1</v>
      </c>
      <c r="AD253" s="89">
        <v>2</v>
      </c>
      <c r="AE253" s="89">
        <v>1</v>
      </c>
      <c r="AF253" s="89">
        <v>2</v>
      </c>
      <c r="AG253" s="89">
        <v>1</v>
      </c>
      <c r="AH253" s="89">
        <v>2</v>
      </c>
      <c r="AI253" s="89">
        <v>1</v>
      </c>
      <c r="AJ253" s="89">
        <v>2</v>
      </c>
      <c r="AK253" s="65">
        <f t="shared" si="23"/>
        <v>0.68965517241379315</v>
      </c>
      <c r="AL253" s="66" t="str">
        <f t="shared" si="22"/>
        <v>Dipertimbangkan</v>
      </c>
      <c r="AM253" s="67" t="s">
        <v>235</v>
      </c>
      <c r="AN253" s="67" t="s">
        <v>235</v>
      </c>
      <c r="AO253" s="67" t="s">
        <v>235</v>
      </c>
      <c r="AP253" s="67" t="s">
        <v>236</v>
      </c>
      <c r="AQ253" s="67" t="s">
        <v>236</v>
      </c>
    </row>
    <row r="254" spans="1:43" ht="50" x14ac:dyDescent="0.35">
      <c r="A254" s="64">
        <v>252</v>
      </c>
      <c r="B254" s="67" t="s">
        <v>676</v>
      </c>
      <c r="C254" s="67" t="str">
        <f t="shared" si="18"/>
        <v>Kuala Kapuas, 17 Mei 1997</v>
      </c>
      <c r="D254" s="67" t="str">
        <f t="shared" si="19"/>
        <v>S1 - Perbank Syariah</v>
      </c>
      <c r="E254" s="66">
        <f t="shared" si="20"/>
        <v>110</v>
      </c>
      <c r="F254" s="66" t="str">
        <f t="shared" si="21"/>
        <v>Baik</v>
      </c>
      <c r="G254" s="88"/>
      <c r="H254" s="88"/>
      <c r="I254" s="88"/>
      <c r="J254" s="88"/>
      <c r="K254" s="88"/>
      <c r="L254" s="88"/>
      <c r="M254" s="88"/>
      <c r="N254" s="88"/>
      <c r="O254" s="88"/>
      <c r="P254" s="88"/>
      <c r="Q254" s="88"/>
      <c r="R254" s="88"/>
      <c r="S254" s="88"/>
      <c r="T254" s="88"/>
      <c r="U254" s="88"/>
      <c r="V254" s="88"/>
      <c r="W254" s="88"/>
      <c r="X254" s="89"/>
      <c r="Y254" s="89"/>
      <c r="Z254" s="89"/>
      <c r="AA254" s="89"/>
      <c r="AB254" s="89"/>
      <c r="AC254" s="89"/>
      <c r="AD254" s="89"/>
      <c r="AE254" s="89"/>
      <c r="AF254" s="89"/>
      <c r="AG254" s="89"/>
      <c r="AH254" s="89"/>
      <c r="AI254" s="89"/>
      <c r="AJ254" s="89"/>
      <c r="AK254" s="65">
        <f t="shared" si="23"/>
        <v>0</v>
      </c>
      <c r="AL254" s="66" t="str">
        <f t="shared" si="22"/>
        <v>Tidak disarankan</v>
      </c>
      <c r="AM254" s="67" t="s">
        <v>235</v>
      </c>
      <c r="AN254" s="67" t="s">
        <v>235</v>
      </c>
      <c r="AO254" s="67" t="s">
        <v>235</v>
      </c>
      <c r="AP254" s="67" t="s">
        <v>236</v>
      </c>
      <c r="AQ254" s="67" t="s">
        <v>236</v>
      </c>
    </row>
    <row r="255" spans="1:43" ht="50" x14ac:dyDescent="0.35">
      <c r="A255" s="64">
        <v>253</v>
      </c>
      <c r="B255" s="67" t="s">
        <v>969</v>
      </c>
      <c r="C255" s="67" t="str">
        <f t="shared" si="18"/>
        <v>Muara Teweh, 23 Juli 2000</v>
      </c>
      <c r="D255" s="67" t="str">
        <f t="shared" si="19"/>
        <v>S1 - Informatika</v>
      </c>
      <c r="E255" s="66">
        <f t="shared" si="20"/>
        <v>103</v>
      </c>
      <c r="F255" s="66" t="str">
        <f t="shared" si="21"/>
        <v>Rata-rata</v>
      </c>
      <c r="G255" s="88">
        <v>3</v>
      </c>
      <c r="H255" s="88">
        <v>2</v>
      </c>
      <c r="I255" s="88">
        <v>2</v>
      </c>
      <c r="J255" s="88">
        <v>3</v>
      </c>
      <c r="K255" s="88">
        <v>3</v>
      </c>
      <c r="L255" s="88">
        <v>2</v>
      </c>
      <c r="M255" s="88">
        <v>2</v>
      </c>
      <c r="N255" s="88">
        <v>3</v>
      </c>
      <c r="O255" s="88">
        <v>2</v>
      </c>
      <c r="P255" s="88">
        <v>3</v>
      </c>
      <c r="Q255" s="88">
        <v>2</v>
      </c>
      <c r="R255" s="88">
        <v>2</v>
      </c>
      <c r="S255" s="88">
        <v>2</v>
      </c>
      <c r="T255" s="88">
        <v>2</v>
      </c>
      <c r="U255" s="88">
        <v>2</v>
      </c>
      <c r="V255" s="88">
        <v>3</v>
      </c>
      <c r="W255" s="88">
        <v>2</v>
      </c>
      <c r="X255" s="89">
        <v>3</v>
      </c>
      <c r="Y255" s="89">
        <v>3</v>
      </c>
      <c r="Z255" s="89">
        <v>1</v>
      </c>
      <c r="AA255" s="89">
        <v>1</v>
      </c>
      <c r="AB255" s="89">
        <v>2</v>
      </c>
      <c r="AC255" s="89">
        <v>1</v>
      </c>
      <c r="AD255" s="89">
        <v>2</v>
      </c>
      <c r="AE255" s="89">
        <v>1</v>
      </c>
      <c r="AF255" s="89">
        <v>1</v>
      </c>
      <c r="AG255" s="89">
        <v>2</v>
      </c>
      <c r="AH255" s="89">
        <v>2</v>
      </c>
      <c r="AI255" s="89">
        <v>1</v>
      </c>
      <c r="AJ255" s="89">
        <v>1</v>
      </c>
      <c r="AK255" s="65">
        <f t="shared" si="23"/>
        <v>0.72413793103448276</v>
      </c>
      <c r="AL255" s="66" t="str">
        <f t="shared" si="22"/>
        <v>Dipertimbangkan</v>
      </c>
      <c r="AM255" s="67" t="s">
        <v>235</v>
      </c>
      <c r="AN255" s="67" t="s">
        <v>235</v>
      </c>
      <c r="AO255" s="67" t="s">
        <v>235</v>
      </c>
      <c r="AP255" s="67" t="s">
        <v>236</v>
      </c>
      <c r="AQ255" s="67" t="s">
        <v>236</v>
      </c>
    </row>
    <row r="256" spans="1:43" ht="50" x14ac:dyDescent="0.35">
      <c r="A256" s="64">
        <v>254</v>
      </c>
      <c r="B256" s="67" t="s">
        <v>697</v>
      </c>
      <c r="C256" s="67" t="str">
        <f t="shared" si="18"/>
        <v>Banjar, 03 Juni 1995</v>
      </c>
      <c r="D256" s="67" t="str">
        <f t="shared" si="19"/>
        <v>S1 - Pendidikan Ekonomi</v>
      </c>
      <c r="E256" s="66">
        <f t="shared" si="20"/>
        <v>115</v>
      </c>
      <c r="F256" s="66" t="str">
        <f t="shared" si="21"/>
        <v>Baik</v>
      </c>
      <c r="G256" s="88"/>
      <c r="H256" s="88"/>
      <c r="I256" s="88"/>
      <c r="J256" s="88"/>
      <c r="K256" s="88"/>
      <c r="L256" s="88"/>
      <c r="M256" s="88"/>
      <c r="N256" s="88"/>
      <c r="O256" s="88"/>
      <c r="P256" s="88"/>
      <c r="Q256" s="88"/>
      <c r="R256" s="88"/>
      <c r="S256" s="88"/>
      <c r="T256" s="88"/>
      <c r="U256" s="88"/>
      <c r="V256" s="88"/>
      <c r="W256" s="88"/>
      <c r="X256" s="89"/>
      <c r="Y256" s="89"/>
      <c r="Z256" s="89"/>
      <c r="AA256" s="89"/>
      <c r="AB256" s="89"/>
      <c r="AC256" s="89"/>
      <c r="AD256" s="89"/>
      <c r="AE256" s="89"/>
      <c r="AF256" s="89"/>
      <c r="AG256" s="89"/>
      <c r="AH256" s="89"/>
      <c r="AI256" s="89"/>
      <c r="AJ256" s="89"/>
      <c r="AK256" s="65">
        <f t="shared" si="23"/>
        <v>0</v>
      </c>
      <c r="AL256" s="66" t="str">
        <f t="shared" si="22"/>
        <v>Tidak disarankan</v>
      </c>
      <c r="AM256" s="67" t="s">
        <v>235</v>
      </c>
      <c r="AN256" s="67" t="s">
        <v>235</v>
      </c>
      <c r="AO256" s="67" t="s">
        <v>235</v>
      </c>
      <c r="AP256" s="67" t="s">
        <v>236</v>
      </c>
      <c r="AQ256" s="67" t="s">
        <v>236</v>
      </c>
    </row>
    <row r="257" spans="1:43" ht="50" x14ac:dyDescent="0.35">
      <c r="A257" s="64">
        <v>255</v>
      </c>
      <c r="B257" s="67" t="s">
        <v>696</v>
      </c>
      <c r="C257" s="67" t="str">
        <f t="shared" si="18"/>
        <v>Sampit, 04 Juni 1999</v>
      </c>
      <c r="D257" s="67" t="str">
        <f t="shared" si="19"/>
        <v>S1 - Ilmu Pemerintahan</v>
      </c>
      <c r="E257" s="66">
        <f t="shared" si="20"/>
        <v>125</v>
      </c>
      <c r="F257" s="66" t="str">
        <f t="shared" si="21"/>
        <v>Baik Sekali</v>
      </c>
      <c r="G257" s="88"/>
      <c r="H257" s="88"/>
      <c r="I257" s="88"/>
      <c r="J257" s="88"/>
      <c r="K257" s="88"/>
      <c r="L257" s="88"/>
      <c r="M257" s="88"/>
      <c r="N257" s="88"/>
      <c r="O257" s="88"/>
      <c r="P257" s="88"/>
      <c r="Q257" s="88"/>
      <c r="R257" s="88"/>
      <c r="S257" s="88"/>
      <c r="T257" s="88"/>
      <c r="U257" s="88"/>
      <c r="V257" s="88"/>
      <c r="W257" s="88"/>
      <c r="X257" s="89"/>
      <c r="Y257" s="89"/>
      <c r="Z257" s="89"/>
      <c r="AA257" s="89"/>
      <c r="AB257" s="89"/>
      <c r="AC257" s="89"/>
      <c r="AD257" s="89"/>
      <c r="AE257" s="89"/>
      <c r="AF257" s="89"/>
      <c r="AG257" s="89"/>
      <c r="AH257" s="89"/>
      <c r="AI257" s="89"/>
      <c r="AJ257" s="89"/>
      <c r="AK257" s="65">
        <f t="shared" si="23"/>
        <v>0</v>
      </c>
      <c r="AL257" s="66" t="str">
        <f t="shared" si="22"/>
        <v>Tidak disarankan</v>
      </c>
      <c r="AM257" s="67" t="s">
        <v>235</v>
      </c>
      <c r="AN257" s="67" t="s">
        <v>235</v>
      </c>
      <c r="AO257" s="67" t="s">
        <v>235</v>
      </c>
      <c r="AP257" s="67" t="s">
        <v>236</v>
      </c>
      <c r="AQ257" s="67" t="s">
        <v>236</v>
      </c>
    </row>
    <row r="258" spans="1:43" ht="50" x14ac:dyDescent="0.35">
      <c r="A258" s="64">
        <v>256</v>
      </c>
      <c r="B258" s="67" t="s">
        <v>710</v>
      </c>
      <c r="C258" s="67" t="str">
        <f t="shared" si="18"/>
        <v>Juking Sopan, 12 April 1996</v>
      </c>
      <c r="D258" s="67" t="str">
        <f t="shared" si="19"/>
        <v>S1 - Teknik Pertambangan</v>
      </c>
      <c r="E258" s="66">
        <f t="shared" si="20"/>
        <v>116</v>
      </c>
      <c r="F258" s="66" t="str">
        <f t="shared" si="21"/>
        <v>Baik</v>
      </c>
      <c r="G258" s="88"/>
      <c r="H258" s="88"/>
      <c r="I258" s="88"/>
      <c r="J258" s="88"/>
      <c r="K258" s="88"/>
      <c r="L258" s="88"/>
      <c r="M258" s="88"/>
      <c r="N258" s="88"/>
      <c r="O258" s="88"/>
      <c r="P258" s="88"/>
      <c r="Q258" s="88"/>
      <c r="R258" s="88"/>
      <c r="S258" s="88"/>
      <c r="T258" s="88"/>
      <c r="U258" s="88"/>
      <c r="V258" s="88"/>
      <c r="W258" s="88"/>
      <c r="X258" s="89"/>
      <c r="Y258" s="89"/>
      <c r="Z258" s="89"/>
      <c r="AA258" s="89"/>
      <c r="AB258" s="89"/>
      <c r="AC258" s="89"/>
      <c r="AD258" s="89"/>
      <c r="AE258" s="89"/>
      <c r="AF258" s="89"/>
      <c r="AG258" s="89"/>
      <c r="AH258" s="89"/>
      <c r="AI258" s="89"/>
      <c r="AJ258" s="89"/>
      <c r="AK258" s="65">
        <f t="shared" si="23"/>
        <v>0</v>
      </c>
      <c r="AL258" s="66" t="str">
        <f t="shared" si="22"/>
        <v>Tidak disarankan</v>
      </c>
      <c r="AM258" s="67" t="s">
        <v>235</v>
      </c>
      <c r="AN258" s="67" t="s">
        <v>235</v>
      </c>
      <c r="AO258" s="67" t="s">
        <v>235</v>
      </c>
      <c r="AP258" s="67" t="s">
        <v>236</v>
      </c>
      <c r="AQ258" s="67" t="s">
        <v>236</v>
      </c>
    </row>
    <row r="259" spans="1:43" ht="50" x14ac:dyDescent="0.35">
      <c r="A259" s="64">
        <v>257</v>
      </c>
      <c r="B259" s="67" t="s">
        <v>329</v>
      </c>
      <c r="C259" s="67" t="str">
        <f t="shared" ref="C259:C309" si="24">VLOOKUP(B259,datadiri,3,FALSE)</f>
        <v>Pangkalan Bun, 06 November 1995</v>
      </c>
      <c r="D259" s="67" t="str">
        <f t="shared" ref="D259:D309" si="25">VLOOKUP(B259,datadiri,4,FALSE)</f>
        <v>S2 - Magister Akuntansi</v>
      </c>
      <c r="E259" s="66">
        <f t="shared" ref="E259:E309" si="26">VLOOKUP(B259,tiunam,2,FALSE)</f>
        <v>114</v>
      </c>
      <c r="F259" s="66" t="str">
        <f t="shared" ref="F259:F309" si="27">VLOOKUP(B259,tiunam,3,FALSE)</f>
        <v>Baik</v>
      </c>
      <c r="G259" s="88"/>
      <c r="H259" s="88"/>
      <c r="I259" s="88"/>
      <c r="J259" s="88"/>
      <c r="K259" s="88"/>
      <c r="L259" s="88"/>
      <c r="M259" s="88"/>
      <c r="N259" s="88"/>
      <c r="O259" s="88"/>
      <c r="P259" s="88"/>
      <c r="Q259" s="88"/>
      <c r="R259" s="88"/>
      <c r="S259" s="88"/>
      <c r="T259" s="88"/>
      <c r="U259" s="88"/>
      <c r="V259" s="88"/>
      <c r="W259" s="88"/>
      <c r="X259" s="89"/>
      <c r="Y259" s="89"/>
      <c r="Z259" s="89"/>
      <c r="AA259" s="89"/>
      <c r="AB259" s="89"/>
      <c r="AC259" s="89"/>
      <c r="AD259" s="89"/>
      <c r="AE259" s="89"/>
      <c r="AF259" s="89"/>
      <c r="AG259" s="89"/>
      <c r="AH259" s="89"/>
      <c r="AI259" s="89"/>
      <c r="AJ259" s="89"/>
      <c r="AK259" s="65">
        <f t="shared" si="23"/>
        <v>0</v>
      </c>
      <c r="AL259" s="66" t="str">
        <f t="shared" ref="AL259:AL309" si="28">VLOOKUP(AK259,judge,2,TRUE)</f>
        <v>Tidak disarankan</v>
      </c>
      <c r="AM259" s="67" t="s">
        <v>235</v>
      </c>
      <c r="AN259" s="67" t="s">
        <v>235</v>
      </c>
      <c r="AO259" s="67" t="s">
        <v>235</v>
      </c>
      <c r="AP259" s="67" t="s">
        <v>236</v>
      </c>
      <c r="AQ259" s="67" t="s">
        <v>236</v>
      </c>
    </row>
    <row r="260" spans="1:43" ht="50" x14ac:dyDescent="0.35">
      <c r="A260" s="64">
        <v>258</v>
      </c>
      <c r="B260" s="67" t="s">
        <v>1059</v>
      </c>
      <c r="C260" s="67" t="str">
        <f t="shared" si="24"/>
        <v>Sampit, 05 September 1998</v>
      </c>
      <c r="D260" s="67" t="str">
        <f t="shared" si="25"/>
        <v>S1 - Ilmu Hukum</v>
      </c>
      <c r="E260" s="66">
        <f t="shared" si="26"/>
        <v>98</v>
      </c>
      <c r="F260" s="66" t="str">
        <f t="shared" si="27"/>
        <v>Rata-rata</v>
      </c>
      <c r="G260" s="88">
        <v>3</v>
      </c>
      <c r="H260" s="88">
        <v>2</v>
      </c>
      <c r="I260" s="88">
        <v>2</v>
      </c>
      <c r="J260" s="88">
        <v>3</v>
      </c>
      <c r="K260" s="88">
        <v>3</v>
      </c>
      <c r="L260" s="88">
        <v>2</v>
      </c>
      <c r="M260" s="88">
        <v>2</v>
      </c>
      <c r="N260" s="88">
        <v>3</v>
      </c>
      <c r="O260" s="88">
        <v>2</v>
      </c>
      <c r="P260" s="88">
        <v>3</v>
      </c>
      <c r="Q260" s="88">
        <v>2</v>
      </c>
      <c r="R260" s="88">
        <v>2</v>
      </c>
      <c r="S260" s="88">
        <v>2</v>
      </c>
      <c r="T260" s="88">
        <v>2</v>
      </c>
      <c r="U260" s="88">
        <v>2</v>
      </c>
      <c r="V260" s="88">
        <v>3</v>
      </c>
      <c r="W260" s="88">
        <v>2</v>
      </c>
      <c r="X260" s="89">
        <v>2</v>
      </c>
      <c r="Y260" s="89">
        <v>2</v>
      </c>
      <c r="Z260" s="89">
        <v>1</v>
      </c>
      <c r="AA260" s="89">
        <v>1</v>
      </c>
      <c r="AB260" s="89">
        <v>0</v>
      </c>
      <c r="AC260" s="89">
        <v>1</v>
      </c>
      <c r="AD260" s="89">
        <v>1</v>
      </c>
      <c r="AE260" s="89">
        <v>0</v>
      </c>
      <c r="AF260" s="89">
        <v>1</v>
      </c>
      <c r="AG260" s="89">
        <v>2</v>
      </c>
      <c r="AH260" s="89">
        <v>2</v>
      </c>
      <c r="AI260" s="89">
        <v>1</v>
      </c>
      <c r="AJ260" s="89">
        <v>1</v>
      </c>
      <c r="AK260" s="65">
        <f t="shared" ref="AK260:AK302" si="29">SUM(X260:AJ260)/29</f>
        <v>0.51724137931034486</v>
      </c>
      <c r="AL260" s="66" t="str">
        <f t="shared" si="28"/>
        <v>Dipertimbangkan</v>
      </c>
      <c r="AM260" s="67" t="s">
        <v>235</v>
      </c>
      <c r="AN260" s="67" t="s">
        <v>235</v>
      </c>
      <c r="AO260" s="67" t="s">
        <v>235</v>
      </c>
      <c r="AP260" s="67" t="s">
        <v>236</v>
      </c>
      <c r="AQ260" s="67" t="s">
        <v>236</v>
      </c>
    </row>
    <row r="261" spans="1:43" ht="50" x14ac:dyDescent="0.35">
      <c r="A261" s="64">
        <v>259</v>
      </c>
      <c r="B261" s="67" t="s">
        <v>581</v>
      </c>
      <c r="C261" s="67" t="str">
        <f t="shared" si="24"/>
        <v>Palangka Raya, 09 September 1999</v>
      </c>
      <c r="D261" s="67" t="str">
        <f t="shared" si="25"/>
        <v>S1 - Ilmu Pemerintahan</v>
      </c>
      <c r="E261" s="66">
        <f t="shared" si="26"/>
        <v>109</v>
      </c>
      <c r="F261" s="66" t="str">
        <f t="shared" si="27"/>
        <v>Rata-rata</v>
      </c>
      <c r="G261" s="88"/>
      <c r="H261" s="88"/>
      <c r="I261" s="88"/>
      <c r="J261" s="88"/>
      <c r="K261" s="88"/>
      <c r="L261" s="88"/>
      <c r="M261" s="88"/>
      <c r="N261" s="88"/>
      <c r="O261" s="88"/>
      <c r="P261" s="88"/>
      <c r="Q261" s="88"/>
      <c r="R261" s="88"/>
      <c r="S261" s="88"/>
      <c r="T261" s="88"/>
      <c r="U261" s="88"/>
      <c r="V261" s="88"/>
      <c r="W261" s="88"/>
      <c r="X261" s="89"/>
      <c r="Y261" s="89"/>
      <c r="Z261" s="89"/>
      <c r="AA261" s="89"/>
      <c r="AB261" s="89"/>
      <c r="AC261" s="89"/>
      <c r="AD261" s="89"/>
      <c r="AE261" s="89"/>
      <c r="AF261" s="89"/>
      <c r="AG261" s="89"/>
      <c r="AH261" s="89"/>
      <c r="AI261" s="89"/>
      <c r="AJ261" s="89"/>
      <c r="AK261" s="65">
        <f t="shared" si="29"/>
        <v>0</v>
      </c>
      <c r="AL261" s="66" t="str">
        <f t="shared" si="28"/>
        <v>Tidak disarankan</v>
      </c>
      <c r="AM261" s="67" t="s">
        <v>235</v>
      </c>
      <c r="AN261" s="67" t="s">
        <v>235</v>
      </c>
      <c r="AO261" s="67" t="s">
        <v>235</v>
      </c>
      <c r="AP261" s="67" t="s">
        <v>236</v>
      </c>
      <c r="AQ261" s="67" t="s">
        <v>236</v>
      </c>
    </row>
    <row r="262" spans="1:43" ht="50" x14ac:dyDescent="0.35">
      <c r="A262" s="64">
        <v>260</v>
      </c>
      <c r="B262" s="67" t="s">
        <v>1061</v>
      </c>
      <c r="C262" s="67" t="str">
        <f t="shared" si="24"/>
        <v>Pangkalan Bun, 05 September 2000</v>
      </c>
      <c r="D262" s="67" t="str">
        <f t="shared" si="25"/>
        <v>S1 - Kesehatan Masyarakat</v>
      </c>
      <c r="E262" s="66">
        <f t="shared" si="26"/>
        <v>109</v>
      </c>
      <c r="F262" s="66" t="str">
        <f t="shared" si="27"/>
        <v>Rata-rata</v>
      </c>
      <c r="G262" s="88">
        <v>3</v>
      </c>
      <c r="H262" s="88">
        <v>2</v>
      </c>
      <c r="I262" s="88">
        <v>2</v>
      </c>
      <c r="J262" s="88">
        <v>3</v>
      </c>
      <c r="K262" s="88">
        <v>3</v>
      </c>
      <c r="L262" s="88">
        <v>2</v>
      </c>
      <c r="M262" s="88">
        <v>2</v>
      </c>
      <c r="N262" s="88">
        <v>3</v>
      </c>
      <c r="O262" s="88">
        <v>2</v>
      </c>
      <c r="P262" s="88">
        <v>3</v>
      </c>
      <c r="Q262" s="88">
        <v>2</v>
      </c>
      <c r="R262" s="88">
        <v>2</v>
      </c>
      <c r="S262" s="88">
        <v>2</v>
      </c>
      <c r="T262" s="88">
        <v>2</v>
      </c>
      <c r="U262" s="88">
        <v>2</v>
      </c>
      <c r="V262" s="88">
        <v>3</v>
      </c>
      <c r="W262" s="88">
        <v>2</v>
      </c>
      <c r="X262" s="89">
        <v>1</v>
      </c>
      <c r="Y262" s="89">
        <v>2</v>
      </c>
      <c r="Z262" s="89">
        <v>2</v>
      </c>
      <c r="AA262" s="89">
        <v>1</v>
      </c>
      <c r="AB262" s="89">
        <v>1</v>
      </c>
      <c r="AC262" s="89">
        <v>1</v>
      </c>
      <c r="AD262" s="89">
        <v>1</v>
      </c>
      <c r="AE262" s="89">
        <v>1</v>
      </c>
      <c r="AF262" s="89">
        <v>2</v>
      </c>
      <c r="AG262" s="89">
        <v>2</v>
      </c>
      <c r="AH262" s="89">
        <v>3</v>
      </c>
      <c r="AI262" s="89">
        <v>1</v>
      </c>
      <c r="AJ262" s="89">
        <v>2</v>
      </c>
      <c r="AK262" s="65">
        <f t="shared" si="29"/>
        <v>0.68965517241379315</v>
      </c>
      <c r="AL262" s="66" t="str">
        <f t="shared" si="28"/>
        <v>Dipertimbangkan</v>
      </c>
      <c r="AM262" s="67" t="s">
        <v>235</v>
      </c>
      <c r="AN262" s="67" t="s">
        <v>235</v>
      </c>
      <c r="AO262" s="67" t="s">
        <v>235</v>
      </c>
      <c r="AP262" s="67" t="s">
        <v>236</v>
      </c>
      <c r="AQ262" s="67" t="s">
        <v>236</v>
      </c>
    </row>
    <row r="263" spans="1:43" ht="50" x14ac:dyDescent="0.35">
      <c r="A263" s="64">
        <v>261</v>
      </c>
      <c r="B263" s="67" t="s">
        <v>1192</v>
      </c>
      <c r="C263" s="67" t="str">
        <f t="shared" si="24"/>
        <v>Palangka Raya, 31 Juli 1999</v>
      </c>
      <c r="D263" s="67" t="str">
        <f t="shared" si="25"/>
        <v>S1 - Akuntansi</v>
      </c>
      <c r="E263" s="66">
        <f t="shared" si="26"/>
        <v>106</v>
      </c>
      <c r="F263" s="66" t="str">
        <f t="shared" si="27"/>
        <v>Rata-rata</v>
      </c>
      <c r="G263" s="88">
        <v>3</v>
      </c>
      <c r="H263" s="88">
        <v>2</v>
      </c>
      <c r="I263" s="88">
        <v>2</v>
      </c>
      <c r="J263" s="88">
        <v>3</v>
      </c>
      <c r="K263" s="88">
        <v>3</v>
      </c>
      <c r="L263" s="88">
        <v>2</v>
      </c>
      <c r="M263" s="88">
        <v>2</v>
      </c>
      <c r="N263" s="88">
        <v>3</v>
      </c>
      <c r="O263" s="88">
        <v>2</v>
      </c>
      <c r="P263" s="88">
        <v>3</v>
      </c>
      <c r="Q263" s="88">
        <v>2</v>
      </c>
      <c r="R263" s="88">
        <v>2</v>
      </c>
      <c r="S263" s="88">
        <v>2</v>
      </c>
      <c r="T263" s="88">
        <v>2</v>
      </c>
      <c r="U263" s="88">
        <v>2</v>
      </c>
      <c r="V263" s="88">
        <v>3</v>
      </c>
      <c r="W263" s="88">
        <v>2</v>
      </c>
      <c r="X263" s="89">
        <v>1</v>
      </c>
      <c r="Y263" s="89">
        <v>1</v>
      </c>
      <c r="Z263" s="89">
        <v>2</v>
      </c>
      <c r="AA263" s="89">
        <v>2</v>
      </c>
      <c r="AB263" s="89">
        <v>1</v>
      </c>
      <c r="AC263" s="89">
        <v>1</v>
      </c>
      <c r="AD263" s="89">
        <v>1</v>
      </c>
      <c r="AE263" s="89">
        <v>1</v>
      </c>
      <c r="AF263" s="89">
        <v>2</v>
      </c>
      <c r="AG263" s="89">
        <v>1</v>
      </c>
      <c r="AH263" s="89">
        <v>2</v>
      </c>
      <c r="AI263" s="89">
        <v>1</v>
      </c>
      <c r="AJ263" s="89">
        <v>1</v>
      </c>
      <c r="AK263" s="65">
        <f t="shared" si="29"/>
        <v>0.58620689655172409</v>
      </c>
      <c r="AL263" s="66" t="str">
        <f t="shared" si="28"/>
        <v>Dipertimbangkan</v>
      </c>
      <c r="AM263" s="67" t="s">
        <v>235</v>
      </c>
      <c r="AN263" s="67" t="s">
        <v>235</v>
      </c>
      <c r="AO263" s="67" t="s">
        <v>235</v>
      </c>
      <c r="AP263" s="67" t="s">
        <v>236</v>
      </c>
      <c r="AQ263" s="67" t="s">
        <v>236</v>
      </c>
    </row>
    <row r="264" spans="1:43" ht="50" x14ac:dyDescent="0.35">
      <c r="A264" s="64">
        <v>262</v>
      </c>
      <c r="B264" s="67" t="s">
        <v>706</v>
      </c>
      <c r="C264" s="67" t="str">
        <f t="shared" si="24"/>
        <v>Kuala Kapuas, 03 Juli 2000</v>
      </c>
      <c r="D264" s="67" t="str">
        <f t="shared" si="25"/>
        <v>S1 - Akuntansi Keuangan</v>
      </c>
      <c r="E264" s="66">
        <f t="shared" si="26"/>
        <v>115</v>
      </c>
      <c r="F264" s="66" t="str">
        <f t="shared" si="27"/>
        <v>Baik</v>
      </c>
      <c r="G264" s="88"/>
      <c r="H264" s="88"/>
      <c r="I264" s="88"/>
      <c r="J264" s="88"/>
      <c r="K264" s="88"/>
      <c r="L264" s="88"/>
      <c r="M264" s="88"/>
      <c r="N264" s="88"/>
      <c r="O264" s="88"/>
      <c r="P264" s="88"/>
      <c r="Q264" s="88"/>
      <c r="R264" s="88"/>
      <c r="S264" s="88"/>
      <c r="T264" s="88"/>
      <c r="U264" s="88"/>
      <c r="V264" s="88"/>
      <c r="W264" s="88"/>
      <c r="X264" s="89"/>
      <c r="Y264" s="89"/>
      <c r="Z264" s="89"/>
      <c r="AA264" s="89"/>
      <c r="AB264" s="89"/>
      <c r="AC264" s="89"/>
      <c r="AD264" s="89"/>
      <c r="AE264" s="89"/>
      <c r="AF264" s="89"/>
      <c r="AG264" s="89"/>
      <c r="AH264" s="89"/>
      <c r="AI264" s="89"/>
      <c r="AJ264" s="89"/>
      <c r="AK264" s="65">
        <f t="shared" si="29"/>
        <v>0</v>
      </c>
      <c r="AL264" s="66" t="str">
        <f t="shared" si="28"/>
        <v>Tidak disarankan</v>
      </c>
      <c r="AM264" s="67" t="s">
        <v>235</v>
      </c>
      <c r="AN264" s="67" t="s">
        <v>235</v>
      </c>
      <c r="AO264" s="67" t="s">
        <v>235</v>
      </c>
      <c r="AP264" s="67" t="s">
        <v>236</v>
      </c>
      <c r="AQ264" s="67" t="s">
        <v>236</v>
      </c>
    </row>
    <row r="265" spans="1:43" ht="50" x14ac:dyDescent="0.35">
      <c r="A265" s="64">
        <v>263</v>
      </c>
      <c r="B265" s="67" t="s">
        <v>1044</v>
      </c>
      <c r="C265" s="67" t="str">
        <f t="shared" si="24"/>
        <v>Tumbang Samba, 28 Januari 2001</v>
      </c>
      <c r="D265" s="67" t="str">
        <f t="shared" si="25"/>
        <v>D3 - Survei Dan Pemetaan</v>
      </c>
      <c r="E265" s="66">
        <f t="shared" si="26"/>
        <v>100</v>
      </c>
      <c r="F265" s="66" t="str">
        <f t="shared" si="27"/>
        <v>Rata-rata</v>
      </c>
      <c r="G265" s="88">
        <v>3</v>
      </c>
      <c r="H265" s="88">
        <v>2</v>
      </c>
      <c r="I265" s="88">
        <v>2</v>
      </c>
      <c r="J265" s="88">
        <v>3</v>
      </c>
      <c r="K265" s="88">
        <v>3</v>
      </c>
      <c r="L265" s="88">
        <v>2</v>
      </c>
      <c r="M265" s="88">
        <v>2</v>
      </c>
      <c r="N265" s="88">
        <v>3</v>
      </c>
      <c r="O265" s="88">
        <v>2</v>
      </c>
      <c r="P265" s="88">
        <v>3</v>
      </c>
      <c r="Q265" s="88">
        <v>2</v>
      </c>
      <c r="R265" s="88">
        <v>2</v>
      </c>
      <c r="S265" s="88">
        <v>2</v>
      </c>
      <c r="T265" s="88">
        <v>2</v>
      </c>
      <c r="U265" s="88">
        <v>2</v>
      </c>
      <c r="V265" s="88">
        <v>3</v>
      </c>
      <c r="W265" s="88">
        <v>2</v>
      </c>
      <c r="X265" s="89">
        <v>1</v>
      </c>
      <c r="Y265" s="89">
        <v>1</v>
      </c>
      <c r="Z265" s="89">
        <v>1</v>
      </c>
      <c r="AA265" s="89">
        <v>1</v>
      </c>
      <c r="AB265" s="89">
        <v>1</v>
      </c>
      <c r="AC265" s="89">
        <v>1</v>
      </c>
      <c r="AD265" s="89">
        <v>1</v>
      </c>
      <c r="AE265" s="89">
        <v>0</v>
      </c>
      <c r="AF265" s="89">
        <v>1</v>
      </c>
      <c r="AG265" s="89">
        <v>1</v>
      </c>
      <c r="AH265" s="89">
        <v>2</v>
      </c>
      <c r="AI265" s="89">
        <v>1</v>
      </c>
      <c r="AJ265" s="89">
        <v>2</v>
      </c>
      <c r="AK265" s="65">
        <f t="shared" si="29"/>
        <v>0.48275862068965519</v>
      </c>
      <c r="AL265" s="66" t="str">
        <f t="shared" si="28"/>
        <v>Tidak disarankan</v>
      </c>
      <c r="AM265" s="67" t="s">
        <v>235</v>
      </c>
      <c r="AN265" s="67" t="s">
        <v>235</v>
      </c>
      <c r="AO265" s="67" t="s">
        <v>235</v>
      </c>
      <c r="AP265" s="67" t="s">
        <v>236</v>
      </c>
      <c r="AQ265" s="67" t="s">
        <v>236</v>
      </c>
    </row>
    <row r="266" spans="1:43" ht="50" x14ac:dyDescent="0.35">
      <c r="A266" s="64">
        <v>264</v>
      </c>
      <c r="B266" s="67" t="s">
        <v>663</v>
      </c>
      <c r="C266" s="67" t="str">
        <f t="shared" si="24"/>
        <v>Sampit, 28 September 1996</v>
      </c>
      <c r="D266" s="67" t="str">
        <f t="shared" si="25"/>
        <v>S1 - Manajemen</v>
      </c>
      <c r="E266" s="66">
        <f t="shared" si="26"/>
        <v>114</v>
      </c>
      <c r="F266" s="66" t="str">
        <f t="shared" si="27"/>
        <v>Baik</v>
      </c>
      <c r="G266" s="88"/>
      <c r="H266" s="88"/>
      <c r="I266" s="88"/>
      <c r="J266" s="88"/>
      <c r="K266" s="88"/>
      <c r="L266" s="88"/>
      <c r="M266" s="88"/>
      <c r="N266" s="88"/>
      <c r="O266" s="88"/>
      <c r="P266" s="88"/>
      <c r="Q266" s="88"/>
      <c r="R266" s="88"/>
      <c r="S266" s="88"/>
      <c r="T266" s="88"/>
      <c r="U266" s="88"/>
      <c r="V266" s="88"/>
      <c r="W266" s="88"/>
      <c r="X266" s="89"/>
      <c r="Y266" s="89"/>
      <c r="Z266" s="89"/>
      <c r="AA266" s="89"/>
      <c r="AB266" s="89"/>
      <c r="AC266" s="89"/>
      <c r="AD266" s="89"/>
      <c r="AE266" s="89"/>
      <c r="AF266" s="89"/>
      <c r="AG266" s="89"/>
      <c r="AH266" s="89"/>
      <c r="AI266" s="89"/>
      <c r="AJ266" s="89"/>
      <c r="AK266" s="65">
        <f t="shared" si="29"/>
        <v>0</v>
      </c>
      <c r="AL266" s="66" t="str">
        <f t="shared" si="28"/>
        <v>Tidak disarankan</v>
      </c>
      <c r="AM266" s="67" t="s">
        <v>235</v>
      </c>
      <c r="AN266" s="67" t="s">
        <v>235</v>
      </c>
      <c r="AO266" s="67" t="s">
        <v>235</v>
      </c>
      <c r="AP266" s="67" t="s">
        <v>236</v>
      </c>
      <c r="AQ266" s="67" t="s">
        <v>236</v>
      </c>
    </row>
    <row r="267" spans="1:43" ht="50" x14ac:dyDescent="0.35">
      <c r="A267" s="64">
        <v>265</v>
      </c>
      <c r="B267" s="67" t="s">
        <v>1202</v>
      </c>
      <c r="C267" s="67" t="str">
        <f t="shared" si="24"/>
        <v>Palangka Raya, 03 Oktober 2000</v>
      </c>
      <c r="D267" s="67" t="str">
        <f t="shared" si="25"/>
        <v>S1 - Akuntansi</v>
      </c>
      <c r="E267" s="66">
        <f t="shared" si="26"/>
        <v>111</v>
      </c>
      <c r="F267" s="66" t="str">
        <f t="shared" si="27"/>
        <v>Baik</v>
      </c>
      <c r="G267" s="88">
        <v>3</v>
      </c>
      <c r="H267" s="88">
        <v>2</v>
      </c>
      <c r="I267" s="88">
        <v>2</v>
      </c>
      <c r="J267" s="88">
        <v>3</v>
      </c>
      <c r="K267" s="88">
        <v>3</v>
      </c>
      <c r="L267" s="88">
        <v>2</v>
      </c>
      <c r="M267" s="88">
        <v>2</v>
      </c>
      <c r="N267" s="88">
        <v>3</v>
      </c>
      <c r="O267" s="88">
        <v>2</v>
      </c>
      <c r="P267" s="88">
        <v>3</v>
      </c>
      <c r="Q267" s="88">
        <v>2</v>
      </c>
      <c r="R267" s="88">
        <v>2</v>
      </c>
      <c r="S267" s="88">
        <v>2</v>
      </c>
      <c r="T267" s="88">
        <v>2</v>
      </c>
      <c r="U267" s="88">
        <v>2</v>
      </c>
      <c r="V267" s="88">
        <v>3</v>
      </c>
      <c r="W267" s="88">
        <v>2</v>
      </c>
      <c r="X267" s="89">
        <v>1</v>
      </c>
      <c r="Y267" s="89">
        <v>2</v>
      </c>
      <c r="Z267" s="89">
        <v>1</v>
      </c>
      <c r="AA267" s="89">
        <v>1</v>
      </c>
      <c r="AB267" s="89">
        <v>1</v>
      </c>
      <c r="AC267" s="89">
        <v>1</v>
      </c>
      <c r="AD267" s="89">
        <v>1</v>
      </c>
      <c r="AE267" s="89">
        <v>1</v>
      </c>
      <c r="AF267" s="89">
        <v>2</v>
      </c>
      <c r="AG267" s="89">
        <v>2</v>
      </c>
      <c r="AH267" s="89">
        <v>2</v>
      </c>
      <c r="AI267" s="89">
        <v>1</v>
      </c>
      <c r="AJ267" s="89">
        <v>2</v>
      </c>
      <c r="AK267" s="65">
        <f t="shared" si="29"/>
        <v>0.62068965517241381</v>
      </c>
      <c r="AL267" s="66" t="str">
        <f t="shared" si="28"/>
        <v>Dipertimbangkan</v>
      </c>
      <c r="AM267" s="67" t="s">
        <v>235</v>
      </c>
      <c r="AN267" s="67" t="s">
        <v>235</v>
      </c>
      <c r="AO267" s="67" t="s">
        <v>235</v>
      </c>
      <c r="AP267" s="67" t="s">
        <v>236</v>
      </c>
      <c r="AQ267" s="67" t="s">
        <v>236</v>
      </c>
    </row>
    <row r="268" spans="1:43" ht="50" x14ac:dyDescent="0.35">
      <c r="A268" s="64">
        <v>266</v>
      </c>
      <c r="B268" s="67" t="s">
        <v>1249</v>
      </c>
      <c r="C268" s="67" t="str">
        <f t="shared" si="24"/>
        <v>Pangkalan Bun, 29 November 1999</v>
      </c>
      <c r="D268" s="67" t="str">
        <f t="shared" si="25"/>
        <v>S1 - Hukum Keluarga Islam</v>
      </c>
      <c r="E268" s="66">
        <f t="shared" si="26"/>
        <v>103</v>
      </c>
      <c r="F268" s="66" t="str">
        <f t="shared" si="27"/>
        <v>Rata-rata</v>
      </c>
      <c r="G268" s="88">
        <v>3</v>
      </c>
      <c r="H268" s="88">
        <v>2</v>
      </c>
      <c r="I268" s="88">
        <v>2</v>
      </c>
      <c r="J268" s="88">
        <v>3</v>
      </c>
      <c r="K268" s="88">
        <v>3</v>
      </c>
      <c r="L268" s="88">
        <v>2</v>
      </c>
      <c r="M268" s="88">
        <v>2</v>
      </c>
      <c r="N268" s="88">
        <v>3</v>
      </c>
      <c r="O268" s="88">
        <v>2</v>
      </c>
      <c r="P268" s="88">
        <v>3</v>
      </c>
      <c r="Q268" s="88">
        <v>2</v>
      </c>
      <c r="R268" s="88">
        <v>2</v>
      </c>
      <c r="S268" s="88">
        <v>2</v>
      </c>
      <c r="T268" s="88">
        <v>2</v>
      </c>
      <c r="U268" s="88">
        <v>2</v>
      </c>
      <c r="V268" s="88">
        <v>3</v>
      </c>
      <c r="W268" s="88">
        <v>2</v>
      </c>
      <c r="X268" s="89">
        <v>1</v>
      </c>
      <c r="Y268" s="89">
        <v>2</v>
      </c>
      <c r="Z268" s="89">
        <v>2</v>
      </c>
      <c r="AA268" s="89">
        <v>1</v>
      </c>
      <c r="AB268" s="89">
        <v>1</v>
      </c>
      <c r="AC268" s="89">
        <v>1</v>
      </c>
      <c r="AD268" s="89">
        <v>1</v>
      </c>
      <c r="AE268" s="89">
        <v>0</v>
      </c>
      <c r="AF268" s="89">
        <v>1</v>
      </c>
      <c r="AG268" s="89">
        <v>2</v>
      </c>
      <c r="AH268" s="89">
        <v>1</v>
      </c>
      <c r="AI268" s="89">
        <v>1</v>
      </c>
      <c r="AJ268" s="89">
        <v>1</v>
      </c>
      <c r="AK268" s="65">
        <f t="shared" si="29"/>
        <v>0.51724137931034486</v>
      </c>
      <c r="AL268" s="66" t="str">
        <f t="shared" si="28"/>
        <v>Dipertimbangkan</v>
      </c>
      <c r="AM268" s="67" t="s">
        <v>235</v>
      </c>
      <c r="AN268" s="67" t="s">
        <v>235</v>
      </c>
      <c r="AO268" s="67" t="s">
        <v>235</v>
      </c>
      <c r="AP268" s="67" t="s">
        <v>236</v>
      </c>
      <c r="AQ268" s="67" t="s">
        <v>236</v>
      </c>
    </row>
    <row r="269" spans="1:43" ht="50" x14ac:dyDescent="0.35">
      <c r="A269" s="64">
        <v>267</v>
      </c>
      <c r="B269" s="67" t="s">
        <v>650</v>
      </c>
      <c r="C269" s="67" t="str">
        <f t="shared" si="24"/>
        <v>Kuala Kuayan, 11 September 1997</v>
      </c>
      <c r="D269" s="67" t="str">
        <f t="shared" si="25"/>
        <v>S1 - Ilmu Administrasi Negara</v>
      </c>
      <c r="E269" s="66">
        <f t="shared" si="26"/>
        <v>116</v>
      </c>
      <c r="F269" s="66" t="str">
        <f t="shared" si="27"/>
        <v>Baik</v>
      </c>
      <c r="G269" s="88"/>
      <c r="H269" s="88"/>
      <c r="I269" s="88"/>
      <c r="J269" s="88"/>
      <c r="K269" s="88"/>
      <c r="L269" s="88"/>
      <c r="M269" s="88"/>
      <c r="N269" s="88"/>
      <c r="O269" s="88"/>
      <c r="P269" s="88"/>
      <c r="Q269" s="88"/>
      <c r="R269" s="88"/>
      <c r="S269" s="88"/>
      <c r="T269" s="88"/>
      <c r="U269" s="88"/>
      <c r="V269" s="88"/>
      <c r="W269" s="88"/>
      <c r="X269" s="89"/>
      <c r="Y269" s="89"/>
      <c r="Z269" s="89"/>
      <c r="AA269" s="89"/>
      <c r="AB269" s="89"/>
      <c r="AC269" s="89"/>
      <c r="AD269" s="89"/>
      <c r="AE269" s="89"/>
      <c r="AF269" s="89"/>
      <c r="AG269" s="89"/>
      <c r="AH269" s="89"/>
      <c r="AI269" s="89"/>
      <c r="AJ269" s="89"/>
      <c r="AK269" s="65">
        <f t="shared" si="29"/>
        <v>0</v>
      </c>
      <c r="AL269" s="66" t="str">
        <f t="shared" si="28"/>
        <v>Tidak disarankan</v>
      </c>
      <c r="AM269" s="67" t="s">
        <v>235</v>
      </c>
      <c r="AN269" s="67" t="s">
        <v>235</v>
      </c>
      <c r="AO269" s="67" t="s">
        <v>235</v>
      </c>
      <c r="AP269" s="67" t="s">
        <v>236</v>
      </c>
      <c r="AQ269" s="67" t="s">
        <v>236</v>
      </c>
    </row>
    <row r="270" spans="1:43" ht="50" x14ac:dyDescent="0.35">
      <c r="A270" s="64">
        <v>268</v>
      </c>
      <c r="B270" s="67" t="s">
        <v>1158</v>
      </c>
      <c r="C270" s="67" t="str">
        <f t="shared" si="24"/>
        <v>Palangka Raya, 11 April 2001</v>
      </c>
      <c r="D270" s="67" t="str">
        <f t="shared" si="25"/>
        <v>S1 - Ilmu Komputer</v>
      </c>
      <c r="E270" s="66">
        <f t="shared" si="26"/>
        <v>109</v>
      </c>
      <c r="F270" s="66" t="str">
        <f t="shared" si="27"/>
        <v>Rata-rata</v>
      </c>
      <c r="G270" s="88">
        <v>3</v>
      </c>
      <c r="H270" s="88">
        <v>2</v>
      </c>
      <c r="I270" s="88">
        <v>2</v>
      </c>
      <c r="J270" s="88">
        <v>3</v>
      </c>
      <c r="K270" s="88">
        <v>3</v>
      </c>
      <c r="L270" s="88">
        <v>2</v>
      </c>
      <c r="M270" s="88">
        <v>2</v>
      </c>
      <c r="N270" s="88">
        <v>3</v>
      </c>
      <c r="O270" s="88">
        <v>2</v>
      </c>
      <c r="P270" s="88">
        <v>3</v>
      </c>
      <c r="Q270" s="88">
        <v>2</v>
      </c>
      <c r="R270" s="88">
        <v>2</v>
      </c>
      <c r="S270" s="88">
        <v>2</v>
      </c>
      <c r="T270" s="88">
        <v>2</v>
      </c>
      <c r="U270" s="88">
        <v>2</v>
      </c>
      <c r="V270" s="88">
        <v>3</v>
      </c>
      <c r="W270" s="88">
        <v>2</v>
      </c>
      <c r="X270" s="89">
        <v>2</v>
      </c>
      <c r="Y270" s="89">
        <v>1</v>
      </c>
      <c r="Z270" s="89">
        <v>2</v>
      </c>
      <c r="AA270" s="89">
        <v>2</v>
      </c>
      <c r="AB270" s="89">
        <v>1</v>
      </c>
      <c r="AC270" s="89">
        <v>1</v>
      </c>
      <c r="AD270" s="89">
        <v>1</v>
      </c>
      <c r="AE270" s="89">
        <v>1</v>
      </c>
      <c r="AF270" s="89">
        <v>2</v>
      </c>
      <c r="AG270" s="89">
        <v>2</v>
      </c>
      <c r="AH270" s="89">
        <v>2</v>
      </c>
      <c r="AI270" s="89">
        <v>1</v>
      </c>
      <c r="AJ270" s="89">
        <v>1</v>
      </c>
      <c r="AK270" s="65">
        <f t="shared" si="29"/>
        <v>0.65517241379310343</v>
      </c>
      <c r="AL270" s="66" t="str">
        <f t="shared" si="28"/>
        <v>Dipertimbangkan</v>
      </c>
      <c r="AM270" s="67" t="s">
        <v>235</v>
      </c>
      <c r="AN270" s="67" t="s">
        <v>235</v>
      </c>
      <c r="AO270" s="67" t="s">
        <v>235</v>
      </c>
      <c r="AP270" s="67" t="s">
        <v>236</v>
      </c>
      <c r="AQ270" s="67" t="s">
        <v>236</v>
      </c>
    </row>
    <row r="271" spans="1:43" ht="50" x14ac:dyDescent="0.35">
      <c r="A271" s="64">
        <v>269</v>
      </c>
      <c r="B271" s="67" t="s">
        <v>1474</v>
      </c>
      <c r="C271" s="67" t="str">
        <f t="shared" si="24"/>
        <v>Kuala Pembuang, 22 April 1999</v>
      </c>
      <c r="D271" s="67" t="str">
        <f t="shared" si="25"/>
        <v>S1 - Akuntansi Syariah</v>
      </c>
      <c r="E271" s="66">
        <f t="shared" si="26"/>
        <v>103</v>
      </c>
      <c r="F271" s="66" t="str">
        <f t="shared" si="27"/>
        <v>Rata-rata</v>
      </c>
      <c r="G271" s="88"/>
      <c r="H271" s="88"/>
      <c r="I271" s="88"/>
      <c r="J271" s="88"/>
      <c r="K271" s="88"/>
      <c r="L271" s="88"/>
      <c r="M271" s="88"/>
      <c r="N271" s="88"/>
      <c r="O271" s="88"/>
      <c r="P271" s="88"/>
      <c r="Q271" s="88"/>
      <c r="R271" s="88"/>
      <c r="S271" s="88"/>
      <c r="T271" s="88"/>
      <c r="U271" s="88"/>
      <c r="V271" s="88"/>
      <c r="W271" s="88"/>
      <c r="X271" s="89"/>
      <c r="Y271" s="89"/>
      <c r="Z271" s="89"/>
      <c r="AA271" s="89"/>
      <c r="AB271" s="89"/>
      <c r="AC271" s="89"/>
      <c r="AD271" s="89"/>
      <c r="AE271" s="89"/>
      <c r="AF271" s="89"/>
      <c r="AG271" s="89"/>
      <c r="AH271" s="89"/>
      <c r="AI271" s="89"/>
      <c r="AJ271" s="89"/>
      <c r="AK271" s="65">
        <f t="shared" si="29"/>
        <v>0</v>
      </c>
      <c r="AL271" s="66" t="str">
        <f t="shared" si="28"/>
        <v>Tidak disarankan</v>
      </c>
      <c r="AM271" s="67" t="s">
        <v>235</v>
      </c>
      <c r="AN271" s="67" t="s">
        <v>235</v>
      </c>
      <c r="AO271" s="67" t="s">
        <v>235</v>
      </c>
      <c r="AP271" s="67" t="s">
        <v>236</v>
      </c>
      <c r="AQ271" s="67" t="s">
        <v>236</v>
      </c>
    </row>
    <row r="272" spans="1:43" ht="50" x14ac:dyDescent="0.35">
      <c r="A272" s="64">
        <v>270</v>
      </c>
      <c r="B272" s="67" t="s">
        <v>1169</v>
      </c>
      <c r="C272" s="67" t="str">
        <f t="shared" si="24"/>
        <v>Palangka Raya, 09 April 2000</v>
      </c>
      <c r="D272" s="67" t="str">
        <f t="shared" si="25"/>
        <v>S1 - Akuntansi</v>
      </c>
      <c r="E272" s="66">
        <f t="shared" si="26"/>
        <v>114</v>
      </c>
      <c r="F272" s="66" t="str">
        <f t="shared" si="27"/>
        <v>Baik</v>
      </c>
      <c r="G272" s="88">
        <v>3</v>
      </c>
      <c r="H272" s="88">
        <v>2</v>
      </c>
      <c r="I272" s="88">
        <v>2</v>
      </c>
      <c r="J272" s="88">
        <v>3</v>
      </c>
      <c r="K272" s="88">
        <v>3</v>
      </c>
      <c r="L272" s="88">
        <v>2</v>
      </c>
      <c r="M272" s="88">
        <v>2</v>
      </c>
      <c r="N272" s="88">
        <v>3</v>
      </c>
      <c r="O272" s="88">
        <v>2</v>
      </c>
      <c r="P272" s="88">
        <v>3</v>
      </c>
      <c r="Q272" s="88">
        <v>2</v>
      </c>
      <c r="R272" s="88">
        <v>2</v>
      </c>
      <c r="S272" s="88">
        <v>2</v>
      </c>
      <c r="T272" s="88">
        <v>2</v>
      </c>
      <c r="U272" s="88">
        <v>2</v>
      </c>
      <c r="V272" s="88">
        <v>3</v>
      </c>
      <c r="W272" s="88">
        <v>2</v>
      </c>
      <c r="X272" s="89">
        <v>2</v>
      </c>
      <c r="Y272" s="89">
        <v>1</v>
      </c>
      <c r="Z272" s="89">
        <v>1</v>
      </c>
      <c r="AA272" s="89">
        <v>1</v>
      </c>
      <c r="AB272" s="89">
        <v>1</v>
      </c>
      <c r="AC272" s="89">
        <v>1</v>
      </c>
      <c r="AD272" s="89">
        <v>1</v>
      </c>
      <c r="AE272" s="89">
        <v>1</v>
      </c>
      <c r="AF272" s="89">
        <v>2</v>
      </c>
      <c r="AG272" s="89">
        <v>1</v>
      </c>
      <c r="AH272" s="89">
        <v>2</v>
      </c>
      <c r="AI272" s="89">
        <v>1</v>
      </c>
      <c r="AJ272" s="89">
        <v>1</v>
      </c>
      <c r="AK272" s="65">
        <f t="shared" si="29"/>
        <v>0.55172413793103448</v>
      </c>
      <c r="AL272" s="66" t="str">
        <f t="shared" si="28"/>
        <v>Dipertimbangkan</v>
      </c>
      <c r="AM272" s="67" t="s">
        <v>235</v>
      </c>
      <c r="AN272" s="67" t="s">
        <v>235</v>
      </c>
      <c r="AO272" s="67" t="s">
        <v>235</v>
      </c>
      <c r="AP272" s="67" t="s">
        <v>236</v>
      </c>
      <c r="AQ272" s="67" t="s">
        <v>236</v>
      </c>
    </row>
    <row r="273" spans="1:43" ht="50" x14ac:dyDescent="0.35">
      <c r="A273" s="64">
        <v>271</v>
      </c>
      <c r="B273" s="67" t="s">
        <v>318</v>
      </c>
      <c r="C273" s="67" t="str">
        <f t="shared" si="24"/>
        <v>Banjarmasin, 05 September 2000</v>
      </c>
      <c r="D273" s="67" t="str">
        <f t="shared" si="25"/>
        <v>S1 - Desain Komunikasi Visual</v>
      </c>
      <c r="E273" s="66">
        <f t="shared" si="26"/>
        <v>123</v>
      </c>
      <c r="F273" s="66" t="str">
        <f t="shared" si="27"/>
        <v>Baik Sekali</v>
      </c>
      <c r="G273" s="88"/>
      <c r="H273" s="88"/>
      <c r="I273" s="88"/>
      <c r="J273" s="88"/>
      <c r="K273" s="88"/>
      <c r="L273" s="88"/>
      <c r="M273" s="88"/>
      <c r="N273" s="88"/>
      <c r="O273" s="88"/>
      <c r="P273" s="88"/>
      <c r="Q273" s="88"/>
      <c r="R273" s="88"/>
      <c r="S273" s="88"/>
      <c r="T273" s="88"/>
      <c r="U273" s="88"/>
      <c r="V273" s="88"/>
      <c r="W273" s="88"/>
      <c r="X273" s="89"/>
      <c r="Y273" s="89"/>
      <c r="Z273" s="89"/>
      <c r="AA273" s="89"/>
      <c r="AB273" s="89"/>
      <c r="AC273" s="89"/>
      <c r="AD273" s="89"/>
      <c r="AE273" s="89"/>
      <c r="AF273" s="89"/>
      <c r="AG273" s="89"/>
      <c r="AH273" s="89"/>
      <c r="AI273" s="89"/>
      <c r="AJ273" s="89"/>
      <c r="AK273" s="65">
        <f t="shared" si="29"/>
        <v>0</v>
      </c>
      <c r="AL273" s="66" t="str">
        <f t="shared" si="28"/>
        <v>Tidak disarankan</v>
      </c>
      <c r="AM273" s="67" t="s">
        <v>235</v>
      </c>
      <c r="AN273" s="67" t="s">
        <v>235</v>
      </c>
      <c r="AO273" s="67" t="s">
        <v>235</v>
      </c>
      <c r="AP273" s="67" t="s">
        <v>236</v>
      </c>
      <c r="AQ273" s="67" t="s">
        <v>236</v>
      </c>
    </row>
    <row r="274" spans="1:43" ht="50" x14ac:dyDescent="0.35">
      <c r="A274" s="64">
        <v>272</v>
      </c>
      <c r="B274" s="67" t="s">
        <v>688</v>
      </c>
      <c r="C274" s="67" t="str">
        <f t="shared" si="24"/>
        <v>Semarang, 00 Januari 1900</v>
      </c>
      <c r="D274" s="67" t="str">
        <f t="shared" si="25"/>
        <v>S1 - Sistem Informasi</v>
      </c>
      <c r="E274" s="66">
        <f t="shared" si="26"/>
        <v>119</v>
      </c>
      <c r="F274" s="66" t="str">
        <f t="shared" si="27"/>
        <v>Baik</v>
      </c>
      <c r="G274" s="88"/>
      <c r="H274" s="88"/>
      <c r="I274" s="88"/>
      <c r="J274" s="88"/>
      <c r="K274" s="88"/>
      <c r="L274" s="88"/>
      <c r="M274" s="88"/>
      <c r="N274" s="88"/>
      <c r="O274" s="88"/>
      <c r="P274" s="88"/>
      <c r="Q274" s="88"/>
      <c r="R274" s="88"/>
      <c r="S274" s="88"/>
      <c r="T274" s="88"/>
      <c r="U274" s="88"/>
      <c r="V274" s="88"/>
      <c r="W274" s="88"/>
      <c r="X274" s="89"/>
      <c r="Y274" s="89"/>
      <c r="Z274" s="89"/>
      <c r="AA274" s="89"/>
      <c r="AB274" s="89"/>
      <c r="AC274" s="89"/>
      <c r="AD274" s="89"/>
      <c r="AE274" s="89"/>
      <c r="AF274" s="89"/>
      <c r="AG274" s="89"/>
      <c r="AH274" s="89"/>
      <c r="AI274" s="89"/>
      <c r="AJ274" s="89"/>
      <c r="AK274" s="65">
        <f t="shared" si="29"/>
        <v>0</v>
      </c>
      <c r="AL274" s="66" t="str">
        <f t="shared" si="28"/>
        <v>Tidak disarankan</v>
      </c>
      <c r="AM274" s="67" t="s">
        <v>235</v>
      </c>
      <c r="AN274" s="67" t="s">
        <v>235</v>
      </c>
      <c r="AO274" s="67" t="s">
        <v>235</v>
      </c>
      <c r="AP274" s="67" t="s">
        <v>236</v>
      </c>
      <c r="AQ274" s="67" t="s">
        <v>236</v>
      </c>
    </row>
    <row r="275" spans="1:43" ht="50" x14ac:dyDescent="0.35">
      <c r="A275" s="64">
        <v>273</v>
      </c>
      <c r="B275" s="67" t="s">
        <v>978</v>
      </c>
      <c r="C275" s="67" t="str">
        <f t="shared" si="24"/>
        <v>Babai, 07 November 2000</v>
      </c>
      <c r="D275" s="67" t="str">
        <f t="shared" si="25"/>
        <v>S1 - Perbankan Syariah</v>
      </c>
      <c r="E275" s="66">
        <f t="shared" si="26"/>
        <v>111</v>
      </c>
      <c r="F275" s="66" t="str">
        <f t="shared" si="27"/>
        <v>Baik</v>
      </c>
      <c r="G275" s="88">
        <v>3</v>
      </c>
      <c r="H275" s="88">
        <v>2</v>
      </c>
      <c r="I275" s="88">
        <v>2</v>
      </c>
      <c r="J275" s="88">
        <v>3</v>
      </c>
      <c r="K275" s="88">
        <v>3</v>
      </c>
      <c r="L275" s="88">
        <v>2</v>
      </c>
      <c r="M275" s="88">
        <v>2</v>
      </c>
      <c r="N275" s="88">
        <v>3</v>
      </c>
      <c r="O275" s="88">
        <v>2</v>
      </c>
      <c r="P275" s="88">
        <v>3</v>
      </c>
      <c r="Q275" s="88">
        <v>2</v>
      </c>
      <c r="R275" s="88">
        <v>2</v>
      </c>
      <c r="S275" s="88">
        <v>2</v>
      </c>
      <c r="T275" s="88">
        <v>2</v>
      </c>
      <c r="U275" s="88">
        <v>2</v>
      </c>
      <c r="V275" s="88">
        <v>3</v>
      </c>
      <c r="W275" s="88">
        <v>2</v>
      </c>
      <c r="X275" s="89">
        <v>1</v>
      </c>
      <c r="Y275" s="89">
        <v>2</v>
      </c>
      <c r="Z275" s="89">
        <v>1</v>
      </c>
      <c r="AA275" s="89">
        <v>1</v>
      </c>
      <c r="AB275" s="89">
        <v>1</v>
      </c>
      <c r="AC275" s="89">
        <v>1</v>
      </c>
      <c r="AD275" s="89">
        <v>1</v>
      </c>
      <c r="AE275" s="89">
        <v>1</v>
      </c>
      <c r="AF275" s="89">
        <v>1</v>
      </c>
      <c r="AG275" s="89">
        <v>2</v>
      </c>
      <c r="AH275" s="89">
        <v>2</v>
      </c>
      <c r="AI275" s="89">
        <v>1</v>
      </c>
      <c r="AJ275" s="89">
        <v>1</v>
      </c>
      <c r="AK275" s="65">
        <f t="shared" si="29"/>
        <v>0.55172413793103448</v>
      </c>
      <c r="AL275" s="66" t="str">
        <f t="shared" si="28"/>
        <v>Dipertimbangkan</v>
      </c>
      <c r="AM275" s="67" t="s">
        <v>235</v>
      </c>
      <c r="AN275" s="67" t="s">
        <v>235</v>
      </c>
      <c r="AO275" s="67" t="s">
        <v>235</v>
      </c>
      <c r="AP275" s="67" t="s">
        <v>236</v>
      </c>
      <c r="AQ275" s="67" t="s">
        <v>236</v>
      </c>
    </row>
    <row r="276" spans="1:43" ht="50" x14ac:dyDescent="0.35">
      <c r="A276" s="64">
        <v>274</v>
      </c>
      <c r="B276" s="67" t="s">
        <v>1175</v>
      </c>
      <c r="C276" s="67" t="str">
        <f t="shared" si="24"/>
        <v>Palangka Raya, 04 Agustus 2002</v>
      </c>
      <c r="D276" s="67" t="str">
        <f t="shared" si="25"/>
        <v>S1 - Hubungan Masyarakat</v>
      </c>
      <c r="E276" s="66">
        <f t="shared" si="26"/>
        <v>109</v>
      </c>
      <c r="F276" s="66" t="str">
        <f t="shared" si="27"/>
        <v>Rata-rata</v>
      </c>
      <c r="G276" s="88">
        <v>3</v>
      </c>
      <c r="H276" s="88">
        <v>2</v>
      </c>
      <c r="I276" s="88">
        <v>2</v>
      </c>
      <c r="J276" s="88">
        <v>3</v>
      </c>
      <c r="K276" s="88">
        <v>3</v>
      </c>
      <c r="L276" s="88">
        <v>2</v>
      </c>
      <c r="M276" s="88">
        <v>2</v>
      </c>
      <c r="N276" s="88">
        <v>3</v>
      </c>
      <c r="O276" s="88">
        <v>2</v>
      </c>
      <c r="P276" s="88">
        <v>3</v>
      </c>
      <c r="Q276" s="88">
        <v>2</v>
      </c>
      <c r="R276" s="88">
        <v>2</v>
      </c>
      <c r="S276" s="88">
        <v>2</v>
      </c>
      <c r="T276" s="88">
        <v>2</v>
      </c>
      <c r="U276" s="88">
        <v>2</v>
      </c>
      <c r="V276" s="88">
        <v>3</v>
      </c>
      <c r="W276" s="88">
        <v>2</v>
      </c>
      <c r="X276" s="89">
        <v>2</v>
      </c>
      <c r="Y276" s="89">
        <v>2</v>
      </c>
      <c r="Z276" s="89">
        <v>1</v>
      </c>
      <c r="AA276" s="89">
        <v>1</v>
      </c>
      <c r="AB276" s="89">
        <v>1</v>
      </c>
      <c r="AC276" s="89">
        <v>1</v>
      </c>
      <c r="AD276" s="89">
        <v>2</v>
      </c>
      <c r="AE276" s="89">
        <v>1</v>
      </c>
      <c r="AF276" s="89">
        <v>2</v>
      </c>
      <c r="AG276" s="89">
        <v>2</v>
      </c>
      <c r="AH276" s="89">
        <v>2</v>
      </c>
      <c r="AI276" s="89">
        <v>1</v>
      </c>
      <c r="AJ276" s="89">
        <v>1</v>
      </c>
      <c r="AK276" s="65">
        <f t="shared" si="29"/>
        <v>0.65517241379310343</v>
      </c>
      <c r="AL276" s="66" t="str">
        <f t="shared" si="28"/>
        <v>Dipertimbangkan</v>
      </c>
      <c r="AM276" s="67" t="s">
        <v>235</v>
      </c>
      <c r="AN276" s="67" t="s">
        <v>235</v>
      </c>
      <c r="AO276" s="67" t="s">
        <v>235</v>
      </c>
      <c r="AP276" s="67" t="s">
        <v>236</v>
      </c>
      <c r="AQ276" s="67" t="s">
        <v>236</v>
      </c>
    </row>
    <row r="277" spans="1:43" ht="50" x14ac:dyDescent="0.35">
      <c r="A277" s="64">
        <v>275</v>
      </c>
      <c r="B277" s="67" t="s">
        <v>998</v>
      </c>
      <c r="C277" s="67" t="str">
        <f t="shared" si="24"/>
        <v>Buntok, 07 Agustus 1999</v>
      </c>
      <c r="D277" s="67" t="str">
        <f t="shared" si="25"/>
        <v>S1 - Ilmu Pemerintahan</v>
      </c>
      <c r="E277" s="66">
        <f t="shared" si="26"/>
        <v>124</v>
      </c>
      <c r="F277" s="66" t="str">
        <f t="shared" si="27"/>
        <v>Baik Sekali</v>
      </c>
      <c r="G277" s="88"/>
      <c r="H277" s="88"/>
      <c r="I277" s="88"/>
      <c r="J277" s="88"/>
      <c r="K277" s="88"/>
      <c r="L277" s="88"/>
      <c r="M277" s="88"/>
      <c r="N277" s="88"/>
      <c r="O277" s="88"/>
      <c r="P277" s="88"/>
      <c r="Q277" s="88"/>
      <c r="R277" s="88"/>
      <c r="S277" s="88"/>
      <c r="T277" s="88"/>
      <c r="U277" s="88"/>
      <c r="V277" s="88"/>
      <c r="W277" s="88"/>
      <c r="X277" s="89"/>
      <c r="Y277" s="89"/>
      <c r="Z277" s="89"/>
      <c r="AA277" s="89"/>
      <c r="AB277" s="89"/>
      <c r="AC277" s="89"/>
      <c r="AD277" s="89"/>
      <c r="AE277" s="89"/>
      <c r="AF277" s="89"/>
      <c r="AG277" s="89"/>
      <c r="AH277" s="89"/>
      <c r="AI277" s="89"/>
      <c r="AJ277" s="89"/>
      <c r="AK277" s="65">
        <f t="shared" si="29"/>
        <v>0</v>
      </c>
      <c r="AL277" s="66" t="str">
        <f t="shared" si="28"/>
        <v>Tidak disarankan</v>
      </c>
      <c r="AM277" s="67" t="s">
        <v>235</v>
      </c>
      <c r="AN277" s="67" t="s">
        <v>235</v>
      </c>
      <c r="AO277" s="67" t="s">
        <v>235</v>
      </c>
      <c r="AP277" s="67" t="s">
        <v>236</v>
      </c>
      <c r="AQ277" s="67" t="s">
        <v>236</v>
      </c>
    </row>
    <row r="278" spans="1:43" ht="50" x14ac:dyDescent="0.35">
      <c r="A278" s="64">
        <v>276</v>
      </c>
      <c r="B278" s="67" t="s">
        <v>1018</v>
      </c>
      <c r="C278" s="67" t="str">
        <f t="shared" si="24"/>
        <v>Pangkalan Bun, 07 November 1998</v>
      </c>
      <c r="D278" s="67" t="str">
        <f t="shared" si="25"/>
        <v>S1 - Teknik Informatika</v>
      </c>
      <c r="E278" s="66">
        <f t="shared" si="26"/>
        <v>115</v>
      </c>
      <c r="F278" s="66" t="str">
        <f t="shared" si="27"/>
        <v>Baik</v>
      </c>
      <c r="G278" s="88"/>
      <c r="H278" s="88"/>
      <c r="I278" s="88"/>
      <c r="J278" s="88"/>
      <c r="K278" s="88"/>
      <c r="L278" s="88"/>
      <c r="M278" s="88"/>
      <c r="N278" s="88"/>
      <c r="O278" s="88"/>
      <c r="P278" s="88"/>
      <c r="Q278" s="88"/>
      <c r="R278" s="88"/>
      <c r="S278" s="88"/>
      <c r="T278" s="88"/>
      <c r="U278" s="88"/>
      <c r="V278" s="88"/>
      <c r="W278" s="88"/>
      <c r="X278" s="89"/>
      <c r="Y278" s="89"/>
      <c r="Z278" s="89"/>
      <c r="AA278" s="89"/>
      <c r="AB278" s="89"/>
      <c r="AC278" s="89"/>
      <c r="AD278" s="89"/>
      <c r="AE278" s="89"/>
      <c r="AF278" s="89"/>
      <c r="AG278" s="89"/>
      <c r="AH278" s="89"/>
      <c r="AI278" s="89"/>
      <c r="AJ278" s="89"/>
      <c r="AK278" s="65">
        <f t="shared" si="29"/>
        <v>0</v>
      </c>
      <c r="AL278" s="66" t="str">
        <f t="shared" si="28"/>
        <v>Tidak disarankan</v>
      </c>
      <c r="AM278" s="67" t="s">
        <v>235</v>
      </c>
      <c r="AN278" s="67" t="s">
        <v>235</v>
      </c>
      <c r="AO278" s="67" t="s">
        <v>235</v>
      </c>
      <c r="AP278" s="67" t="s">
        <v>236</v>
      </c>
      <c r="AQ278" s="67" t="s">
        <v>236</v>
      </c>
    </row>
    <row r="279" spans="1:43" ht="50" x14ac:dyDescent="0.35">
      <c r="A279" s="64">
        <v>277</v>
      </c>
      <c r="B279" s="67" t="s">
        <v>1178</v>
      </c>
      <c r="C279" s="67" t="str">
        <f t="shared" si="24"/>
        <v>Palangka Raya, 22 Januari 1999</v>
      </c>
      <c r="D279" s="67" t="str">
        <f t="shared" si="25"/>
        <v>S1 - Akuntansi</v>
      </c>
      <c r="E279" s="66">
        <f t="shared" si="26"/>
        <v>119</v>
      </c>
      <c r="F279" s="66" t="str">
        <f t="shared" si="27"/>
        <v>Baik</v>
      </c>
      <c r="G279" s="88"/>
      <c r="H279" s="88"/>
      <c r="I279" s="88"/>
      <c r="J279" s="88"/>
      <c r="K279" s="88"/>
      <c r="L279" s="88"/>
      <c r="M279" s="88"/>
      <c r="N279" s="88"/>
      <c r="O279" s="88"/>
      <c r="P279" s="88"/>
      <c r="Q279" s="88"/>
      <c r="R279" s="88"/>
      <c r="S279" s="88"/>
      <c r="T279" s="88"/>
      <c r="U279" s="88"/>
      <c r="V279" s="88"/>
      <c r="W279" s="88"/>
      <c r="X279" s="89"/>
      <c r="Y279" s="89"/>
      <c r="Z279" s="89"/>
      <c r="AA279" s="89"/>
      <c r="AB279" s="89"/>
      <c r="AC279" s="89"/>
      <c r="AD279" s="89"/>
      <c r="AE279" s="89"/>
      <c r="AF279" s="89"/>
      <c r="AG279" s="89"/>
      <c r="AH279" s="89"/>
      <c r="AI279" s="89"/>
      <c r="AJ279" s="89"/>
      <c r="AK279" s="65">
        <f t="shared" si="29"/>
        <v>0</v>
      </c>
      <c r="AL279" s="66" t="str">
        <f t="shared" si="28"/>
        <v>Tidak disarankan</v>
      </c>
      <c r="AM279" s="67" t="s">
        <v>235</v>
      </c>
      <c r="AN279" s="67" t="s">
        <v>235</v>
      </c>
      <c r="AO279" s="67" t="s">
        <v>235</v>
      </c>
      <c r="AP279" s="67" t="s">
        <v>236</v>
      </c>
      <c r="AQ279" s="67" t="s">
        <v>236</v>
      </c>
    </row>
    <row r="280" spans="1:43" ht="50" x14ac:dyDescent="0.35">
      <c r="A280" s="64">
        <v>278</v>
      </c>
      <c r="B280" s="67" t="s">
        <v>1253</v>
      </c>
      <c r="C280" s="67" t="str">
        <f t="shared" si="24"/>
        <v>Palangka Raya, 30 Januari 1999</v>
      </c>
      <c r="D280" s="67" t="str">
        <f t="shared" si="25"/>
        <v>S1 - Akuntansi</v>
      </c>
      <c r="E280" s="66">
        <f t="shared" si="26"/>
        <v>89</v>
      </c>
      <c r="F280" s="66" t="str">
        <f t="shared" si="27"/>
        <v>Kurang</v>
      </c>
      <c r="G280" s="88"/>
      <c r="H280" s="88"/>
      <c r="I280" s="88"/>
      <c r="J280" s="88"/>
      <c r="K280" s="88"/>
      <c r="L280" s="88"/>
      <c r="M280" s="88"/>
      <c r="N280" s="88"/>
      <c r="O280" s="88"/>
      <c r="P280" s="88"/>
      <c r="Q280" s="88"/>
      <c r="R280" s="88"/>
      <c r="S280" s="88"/>
      <c r="T280" s="88"/>
      <c r="U280" s="88"/>
      <c r="V280" s="88"/>
      <c r="W280" s="88"/>
      <c r="X280" s="89"/>
      <c r="Y280" s="89"/>
      <c r="Z280" s="89"/>
      <c r="AA280" s="89"/>
      <c r="AB280" s="89"/>
      <c r="AC280" s="89"/>
      <c r="AD280" s="89"/>
      <c r="AE280" s="89"/>
      <c r="AF280" s="89"/>
      <c r="AG280" s="89"/>
      <c r="AH280" s="89"/>
      <c r="AI280" s="89"/>
      <c r="AJ280" s="89"/>
      <c r="AK280" s="65">
        <f t="shared" si="29"/>
        <v>0</v>
      </c>
      <c r="AL280" s="66" t="str">
        <f t="shared" si="28"/>
        <v>Tidak disarankan</v>
      </c>
      <c r="AM280" s="67" t="s">
        <v>235</v>
      </c>
      <c r="AN280" s="67" t="s">
        <v>235</v>
      </c>
      <c r="AO280" s="67" t="s">
        <v>235</v>
      </c>
      <c r="AP280" s="67" t="s">
        <v>236</v>
      </c>
      <c r="AQ280" s="67" t="s">
        <v>236</v>
      </c>
    </row>
    <row r="281" spans="1:43" ht="50" x14ac:dyDescent="0.35">
      <c r="A281" s="64">
        <v>279</v>
      </c>
      <c r="B281" s="67" t="s">
        <v>284</v>
      </c>
      <c r="C281" s="67" t="str">
        <f t="shared" si="24"/>
        <v>Kuala Kapuas, 17 Juni 2000</v>
      </c>
      <c r="D281" s="67" t="str">
        <f t="shared" si="25"/>
        <v>S1 - Teknik Industri</v>
      </c>
      <c r="E281" s="66">
        <f t="shared" si="26"/>
        <v>125</v>
      </c>
      <c r="F281" s="66" t="str">
        <f t="shared" si="27"/>
        <v>Baik Sekali</v>
      </c>
      <c r="G281" s="88"/>
      <c r="H281" s="88"/>
      <c r="I281" s="88"/>
      <c r="J281" s="88"/>
      <c r="K281" s="88"/>
      <c r="L281" s="88"/>
      <c r="M281" s="88"/>
      <c r="N281" s="88"/>
      <c r="O281" s="88"/>
      <c r="P281" s="88"/>
      <c r="Q281" s="88"/>
      <c r="R281" s="88"/>
      <c r="S281" s="88"/>
      <c r="T281" s="88"/>
      <c r="U281" s="88"/>
      <c r="V281" s="88"/>
      <c r="W281" s="88"/>
      <c r="X281" s="89"/>
      <c r="Y281" s="89"/>
      <c r="Z281" s="89"/>
      <c r="AA281" s="89"/>
      <c r="AB281" s="89"/>
      <c r="AC281" s="89"/>
      <c r="AD281" s="89"/>
      <c r="AE281" s="89"/>
      <c r="AF281" s="89"/>
      <c r="AG281" s="89"/>
      <c r="AH281" s="89"/>
      <c r="AI281" s="89"/>
      <c r="AJ281" s="89"/>
      <c r="AK281" s="65">
        <f t="shared" si="29"/>
        <v>0</v>
      </c>
      <c r="AL281" s="66" t="str">
        <f t="shared" si="28"/>
        <v>Tidak disarankan</v>
      </c>
      <c r="AM281" s="67" t="s">
        <v>235</v>
      </c>
      <c r="AN281" s="67" t="s">
        <v>235</v>
      </c>
      <c r="AO281" s="67" t="s">
        <v>235</v>
      </c>
      <c r="AP281" s="67" t="s">
        <v>236</v>
      </c>
      <c r="AQ281" s="67" t="s">
        <v>236</v>
      </c>
    </row>
    <row r="282" spans="1:43" ht="50" x14ac:dyDescent="0.35">
      <c r="A282" s="64">
        <v>280</v>
      </c>
      <c r="B282" s="67" t="s">
        <v>1136</v>
      </c>
      <c r="C282" s="67" t="str">
        <f t="shared" si="24"/>
        <v>Mandomai, 19 Februari 2000</v>
      </c>
      <c r="D282" s="67" t="str">
        <f t="shared" si="25"/>
        <v>D3 - Diii Keperawatan</v>
      </c>
      <c r="E282" s="66">
        <f t="shared" si="26"/>
        <v>126</v>
      </c>
      <c r="F282" s="66" t="str">
        <f t="shared" si="27"/>
        <v>Baik Sekali</v>
      </c>
      <c r="G282" s="88"/>
      <c r="H282" s="88"/>
      <c r="I282" s="88"/>
      <c r="J282" s="88"/>
      <c r="K282" s="88"/>
      <c r="L282" s="88"/>
      <c r="M282" s="88"/>
      <c r="N282" s="88"/>
      <c r="O282" s="88"/>
      <c r="P282" s="88"/>
      <c r="Q282" s="88"/>
      <c r="R282" s="88"/>
      <c r="S282" s="88"/>
      <c r="T282" s="88"/>
      <c r="U282" s="88"/>
      <c r="V282" s="88"/>
      <c r="W282" s="88"/>
      <c r="X282" s="89"/>
      <c r="Y282" s="89"/>
      <c r="Z282" s="89"/>
      <c r="AA282" s="89"/>
      <c r="AB282" s="89"/>
      <c r="AC282" s="89"/>
      <c r="AD282" s="89"/>
      <c r="AE282" s="89"/>
      <c r="AF282" s="89"/>
      <c r="AG282" s="89"/>
      <c r="AH282" s="89"/>
      <c r="AI282" s="89"/>
      <c r="AJ282" s="89"/>
      <c r="AK282" s="65">
        <f t="shared" si="29"/>
        <v>0</v>
      </c>
      <c r="AL282" s="66" t="str">
        <f t="shared" si="28"/>
        <v>Tidak disarankan</v>
      </c>
      <c r="AM282" s="67" t="s">
        <v>235</v>
      </c>
      <c r="AN282" s="67" t="s">
        <v>235</v>
      </c>
      <c r="AO282" s="67" t="s">
        <v>235</v>
      </c>
      <c r="AP282" s="67" t="s">
        <v>236</v>
      </c>
      <c r="AQ282" s="67" t="s">
        <v>236</v>
      </c>
    </row>
    <row r="283" spans="1:43" ht="50" x14ac:dyDescent="0.35">
      <c r="A283" s="64">
        <v>281</v>
      </c>
      <c r="B283" s="67" t="s">
        <v>1216</v>
      </c>
      <c r="C283" s="67" t="str">
        <f t="shared" si="24"/>
        <v>Palangka Raya, 21 Juni 1995</v>
      </c>
      <c r="D283" s="67" t="str">
        <f t="shared" si="25"/>
        <v>S1 - Bimbingan Konseling</v>
      </c>
      <c r="E283" s="66">
        <f t="shared" si="26"/>
        <v>113</v>
      </c>
      <c r="F283" s="66" t="str">
        <f t="shared" si="27"/>
        <v>Baik</v>
      </c>
      <c r="G283" s="88"/>
      <c r="H283" s="88"/>
      <c r="I283" s="88"/>
      <c r="J283" s="88"/>
      <c r="K283" s="88"/>
      <c r="L283" s="88"/>
      <c r="M283" s="88"/>
      <c r="N283" s="88"/>
      <c r="O283" s="88"/>
      <c r="P283" s="88"/>
      <c r="Q283" s="88"/>
      <c r="R283" s="88"/>
      <c r="S283" s="88"/>
      <c r="T283" s="88"/>
      <c r="U283" s="88"/>
      <c r="V283" s="88"/>
      <c r="W283" s="88"/>
      <c r="X283" s="89"/>
      <c r="Y283" s="89"/>
      <c r="Z283" s="89"/>
      <c r="AA283" s="89"/>
      <c r="AB283" s="89"/>
      <c r="AC283" s="89"/>
      <c r="AD283" s="89"/>
      <c r="AE283" s="89"/>
      <c r="AF283" s="89"/>
      <c r="AG283" s="89"/>
      <c r="AH283" s="89"/>
      <c r="AI283" s="89"/>
      <c r="AJ283" s="89"/>
      <c r="AK283" s="65">
        <f t="shared" si="29"/>
        <v>0</v>
      </c>
      <c r="AL283" s="66" t="str">
        <f t="shared" si="28"/>
        <v>Tidak disarankan</v>
      </c>
      <c r="AM283" s="67" t="s">
        <v>235</v>
      </c>
      <c r="AN283" s="67" t="s">
        <v>235</v>
      </c>
      <c r="AO283" s="67" t="s">
        <v>235</v>
      </c>
      <c r="AP283" s="67" t="s">
        <v>236</v>
      </c>
      <c r="AQ283" s="67" t="s">
        <v>236</v>
      </c>
    </row>
    <row r="284" spans="1:43" ht="50" x14ac:dyDescent="0.35">
      <c r="A284" s="64">
        <v>282</v>
      </c>
      <c r="B284" s="67" t="s">
        <v>1171</v>
      </c>
      <c r="C284" s="67" t="str">
        <f t="shared" si="24"/>
        <v>Palangka Raya, 09 Mei 1995</v>
      </c>
      <c r="D284" s="67" t="str">
        <f t="shared" si="25"/>
        <v>S1 - Akuntansi</v>
      </c>
      <c r="E284" s="66">
        <f t="shared" si="26"/>
        <v>111</v>
      </c>
      <c r="F284" s="66" t="str">
        <f t="shared" si="27"/>
        <v>Baik</v>
      </c>
      <c r="G284" s="88"/>
      <c r="H284" s="88"/>
      <c r="I284" s="88"/>
      <c r="J284" s="88"/>
      <c r="K284" s="88"/>
      <c r="L284" s="88"/>
      <c r="M284" s="88"/>
      <c r="N284" s="88"/>
      <c r="O284" s="88"/>
      <c r="P284" s="88"/>
      <c r="Q284" s="88"/>
      <c r="R284" s="88"/>
      <c r="S284" s="88"/>
      <c r="T284" s="88"/>
      <c r="U284" s="88"/>
      <c r="V284" s="88"/>
      <c r="W284" s="88"/>
      <c r="X284" s="89"/>
      <c r="Y284" s="89"/>
      <c r="Z284" s="89"/>
      <c r="AA284" s="89"/>
      <c r="AB284" s="89"/>
      <c r="AC284" s="89"/>
      <c r="AD284" s="89"/>
      <c r="AE284" s="89"/>
      <c r="AF284" s="89"/>
      <c r="AG284" s="89"/>
      <c r="AH284" s="89"/>
      <c r="AI284" s="89"/>
      <c r="AJ284" s="89"/>
      <c r="AK284" s="65">
        <f t="shared" si="29"/>
        <v>0</v>
      </c>
      <c r="AL284" s="66" t="str">
        <f t="shared" si="28"/>
        <v>Tidak disarankan</v>
      </c>
      <c r="AM284" s="67" t="s">
        <v>235</v>
      </c>
      <c r="AN284" s="67" t="s">
        <v>235</v>
      </c>
      <c r="AO284" s="67" t="s">
        <v>235</v>
      </c>
      <c r="AP284" s="67" t="s">
        <v>236</v>
      </c>
      <c r="AQ284" s="67" t="s">
        <v>236</v>
      </c>
    </row>
    <row r="285" spans="1:43" ht="50" x14ac:dyDescent="0.35">
      <c r="A285" s="64">
        <v>283</v>
      </c>
      <c r="B285" s="67" t="s">
        <v>303</v>
      </c>
      <c r="C285" s="67" t="str">
        <f t="shared" si="24"/>
        <v>Palangka Raya, 10 November 1996</v>
      </c>
      <c r="D285" s="67" t="str">
        <f t="shared" si="25"/>
        <v>S1 - Akuntansi</v>
      </c>
      <c r="E285" s="66">
        <f t="shared" si="26"/>
        <v>98</v>
      </c>
      <c r="F285" s="66" t="str">
        <f t="shared" si="27"/>
        <v>Rata-rata</v>
      </c>
      <c r="G285" s="88"/>
      <c r="H285" s="88"/>
      <c r="I285" s="88"/>
      <c r="J285" s="88"/>
      <c r="K285" s="88"/>
      <c r="L285" s="88"/>
      <c r="M285" s="88"/>
      <c r="N285" s="88"/>
      <c r="O285" s="88"/>
      <c r="P285" s="88"/>
      <c r="Q285" s="88"/>
      <c r="R285" s="88"/>
      <c r="S285" s="88"/>
      <c r="T285" s="88"/>
      <c r="U285" s="88"/>
      <c r="V285" s="88"/>
      <c r="W285" s="88"/>
      <c r="X285" s="89"/>
      <c r="Y285" s="89"/>
      <c r="Z285" s="89"/>
      <c r="AA285" s="89"/>
      <c r="AB285" s="89"/>
      <c r="AC285" s="89"/>
      <c r="AD285" s="89"/>
      <c r="AE285" s="89"/>
      <c r="AF285" s="89"/>
      <c r="AG285" s="89"/>
      <c r="AH285" s="89"/>
      <c r="AI285" s="89"/>
      <c r="AJ285" s="89"/>
      <c r="AK285" s="65">
        <f t="shared" si="29"/>
        <v>0</v>
      </c>
      <c r="AL285" s="66" t="str">
        <f t="shared" si="28"/>
        <v>Tidak disarankan</v>
      </c>
      <c r="AM285" s="67" t="s">
        <v>235</v>
      </c>
      <c r="AN285" s="67" t="s">
        <v>235</v>
      </c>
      <c r="AO285" s="67" t="s">
        <v>235</v>
      </c>
      <c r="AP285" s="67" t="s">
        <v>236</v>
      </c>
      <c r="AQ285" s="67" t="s">
        <v>236</v>
      </c>
    </row>
    <row r="286" spans="1:43" ht="50" x14ac:dyDescent="0.35">
      <c r="A286" s="64">
        <v>284</v>
      </c>
      <c r="B286" s="67" t="s">
        <v>679</v>
      </c>
      <c r="C286" s="67" t="str">
        <f t="shared" si="24"/>
        <v>Kapuas, 10 Oktober 2001</v>
      </c>
      <c r="D286" s="67" t="str">
        <f t="shared" si="25"/>
        <v>S1 - Ilmu Komunikasi</v>
      </c>
      <c r="E286" s="66">
        <f t="shared" si="26"/>
        <v>113</v>
      </c>
      <c r="F286" s="66" t="str">
        <f t="shared" si="27"/>
        <v>Baik</v>
      </c>
      <c r="G286" s="88"/>
      <c r="H286" s="88"/>
      <c r="I286" s="88"/>
      <c r="J286" s="88"/>
      <c r="K286" s="88"/>
      <c r="L286" s="88"/>
      <c r="M286" s="88"/>
      <c r="N286" s="88"/>
      <c r="O286" s="88"/>
      <c r="P286" s="88"/>
      <c r="Q286" s="88"/>
      <c r="R286" s="88"/>
      <c r="S286" s="88"/>
      <c r="T286" s="88"/>
      <c r="U286" s="88"/>
      <c r="V286" s="88"/>
      <c r="W286" s="88"/>
      <c r="X286" s="89"/>
      <c r="Y286" s="89"/>
      <c r="Z286" s="89"/>
      <c r="AA286" s="89"/>
      <c r="AB286" s="89"/>
      <c r="AC286" s="89"/>
      <c r="AD286" s="89"/>
      <c r="AE286" s="89"/>
      <c r="AF286" s="89"/>
      <c r="AG286" s="89"/>
      <c r="AH286" s="89"/>
      <c r="AI286" s="89"/>
      <c r="AJ286" s="89"/>
      <c r="AK286" s="65">
        <f t="shared" si="29"/>
        <v>0</v>
      </c>
      <c r="AL286" s="66" t="str">
        <f t="shared" si="28"/>
        <v>Tidak disarankan</v>
      </c>
      <c r="AM286" s="67" t="s">
        <v>235</v>
      </c>
      <c r="AN286" s="67" t="s">
        <v>235</v>
      </c>
      <c r="AO286" s="67" t="s">
        <v>235</v>
      </c>
      <c r="AP286" s="67" t="s">
        <v>236</v>
      </c>
      <c r="AQ286" s="67" t="s">
        <v>236</v>
      </c>
    </row>
    <row r="287" spans="1:43" ht="50" x14ac:dyDescent="0.35">
      <c r="A287" s="64">
        <v>285</v>
      </c>
      <c r="B287" s="67" t="s">
        <v>924</v>
      </c>
      <c r="C287" s="67" t="str">
        <f t="shared" si="24"/>
        <v>Pangkalanbun, 09 Februari 1995</v>
      </c>
      <c r="D287" s="67" t="str">
        <f t="shared" si="25"/>
        <v>S1 - Ekonomi Pembangunan</v>
      </c>
      <c r="E287" s="66">
        <f t="shared" si="26"/>
        <v>100</v>
      </c>
      <c r="F287" s="66" t="str">
        <f t="shared" si="27"/>
        <v>Rata-rata</v>
      </c>
      <c r="G287" s="88"/>
      <c r="H287" s="88"/>
      <c r="I287" s="88"/>
      <c r="J287" s="88"/>
      <c r="K287" s="88"/>
      <c r="L287" s="88"/>
      <c r="M287" s="88"/>
      <c r="N287" s="88"/>
      <c r="O287" s="88"/>
      <c r="P287" s="88"/>
      <c r="Q287" s="88"/>
      <c r="R287" s="88"/>
      <c r="S287" s="88"/>
      <c r="T287" s="88"/>
      <c r="U287" s="88"/>
      <c r="V287" s="88"/>
      <c r="W287" s="88"/>
      <c r="X287" s="89"/>
      <c r="Y287" s="89"/>
      <c r="Z287" s="89"/>
      <c r="AA287" s="89"/>
      <c r="AB287" s="89"/>
      <c r="AC287" s="89"/>
      <c r="AD287" s="89"/>
      <c r="AE287" s="89"/>
      <c r="AF287" s="89"/>
      <c r="AG287" s="89"/>
      <c r="AH287" s="89"/>
      <c r="AI287" s="89"/>
      <c r="AJ287" s="89"/>
      <c r="AK287" s="65">
        <f t="shared" si="29"/>
        <v>0</v>
      </c>
      <c r="AL287" s="66" t="str">
        <f t="shared" si="28"/>
        <v>Tidak disarankan</v>
      </c>
      <c r="AM287" s="67" t="s">
        <v>235</v>
      </c>
      <c r="AN287" s="67" t="s">
        <v>235</v>
      </c>
      <c r="AO287" s="67" t="s">
        <v>235</v>
      </c>
      <c r="AP287" s="67" t="s">
        <v>236</v>
      </c>
      <c r="AQ287" s="67" t="s">
        <v>236</v>
      </c>
    </row>
    <row r="288" spans="1:43" ht="50" x14ac:dyDescent="0.35">
      <c r="A288" s="64">
        <v>286</v>
      </c>
      <c r="B288" s="67" t="s">
        <v>1033</v>
      </c>
      <c r="C288" s="67" t="str">
        <f t="shared" si="24"/>
        <v>Kotawaringin Timur, 29 Januari 2001</v>
      </c>
      <c r="D288" s="67" t="str">
        <f t="shared" si="25"/>
        <v>S1 - Ekonomi Pembangunan</v>
      </c>
      <c r="E288" s="66">
        <f t="shared" si="26"/>
        <v>116</v>
      </c>
      <c r="F288" s="66" t="str">
        <f t="shared" si="27"/>
        <v>Baik</v>
      </c>
      <c r="G288" s="88"/>
      <c r="H288" s="88"/>
      <c r="I288" s="88"/>
      <c r="J288" s="88"/>
      <c r="K288" s="88"/>
      <c r="L288" s="88"/>
      <c r="M288" s="88"/>
      <c r="N288" s="88"/>
      <c r="O288" s="88"/>
      <c r="P288" s="88"/>
      <c r="Q288" s="88"/>
      <c r="R288" s="88"/>
      <c r="S288" s="88"/>
      <c r="T288" s="88"/>
      <c r="U288" s="88"/>
      <c r="V288" s="88"/>
      <c r="W288" s="88"/>
      <c r="X288" s="89"/>
      <c r="Y288" s="89"/>
      <c r="Z288" s="89"/>
      <c r="AA288" s="89"/>
      <c r="AB288" s="89"/>
      <c r="AC288" s="89"/>
      <c r="AD288" s="89"/>
      <c r="AE288" s="89"/>
      <c r="AF288" s="89"/>
      <c r="AG288" s="89"/>
      <c r="AH288" s="89"/>
      <c r="AI288" s="89"/>
      <c r="AJ288" s="89"/>
      <c r="AK288" s="65">
        <f t="shared" si="29"/>
        <v>0</v>
      </c>
      <c r="AL288" s="66" t="str">
        <f t="shared" si="28"/>
        <v>Tidak disarankan</v>
      </c>
      <c r="AM288" s="67" t="s">
        <v>235</v>
      </c>
      <c r="AN288" s="67" t="s">
        <v>235</v>
      </c>
      <c r="AO288" s="67" t="s">
        <v>235</v>
      </c>
      <c r="AP288" s="67" t="s">
        <v>236</v>
      </c>
      <c r="AQ288" s="67" t="s">
        <v>236</v>
      </c>
    </row>
    <row r="289" spans="1:43" ht="50" x14ac:dyDescent="0.35">
      <c r="A289" s="64">
        <v>287</v>
      </c>
      <c r="B289" s="67" t="s">
        <v>672</v>
      </c>
      <c r="C289" s="67" t="str">
        <f t="shared" si="24"/>
        <v>Tangerang, 09 Oktober 1995</v>
      </c>
      <c r="D289" s="67" t="str">
        <f t="shared" si="25"/>
        <v>S1 - Agribisnis</v>
      </c>
      <c r="E289" s="66">
        <f t="shared" si="26"/>
        <v>103</v>
      </c>
      <c r="F289" s="66" t="str">
        <f t="shared" si="27"/>
        <v>Rata-rata</v>
      </c>
      <c r="G289" s="88"/>
      <c r="H289" s="88"/>
      <c r="I289" s="88"/>
      <c r="J289" s="88"/>
      <c r="K289" s="88"/>
      <c r="L289" s="88"/>
      <c r="M289" s="88"/>
      <c r="N289" s="88"/>
      <c r="O289" s="88"/>
      <c r="P289" s="88"/>
      <c r="Q289" s="88"/>
      <c r="R289" s="88"/>
      <c r="S289" s="88"/>
      <c r="T289" s="88"/>
      <c r="U289" s="88"/>
      <c r="V289" s="88"/>
      <c r="W289" s="88"/>
      <c r="X289" s="89"/>
      <c r="Y289" s="89"/>
      <c r="Z289" s="89"/>
      <c r="AA289" s="89"/>
      <c r="AB289" s="89"/>
      <c r="AC289" s="89"/>
      <c r="AD289" s="89"/>
      <c r="AE289" s="89"/>
      <c r="AF289" s="89"/>
      <c r="AG289" s="89"/>
      <c r="AH289" s="89"/>
      <c r="AI289" s="89"/>
      <c r="AJ289" s="89"/>
      <c r="AK289" s="65">
        <f t="shared" si="29"/>
        <v>0</v>
      </c>
      <c r="AL289" s="66" t="str">
        <f t="shared" si="28"/>
        <v>Tidak disarankan</v>
      </c>
      <c r="AM289" s="67" t="s">
        <v>235</v>
      </c>
      <c r="AN289" s="67" t="s">
        <v>235</v>
      </c>
      <c r="AO289" s="67" t="s">
        <v>235</v>
      </c>
      <c r="AP289" s="67" t="s">
        <v>236</v>
      </c>
      <c r="AQ289" s="67" t="s">
        <v>236</v>
      </c>
    </row>
    <row r="290" spans="1:43" ht="50" x14ac:dyDescent="0.35">
      <c r="A290" s="64">
        <v>288</v>
      </c>
      <c r="B290" s="67" t="s">
        <v>1138</v>
      </c>
      <c r="C290" s="67" t="str">
        <f t="shared" si="24"/>
        <v>Pangkalan Bun, 14 Oktober 1997</v>
      </c>
      <c r="D290" s="67" t="str">
        <f t="shared" si="25"/>
        <v>S1 - Manajemen</v>
      </c>
      <c r="E290" s="66">
        <f t="shared" si="26"/>
        <v>100</v>
      </c>
      <c r="F290" s="66" t="str">
        <f t="shared" si="27"/>
        <v>Rata-rata</v>
      </c>
      <c r="G290" s="88"/>
      <c r="H290" s="88"/>
      <c r="I290" s="88"/>
      <c r="J290" s="88"/>
      <c r="K290" s="88"/>
      <c r="L290" s="88"/>
      <c r="M290" s="88"/>
      <c r="N290" s="88"/>
      <c r="O290" s="88"/>
      <c r="P290" s="88"/>
      <c r="Q290" s="88"/>
      <c r="R290" s="88"/>
      <c r="S290" s="88"/>
      <c r="T290" s="88"/>
      <c r="U290" s="88"/>
      <c r="V290" s="88"/>
      <c r="W290" s="88"/>
      <c r="X290" s="89"/>
      <c r="Y290" s="89"/>
      <c r="Z290" s="89"/>
      <c r="AA290" s="89"/>
      <c r="AB290" s="89"/>
      <c r="AC290" s="89"/>
      <c r="AD290" s="89"/>
      <c r="AE290" s="89"/>
      <c r="AF290" s="89"/>
      <c r="AG290" s="89"/>
      <c r="AH290" s="89"/>
      <c r="AI290" s="89"/>
      <c r="AJ290" s="89"/>
      <c r="AK290" s="65">
        <f t="shared" si="29"/>
        <v>0</v>
      </c>
      <c r="AL290" s="66" t="str">
        <f t="shared" si="28"/>
        <v>Tidak disarankan</v>
      </c>
      <c r="AM290" s="67" t="s">
        <v>235</v>
      </c>
      <c r="AN290" s="67" t="s">
        <v>235</v>
      </c>
      <c r="AO290" s="67" t="s">
        <v>235</v>
      </c>
      <c r="AP290" s="67" t="s">
        <v>236</v>
      </c>
      <c r="AQ290" s="67" t="s">
        <v>236</v>
      </c>
    </row>
    <row r="291" spans="1:43" ht="50" x14ac:dyDescent="0.35">
      <c r="A291" s="64">
        <v>289</v>
      </c>
      <c r="B291" s="67" t="s">
        <v>340</v>
      </c>
      <c r="C291" s="67" t="str">
        <f t="shared" si="24"/>
        <v>Palangka Raya, 01 Februari 1996</v>
      </c>
      <c r="D291" s="67" t="str">
        <f t="shared" si="25"/>
        <v>S2 - Teknik Sipil</v>
      </c>
      <c r="E291" s="66">
        <f t="shared" si="26"/>
        <v>125</v>
      </c>
      <c r="F291" s="66" t="str">
        <f t="shared" si="27"/>
        <v>Baik Sekali</v>
      </c>
      <c r="G291" s="88"/>
      <c r="H291" s="88"/>
      <c r="I291" s="88"/>
      <c r="J291" s="88"/>
      <c r="K291" s="88"/>
      <c r="L291" s="88"/>
      <c r="M291" s="88"/>
      <c r="N291" s="88"/>
      <c r="O291" s="88"/>
      <c r="P291" s="88"/>
      <c r="Q291" s="88"/>
      <c r="R291" s="88"/>
      <c r="S291" s="88"/>
      <c r="T291" s="88"/>
      <c r="U291" s="88"/>
      <c r="V291" s="88"/>
      <c r="W291" s="88"/>
      <c r="X291" s="89"/>
      <c r="Y291" s="89"/>
      <c r="Z291" s="89"/>
      <c r="AA291" s="89"/>
      <c r="AB291" s="89"/>
      <c r="AC291" s="89"/>
      <c r="AD291" s="89"/>
      <c r="AE291" s="89"/>
      <c r="AF291" s="89"/>
      <c r="AG291" s="89"/>
      <c r="AH291" s="89"/>
      <c r="AI291" s="89"/>
      <c r="AJ291" s="89"/>
      <c r="AK291" s="65">
        <f t="shared" si="29"/>
        <v>0</v>
      </c>
      <c r="AL291" s="66" t="str">
        <f t="shared" si="28"/>
        <v>Tidak disarankan</v>
      </c>
      <c r="AM291" s="67" t="s">
        <v>235</v>
      </c>
      <c r="AN291" s="67" t="s">
        <v>235</v>
      </c>
      <c r="AO291" s="67" t="s">
        <v>235</v>
      </c>
      <c r="AP291" s="67" t="s">
        <v>236</v>
      </c>
      <c r="AQ291" s="67" t="s">
        <v>236</v>
      </c>
    </row>
    <row r="292" spans="1:43" ht="50" x14ac:dyDescent="0.35">
      <c r="A292" s="64">
        <v>290</v>
      </c>
      <c r="B292" s="67" t="s">
        <v>654</v>
      </c>
      <c r="C292" s="67" t="str">
        <f t="shared" si="24"/>
        <v>Kuala Kapuas, 21 Desember 2000</v>
      </c>
      <c r="D292" s="67" t="str">
        <f t="shared" si="25"/>
        <v>S1 - Arsitektur</v>
      </c>
      <c r="E292" s="66">
        <f t="shared" si="26"/>
        <v>123</v>
      </c>
      <c r="F292" s="66" t="str">
        <f t="shared" si="27"/>
        <v>Baik Sekali</v>
      </c>
      <c r="G292" s="88"/>
      <c r="H292" s="88"/>
      <c r="I292" s="88"/>
      <c r="J292" s="88"/>
      <c r="K292" s="88"/>
      <c r="L292" s="88"/>
      <c r="M292" s="88"/>
      <c r="N292" s="88"/>
      <c r="O292" s="88"/>
      <c r="P292" s="88"/>
      <c r="Q292" s="88"/>
      <c r="R292" s="88"/>
      <c r="S292" s="88"/>
      <c r="T292" s="88"/>
      <c r="U292" s="88"/>
      <c r="V292" s="88"/>
      <c r="W292" s="88"/>
      <c r="X292" s="89"/>
      <c r="Y292" s="89"/>
      <c r="Z292" s="89"/>
      <c r="AA292" s="89"/>
      <c r="AB292" s="89"/>
      <c r="AC292" s="89"/>
      <c r="AD292" s="89"/>
      <c r="AE292" s="89"/>
      <c r="AF292" s="89"/>
      <c r="AG292" s="89"/>
      <c r="AH292" s="89"/>
      <c r="AI292" s="89"/>
      <c r="AJ292" s="89"/>
      <c r="AK292" s="65">
        <f t="shared" si="29"/>
        <v>0</v>
      </c>
      <c r="AL292" s="66" t="str">
        <f t="shared" si="28"/>
        <v>Tidak disarankan</v>
      </c>
      <c r="AM292" s="67" t="s">
        <v>235</v>
      </c>
      <c r="AN292" s="67" t="s">
        <v>235</v>
      </c>
      <c r="AO292" s="67" t="s">
        <v>235</v>
      </c>
      <c r="AP292" s="67" t="s">
        <v>236</v>
      </c>
      <c r="AQ292" s="67" t="s">
        <v>236</v>
      </c>
    </row>
    <row r="293" spans="1:43" ht="50" x14ac:dyDescent="0.35">
      <c r="A293" s="64">
        <v>291</v>
      </c>
      <c r="B293" s="67" t="s">
        <v>1194</v>
      </c>
      <c r="C293" s="67" t="str">
        <f t="shared" si="24"/>
        <v>Palangka Raya, 01 Mei 1997</v>
      </c>
      <c r="D293" s="67" t="str">
        <f t="shared" si="25"/>
        <v>S1 - Ekonomi Syariah</v>
      </c>
      <c r="E293" s="66">
        <f t="shared" si="26"/>
        <v>111</v>
      </c>
      <c r="F293" s="66" t="str">
        <f t="shared" si="27"/>
        <v>Baik</v>
      </c>
      <c r="G293" s="88"/>
      <c r="H293" s="88"/>
      <c r="I293" s="88"/>
      <c r="J293" s="88"/>
      <c r="K293" s="88"/>
      <c r="L293" s="88"/>
      <c r="M293" s="88"/>
      <c r="N293" s="88"/>
      <c r="O293" s="88"/>
      <c r="P293" s="88"/>
      <c r="Q293" s="88"/>
      <c r="R293" s="88"/>
      <c r="S293" s="88"/>
      <c r="T293" s="88"/>
      <c r="U293" s="88"/>
      <c r="V293" s="88"/>
      <c r="W293" s="88"/>
      <c r="X293" s="89"/>
      <c r="Y293" s="89"/>
      <c r="Z293" s="89"/>
      <c r="AA293" s="89"/>
      <c r="AB293" s="89"/>
      <c r="AC293" s="89"/>
      <c r="AD293" s="89"/>
      <c r="AE293" s="89"/>
      <c r="AF293" s="89"/>
      <c r="AG293" s="89"/>
      <c r="AH293" s="89"/>
      <c r="AI293" s="89"/>
      <c r="AJ293" s="89"/>
      <c r="AK293" s="65">
        <f t="shared" si="29"/>
        <v>0</v>
      </c>
      <c r="AL293" s="66" t="str">
        <f t="shared" si="28"/>
        <v>Tidak disarankan</v>
      </c>
      <c r="AM293" s="67" t="s">
        <v>235</v>
      </c>
      <c r="AN293" s="67" t="s">
        <v>235</v>
      </c>
      <c r="AO293" s="67" t="s">
        <v>235</v>
      </c>
      <c r="AP293" s="67" t="s">
        <v>236</v>
      </c>
      <c r="AQ293" s="67" t="s">
        <v>236</v>
      </c>
    </row>
    <row r="294" spans="1:43" ht="50" x14ac:dyDescent="0.35">
      <c r="A294" s="64">
        <v>292</v>
      </c>
      <c r="B294" s="67" t="s">
        <v>1196</v>
      </c>
      <c r="C294" s="67" t="str">
        <f t="shared" si="24"/>
        <v>Palangka Raya, 06 Januari 1999</v>
      </c>
      <c r="D294" s="67" t="str">
        <f t="shared" si="25"/>
        <v>S1 - Teknik Informatika</v>
      </c>
      <c r="E294" s="66">
        <f t="shared" si="26"/>
        <v>110</v>
      </c>
      <c r="F294" s="66" t="str">
        <f t="shared" si="27"/>
        <v>Baik</v>
      </c>
      <c r="G294" s="88"/>
      <c r="H294" s="88"/>
      <c r="I294" s="88"/>
      <c r="J294" s="88"/>
      <c r="K294" s="88"/>
      <c r="L294" s="88"/>
      <c r="M294" s="88"/>
      <c r="N294" s="88"/>
      <c r="O294" s="88"/>
      <c r="P294" s="88"/>
      <c r="Q294" s="88"/>
      <c r="R294" s="88"/>
      <c r="S294" s="88"/>
      <c r="T294" s="88"/>
      <c r="U294" s="88"/>
      <c r="V294" s="88"/>
      <c r="W294" s="88"/>
      <c r="X294" s="89"/>
      <c r="Y294" s="89"/>
      <c r="Z294" s="89"/>
      <c r="AA294" s="89"/>
      <c r="AB294" s="89"/>
      <c r="AC294" s="89"/>
      <c r="AD294" s="89"/>
      <c r="AE294" s="89"/>
      <c r="AF294" s="89"/>
      <c r="AG294" s="89"/>
      <c r="AH294" s="89"/>
      <c r="AI294" s="89"/>
      <c r="AJ294" s="89"/>
      <c r="AK294" s="65">
        <f t="shared" si="29"/>
        <v>0</v>
      </c>
      <c r="AL294" s="66" t="str">
        <f t="shared" si="28"/>
        <v>Tidak disarankan</v>
      </c>
      <c r="AM294" s="67" t="s">
        <v>235</v>
      </c>
      <c r="AN294" s="67" t="s">
        <v>235</v>
      </c>
      <c r="AO294" s="67" t="s">
        <v>235</v>
      </c>
      <c r="AP294" s="67" t="s">
        <v>236</v>
      </c>
      <c r="AQ294" s="67" t="s">
        <v>236</v>
      </c>
    </row>
    <row r="295" spans="1:43" ht="50" x14ac:dyDescent="0.35">
      <c r="A295" s="64">
        <v>293</v>
      </c>
      <c r="B295" s="67" t="s">
        <v>309</v>
      </c>
      <c r="C295" s="67" t="str">
        <f t="shared" si="24"/>
        <v>Palangka Raya, 18 November 1998</v>
      </c>
      <c r="D295" s="67" t="str">
        <f t="shared" si="25"/>
        <v>S1 - Akuntansi</v>
      </c>
      <c r="E295" s="66">
        <f t="shared" si="26"/>
        <v>120</v>
      </c>
      <c r="F295" s="66" t="str">
        <f t="shared" si="27"/>
        <v>Baik Sekali</v>
      </c>
      <c r="G295" s="88"/>
      <c r="H295" s="88"/>
      <c r="I295" s="88"/>
      <c r="J295" s="88"/>
      <c r="K295" s="88"/>
      <c r="L295" s="88"/>
      <c r="M295" s="88"/>
      <c r="N295" s="88"/>
      <c r="O295" s="88"/>
      <c r="P295" s="88"/>
      <c r="Q295" s="88"/>
      <c r="R295" s="88"/>
      <c r="S295" s="88"/>
      <c r="T295" s="88"/>
      <c r="U295" s="88"/>
      <c r="V295" s="88"/>
      <c r="W295" s="88"/>
      <c r="X295" s="89"/>
      <c r="Y295" s="89"/>
      <c r="Z295" s="89"/>
      <c r="AA295" s="89"/>
      <c r="AB295" s="89"/>
      <c r="AC295" s="89"/>
      <c r="AD295" s="89"/>
      <c r="AE295" s="89"/>
      <c r="AF295" s="89"/>
      <c r="AG295" s="89"/>
      <c r="AH295" s="89"/>
      <c r="AI295" s="89"/>
      <c r="AJ295" s="89"/>
      <c r="AK295" s="65">
        <f t="shared" si="29"/>
        <v>0</v>
      </c>
      <c r="AL295" s="66" t="str">
        <f t="shared" si="28"/>
        <v>Tidak disarankan</v>
      </c>
      <c r="AM295" s="67" t="s">
        <v>235</v>
      </c>
      <c r="AN295" s="67" t="s">
        <v>235</v>
      </c>
      <c r="AO295" s="67" t="s">
        <v>235</v>
      </c>
      <c r="AP295" s="67" t="s">
        <v>236</v>
      </c>
      <c r="AQ295" s="67" t="s">
        <v>236</v>
      </c>
    </row>
    <row r="296" spans="1:43" ht="50" x14ac:dyDescent="0.35">
      <c r="A296" s="64">
        <v>294</v>
      </c>
      <c r="B296" s="67" t="s">
        <v>707</v>
      </c>
      <c r="C296" s="67" t="str">
        <f t="shared" si="24"/>
        <v>Kuala Kapuas, 08 Juli 2000</v>
      </c>
      <c r="D296" s="67" t="str">
        <f t="shared" si="25"/>
        <v>D3 - Diii Keperawatan</v>
      </c>
      <c r="E296" s="66">
        <f t="shared" si="26"/>
        <v>126</v>
      </c>
      <c r="F296" s="66" t="str">
        <f t="shared" si="27"/>
        <v>Baik Sekali</v>
      </c>
      <c r="G296" s="88"/>
      <c r="H296" s="88"/>
      <c r="I296" s="88"/>
      <c r="J296" s="88"/>
      <c r="K296" s="88"/>
      <c r="L296" s="88"/>
      <c r="M296" s="88"/>
      <c r="N296" s="88"/>
      <c r="O296" s="88"/>
      <c r="P296" s="88"/>
      <c r="Q296" s="88"/>
      <c r="R296" s="88"/>
      <c r="S296" s="88"/>
      <c r="T296" s="88"/>
      <c r="U296" s="88"/>
      <c r="V296" s="88"/>
      <c r="W296" s="88"/>
      <c r="X296" s="89"/>
      <c r="Y296" s="89"/>
      <c r="Z296" s="89"/>
      <c r="AA296" s="89"/>
      <c r="AB296" s="89"/>
      <c r="AC296" s="89"/>
      <c r="AD296" s="89"/>
      <c r="AE296" s="89"/>
      <c r="AF296" s="89"/>
      <c r="AG296" s="89"/>
      <c r="AH296" s="89"/>
      <c r="AI296" s="89"/>
      <c r="AJ296" s="89"/>
      <c r="AK296" s="65">
        <f t="shared" si="29"/>
        <v>0</v>
      </c>
      <c r="AL296" s="66" t="str">
        <f t="shared" si="28"/>
        <v>Tidak disarankan</v>
      </c>
      <c r="AM296" s="67" t="s">
        <v>235</v>
      </c>
      <c r="AN296" s="67" t="s">
        <v>235</v>
      </c>
      <c r="AO296" s="67" t="s">
        <v>235</v>
      </c>
      <c r="AP296" s="67" t="s">
        <v>236</v>
      </c>
      <c r="AQ296" s="67" t="s">
        <v>236</v>
      </c>
    </row>
    <row r="297" spans="1:43" ht="50" x14ac:dyDescent="0.35">
      <c r="A297" s="64">
        <v>295</v>
      </c>
      <c r="B297" s="67" t="s">
        <v>292</v>
      </c>
      <c r="C297" s="67" t="str">
        <f t="shared" si="24"/>
        <v>Tumbang Lahang, 15 Oktober 1998</v>
      </c>
      <c r="D297" s="67" t="str">
        <f t="shared" si="25"/>
        <v>S1 - Ilmu Administrasi Negara</v>
      </c>
      <c r="E297" s="66">
        <f t="shared" si="26"/>
        <v>116</v>
      </c>
      <c r="F297" s="66" t="str">
        <f t="shared" si="27"/>
        <v>Baik</v>
      </c>
      <c r="G297" s="88"/>
      <c r="H297" s="88"/>
      <c r="I297" s="88"/>
      <c r="J297" s="88"/>
      <c r="K297" s="88"/>
      <c r="L297" s="88"/>
      <c r="M297" s="88"/>
      <c r="N297" s="88"/>
      <c r="O297" s="88"/>
      <c r="P297" s="88"/>
      <c r="Q297" s="88"/>
      <c r="R297" s="88"/>
      <c r="S297" s="88"/>
      <c r="T297" s="88"/>
      <c r="U297" s="88"/>
      <c r="V297" s="88"/>
      <c r="W297" s="88"/>
      <c r="X297" s="89"/>
      <c r="Y297" s="89"/>
      <c r="Z297" s="89"/>
      <c r="AA297" s="89"/>
      <c r="AB297" s="89"/>
      <c r="AC297" s="89"/>
      <c r="AD297" s="89"/>
      <c r="AE297" s="89"/>
      <c r="AF297" s="89"/>
      <c r="AG297" s="89"/>
      <c r="AH297" s="89"/>
      <c r="AI297" s="89"/>
      <c r="AJ297" s="89"/>
      <c r="AK297" s="65">
        <f t="shared" si="29"/>
        <v>0</v>
      </c>
      <c r="AL297" s="66" t="str">
        <f t="shared" si="28"/>
        <v>Tidak disarankan</v>
      </c>
      <c r="AM297" s="67" t="s">
        <v>235</v>
      </c>
      <c r="AN297" s="67" t="s">
        <v>235</v>
      </c>
      <c r="AO297" s="67" t="s">
        <v>235</v>
      </c>
      <c r="AP297" s="67" t="s">
        <v>236</v>
      </c>
      <c r="AQ297" s="67" t="s">
        <v>236</v>
      </c>
    </row>
    <row r="298" spans="1:43" ht="50" x14ac:dyDescent="0.35">
      <c r="A298" s="64">
        <v>296</v>
      </c>
      <c r="B298" s="67" t="s">
        <v>1052</v>
      </c>
      <c r="C298" s="67" t="str">
        <f t="shared" si="24"/>
        <v>Pembuang Hulu, 04 Februari 1995</v>
      </c>
      <c r="D298" s="67" t="str">
        <f t="shared" si="25"/>
        <v>S1 - Pendidikan</v>
      </c>
      <c r="E298" s="66">
        <f t="shared" si="26"/>
        <v>103</v>
      </c>
      <c r="F298" s="66" t="str">
        <f t="shared" si="27"/>
        <v>Rata-rata</v>
      </c>
      <c r="G298" s="88"/>
      <c r="H298" s="88"/>
      <c r="I298" s="88"/>
      <c r="J298" s="88"/>
      <c r="K298" s="88"/>
      <c r="L298" s="88"/>
      <c r="M298" s="88"/>
      <c r="N298" s="88"/>
      <c r="O298" s="88"/>
      <c r="P298" s="88"/>
      <c r="Q298" s="88"/>
      <c r="R298" s="88"/>
      <c r="S298" s="88"/>
      <c r="T298" s="88"/>
      <c r="U298" s="88"/>
      <c r="V298" s="88"/>
      <c r="W298" s="88"/>
      <c r="X298" s="89"/>
      <c r="Y298" s="89"/>
      <c r="Z298" s="89"/>
      <c r="AA298" s="89"/>
      <c r="AB298" s="89"/>
      <c r="AC298" s="89"/>
      <c r="AD298" s="89"/>
      <c r="AE298" s="89"/>
      <c r="AF298" s="89"/>
      <c r="AG298" s="89"/>
      <c r="AH298" s="89"/>
      <c r="AI298" s="89"/>
      <c r="AJ298" s="89"/>
      <c r="AK298" s="65">
        <f t="shared" si="29"/>
        <v>0</v>
      </c>
      <c r="AL298" s="66" t="str">
        <f t="shared" si="28"/>
        <v>Tidak disarankan</v>
      </c>
      <c r="AM298" s="67" t="s">
        <v>235</v>
      </c>
      <c r="AN298" s="67" t="s">
        <v>235</v>
      </c>
      <c r="AO298" s="67" t="s">
        <v>235</v>
      </c>
      <c r="AP298" s="67" t="s">
        <v>236</v>
      </c>
      <c r="AQ298" s="67" t="s">
        <v>236</v>
      </c>
    </row>
    <row r="299" spans="1:43" ht="50" x14ac:dyDescent="0.35">
      <c r="A299" s="64">
        <v>297</v>
      </c>
      <c r="B299" s="67" t="s">
        <v>1140</v>
      </c>
      <c r="C299" s="67" t="str">
        <f t="shared" si="24"/>
        <v>Kanamit, 03 April 1999</v>
      </c>
      <c r="D299" s="67" t="str">
        <f t="shared" si="25"/>
        <v>S1 - Akuntansi</v>
      </c>
      <c r="E299" s="66">
        <f t="shared" si="26"/>
        <v>125</v>
      </c>
      <c r="F299" s="66" t="str">
        <f t="shared" si="27"/>
        <v>Baik Sekali</v>
      </c>
      <c r="G299" s="88"/>
      <c r="H299" s="88"/>
      <c r="I299" s="88"/>
      <c r="J299" s="88"/>
      <c r="K299" s="88"/>
      <c r="L299" s="88"/>
      <c r="M299" s="88"/>
      <c r="N299" s="88"/>
      <c r="O299" s="88"/>
      <c r="P299" s="88"/>
      <c r="Q299" s="88"/>
      <c r="R299" s="88"/>
      <c r="S299" s="88"/>
      <c r="T299" s="88"/>
      <c r="U299" s="88"/>
      <c r="V299" s="88"/>
      <c r="W299" s="88"/>
      <c r="X299" s="89"/>
      <c r="Y299" s="89"/>
      <c r="Z299" s="89"/>
      <c r="AA299" s="89"/>
      <c r="AB299" s="89"/>
      <c r="AC299" s="89"/>
      <c r="AD299" s="89"/>
      <c r="AE299" s="89"/>
      <c r="AF299" s="89"/>
      <c r="AG299" s="89"/>
      <c r="AH299" s="89"/>
      <c r="AI299" s="89"/>
      <c r="AJ299" s="89"/>
      <c r="AK299" s="65">
        <f t="shared" si="29"/>
        <v>0</v>
      </c>
      <c r="AL299" s="66" t="str">
        <f t="shared" si="28"/>
        <v>Tidak disarankan</v>
      </c>
      <c r="AM299" s="67" t="s">
        <v>235</v>
      </c>
      <c r="AN299" s="67" t="s">
        <v>235</v>
      </c>
      <c r="AO299" s="67" t="s">
        <v>235</v>
      </c>
      <c r="AP299" s="67" t="s">
        <v>236</v>
      </c>
      <c r="AQ299" s="67" t="s">
        <v>236</v>
      </c>
    </row>
    <row r="300" spans="1:43" ht="50" x14ac:dyDescent="0.35">
      <c r="A300" s="64">
        <v>298</v>
      </c>
      <c r="B300" s="67" t="s">
        <v>1010</v>
      </c>
      <c r="C300" s="67" t="str">
        <f t="shared" si="24"/>
        <v>Tumbang Jutuh , 14 Januari 1996</v>
      </c>
      <c r="D300" s="67" t="str">
        <f t="shared" si="25"/>
        <v>S1 - Pendidikan Bahasa Inggris</v>
      </c>
      <c r="E300" s="66">
        <f t="shared" si="26"/>
        <v>111</v>
      </c>
      <c r="F300" s="66" t="str">
        <f t="shared" si="27"/>
        <v>Baik</v>
      </c>
      <c r="G300" s="88"/>
      <c r="H300" s="88"/>
      <c r="I300" s="88"/>
      <c r="J300" s="88"/>
      <c r="K300" s="88"/>
      <c r="L300" s="88"/>
      <c r="M300" s="88"/>
      <c r="N300" s="88"/>
      <c r="O300" s="88"/>
      <c r="P300" s="88"/>
      <c r="Q300" s="88"/>
      <c r="R300" s="88"/>
      <c r="S300" s="88"/>
      <c r="T300" s="88"/>
      <c r="U300" s="88"/>
      <c r="V300" s="88"/>
      <c r="W300" s="88"/>
      <c r="X300" s="89"/>
      <c r="Y300" s="89"/>
      <c r="Z300" s="89"/>
      <c r="AA300" s="89"/>
      <c r="AB300" s="89"/>
      <c r="AC300" s="89"/>
      <c r="AD300" s="89"/>
      <c r="AE300" s="89"/>
      <c r="AF300" s="89"/>
      <c r="AG300" s="89"/>
      <c r="AH300" s="89"/>
      <c r="AI300" s="89"/>
      <c r="AJ300" s="89"/>
      <c r="AK300" s="65">
        <f t="shared" si="29"/>
        <v>0</v>
      </c>
      <c r="AL300" s="66" t="str">
        <f t="shared" si="28"/>
        <v>Tidak disarankan</v>
      </c>
      <c r="AM300" s="67" t="s">
        <v>235</v>
      </c>
      <c r="AN300" s="67" t="s">
        <v>235</v>
      </c>
      <c r="AO300" s="67" t="s">
        <v>235</v>
      </c>
      <c r="AP300" s="67" t="s">
        <v>236</v>
      </c>
      <c r="AQ300" s="67" t="s">
        <v>236</v>
      </c>
    </row>
    <row r="301" spans="1:43" ht="50" x14ac:dyDescent="0.35">
      <c r="A301" s="64">
        <v>299</v>
      </c>
      <c r="B301" s="67" t="s">
        <v>1180</v>
      </c>
      <c r="C301" s="67" t="str">
        <f t="shared" si="24"/>
        <v>Palangka Raya, 17 Desember 1995</v>
      </c>
      <c r="D301" s="67" t="str">
        <f t="shared" si="25"/>
        <v>S1 - Pendidikan Bahasa Inggris</v>
      </c>
      <c r="E301" s="66">
        <f t="shared" si="26"/>
        <v>100</v>
      </c>
      <c r="F301" s="66" t="str">
        <f t="shared" si="27"/>
        <v>Rata-rata</v>
      </c>
      <c r="G301" s="88"/>
      <c r="H301" s="88"/>
      <c r="I301" s="88"/>
      <c r="J301" s="88"/>
      <c r="K301" s="88"/>
      <c r="L301" s="88"/>
      <c r="M301" s="88"/>
      <c r="N301" s="88"/>
      <c r="O301" s="88"/>
      <c r="P301" s="88"/>
      <c r="Q301" s="88"/>
      <c r="R301" s="88"/>
      <c r="S301" s="88"/>
      <c r="T301" s="88"/>
      <c r="U301" s="88"/>
      <c r="V301" s="88"/>
      <c r="W301" s="88"/>
      <c r="X301" s="89"/>
      <c r="Y301" s="89"/>
      <c r="Z301" s="89"/>
      <c r="AA301" s="89"/>
      <c r="AB301" s="89"/>
      <c r="AC301" s="89"/>
      <c r="AD301" s="89"/>
      <c r="AE301" s="89"/>
      <c r="AF301" s="89"/>
      <c r="AG301" s="89"/>
      <c r="AH301" s="89"/>
      <c r="AI301" s="89"/>
      <c r="AJ301" s="89"/>
      <c r="AK301" s="65">
        <f t="shared" si="29"/>
        <v>0</v>
      </c>
      <c r="AL301" s="66" t="str">
        <f t="shared" si="28"/>
        <v>Tidak disarankan</v>
      </c>
      <c r="AM301" s="67" t="s">
        <v>235</v>
      </c>
      <c r="AN301" s="67" t="s">
        <v>235</v>
      </c>
      <c r="AO301" s="67" t="s">
        <v>235</v>
      </c>
      <c r="AP301" s="67" t="s">
        <v>236</v>
      </c>
      <c r="AQ301" s="67" t="s">
        <v>236</v>
      </c>
    </row>
    <row r="302" spans="1:43" ht="50" x14ac:dyDescent="0.35">
      <c r="A302" s="64">
        <v>300</v>
      </c>
      <c r="B302" s="67" t="s">
        <v>241</v>
      </c>
      <c r="C302" s="67" t="str">
        <f t="shared" si="24"/>
        <v>Palangka Raya, 16 Mei 1996</v>
      </c>
      <c r="D302" s="67" t="str">
        <f t="shared" si="25"/>
        <v>S2 - Magister Akuntansi</v>
      </c>
      <c r="E302" s="66">
        <f t="shared" si="26"/>
        <v>116</v>
      </c>
      <c r="F302" s="66" t="str">
        <f t="shared" si="27"/>
        <v>Baik</v>
      </c>
      <c r="G302" s="88"/>
      <c r="H302" s="88"/>
      <c r="I302" s="88"/>
      <c r="J302" s="88"/>
      <c r="K302" s="88"/>
      <c r="L302" s="88"/>
      <c r="M302" s="88"/>
      <c r="N302" s="88"/>
      <c r="O302" s="88"/>
      <c r="P302" s="88"/>
      <c r="Q302" s="88"/>
      <c r="R302" s="88"/>
      <c r="S302" s="88"/>
      <c r="T302" s="88"/>
      <c r="U302" s="88"/>
      <c r="V302" s="88"/>
      <c r="W302" s="88"/>
      <c r="X302" s="89"/>
      <c r="Y302" s="89"/>
      <c r="Z302" s="89"/>
      <c r="AA302" s="89"/>
      <c r="AB302" s="89"/>
      <c r="AC302" s="89"/>
      <c r="AD302" s="89"/>
      <c r="AE302" s="89"/>
      <c r="AF302" s="89"/>
      <c r="AG302" s="89"/>
      <c r="AH302" s="89"/>
      <c r="AI302" s="89"/>
      <c r="AJ302" s="89"/>
      <c r="AK302" s="65">
        <f t="shared" si="29"/>
        <v>0</v>
      </c>
      <c r="AL302" s="66" t="str">
        <f t="shared" si="28"/>
        <v>Tidak disarankan</v>
      </c>
      <c r="AM302" s="67" t="s">
        <v>235</v>
      </c>
      <c r="AN302" s="67" t="s">
        <v>235</v>
      </c>
      <c r="AO302" s="67" t="s">
        <v>235</v>
      </c>
      <c r="AP302" s="67" t="s">
        <v>236</v>
      </c>
      <c r="AQ302" s="67" t="s">
        <v>236</v>
      </c>
    </row>
    <row r="303" spans="1:43" ht="50" x14ac:dyDescent="0.35">
      <c r="A303" s="64">
        <v>301</v>
      </c>
      <c r="B303" s="93" t="s">
        <v>1069</v>
      </c>
      <c r="C303" s="67" t="str">
        <f t="shared" si="24"/>
        <v>Tewah, 19 Mei 1999</v>
      </c>
      <c r="D303" s="67" t="str">
        <f t="shared" si="25"/>
        <v>S1 - Akuntansi</v>
      </c>
      <c r="E303" s="66">
        <f t="shared" si="26"/>
        <v>90</v>
      </c>
      <c r="F303" s="66" t="str">
        <f t="shared" si="27"/>
        <v>Rata-rata</v>
      </c>
      <c r="G303" s="88"/>
      <c r="H303" s="88"/>
      <c r="I303" s="88"/>
      <c r="J303" s="88"/>
      <c r="K303" s="88"/>
      <c r="L303" s="88"/>
      <c r="M303" s="88"/>
      <c r="N303" s="88"/>
      <c r="O303" s="88"/>
      <c r="P303" s="88"/>
      <c r="Q303" s="88"/>
      <c r="R303" s="88"/>
      <c r="S303" s="88"/>
      <c r="T303" s="88"/>
      <c r="U303" s="88"/>
      <c r="V303" s="88"/>
      <c r="W303" s="88"/>
      <c r="X303" s="89"/>
      <c r="Y303" s="89"/>
      <c r="Z303" s="89"/>
      <c r="AA303" s="89"/>
      <c r="AB303" s="89"/>
      <c r="AC303" s="89"/>
      <c r="AD303" s="89"/>
      <c r="AE303" s="89"/>
      <c r="AF303" s="89"/>
      <c r="AG303" s="89"/>
      <c r="AH303" s="89"/>
      <c r="AI303" s="89"/>
      <c r="AJ303" s="89"/>
      <c r="AK303" s="65">
        <f t="shared" ref="AK303:AK309" si="30">SUM(X303:AJ303)/29</f>
        <v>0</v>
      </c>
      <c r="AL303" s="66" t="str">
        <f t="shared" si="28"/>
        <v>Tidak disarankan</v>
      </c>
      <c r="AM303" s="67" t="s">
        <v>235</v>
      </c>
      <c r="AN303" s="67" t="s">
        <v>235</v>
      </c>
      <c r="AO303" s="67" t="s">
        <v>235</v>
      </c>
      <c r="AP303" s="67" t="s">
        <v>236</v>
      </c>
      <c r="AQ303" s="67" t="s">
        <v>236</v>
      </c>
    </row>
    <row r="304" spans="1:43" ht="50" x14ac:dyDescent="0.35">
      <c r="A304" s="64">
        <v>302</v>
      </c>
      <c r="B304" s="93" t="s">
        <v>307</v>
      </c>
      <c r="C304" s="67" t="str">
        <f t="shared" si="24"/>
        <v>Palangka Raya, 15 Oktober 2000</v>
      </c>
      <c r="D304" s="67" t="str">
        <f t="shared" si="25"/>
        <v>S1 - Pendidikan Bahasa Inggris</v>
      </c>
      <c r="E304" s="66">
        <f t="shared" si="26"/>
        <v>111</v>
      </c>
      <c r="F304" s="66" t="str">
        <f t="shared" si="27"/>
        <v>Baik</v>
      </c>
      <c r="G304" s="88"/>
      <c r="H304" s="88"/>
      <c r="I304" s="88"/>
      <c r="J304" s="88"/>
      <c r="K304" s="88"/>
      <c r="L304" s="88"/>
      <c r="M304" s="88"/>
      <c r="N304" s="88"/>
      <c r="O304" s="88"/>
      <c r="P304" s="88"/>
      <c r="Q304" s="88"/>
      <c r="R304" s="88"/>
      <c r="S304" s="88"/>
      <c r="T304" s="88"/>
      <c r="U304" s="88"/>
      <c r="V304" s="88"/>
      <c r="W304" s="88"/>
      <c r="X304" s="89"/>
      <c r="Y304" s="89"/>
      <c r="Z304" s="89"/>
      <c r="AA304" s="89"/>
      <c r="AB304" s="89"/>
      <c r="AC304" s="89"/>
      <c r="AD304" s="89"/>
      <c r="AE304" s="89"/>
      <c r="AF304" s="89"/>
      <c r="AG304" s="89"/>
      <c r="AH304" s="89"/>
      <c r="AI304" s="89"/>
      <c r="AJ304" s="89"/>
      <c r="AK304" s="65">
        <f t="shared" si="30"/>
        <v>0</v>
      </c>
      <c r="AL304" s="66" t="str">
        <f t="shared" si="28"/>
        <v>Tidak disarankan</v>
      </c>
      <c r="AM304" s="67" t="s">
        <v>235</v>
      </c>
      <c r="AN304" s="67" t="s">
        <v>235</v>
      </c>
      <c r="AO304" s="67" t="s">
        <v>235</v>
      </c>
      <c r="AP304" s="67" t="s">
        <v>236</v>
      </c>
      <c r="AQ304" s="67" t="s">
        <v>236</v>
      </c>
    </row>
    <row r="305" spans="1:43" ht="50" x14ac:dyDescent="0.35">
      <c r="A305" s="64">
        <v>303</v>
      </c>
      <c r="B305" s="93" t="s">
        <v>651</v>
      </c>
      <c r="C305" s="67" t="str">
        <f t="shared" si="24"/>
        <v>Palangka Raya, 23 Juni 1995</v>
      </c>
      <c r="D305" s="67" t="str">
        <f t="shared" si="25"/>
        <v>S1 - Manajemen</v>
      </c>
      <c r="E305" s="66">
        <f t="shared" si="26"/>
        <v>116</v>
      </c>
      <c r="F305" s="66" t="str">
        <f t="shared" si="27"/>
        <v>Baik</v>
      </c>
      <c r="G305" s="88"/>
      <c r="H305" s="88"/>
      <c r="I305" s="88"/>
      <c r="J305" s="88"/>
      <c r="K305" s="88"/>
      <c r="L305" s="88"/>
      <c r="M305" s="88"/>
      <c r="N305" s="88"/>
      <c r="O305" s="88"/>
      <c r="P305" s="88"/>
      <c r="Q305" s="88"/>
      <c r="R305" s="88"/>
      <c r="S305" s="88"/>
      <c r="T305" s="88"/>
      <c r="U305" s="88"/>
      <c r="V305" s="88"/>
      <c r="W305" s="88"/>
      <c r="X305" s="89"/>
      <c r="Y305" s="89"/>
      <c r="Z305" s="89"/>
      <c r="AA305" s="89"/>
      <c r="AB305" s="89"/>
      <c r="AC305" s="89"/>
      <c r="AD305" s="89"/>
      <c r="AE305" s="89"/>
      <c r="AF305" s="89"/>
      <c r="AG305" s="89"/>
      <c r="AH305" s="89"/>
      <c r="AI305" s="89"/>
      <c r="AJ305" s="89"/>
      <c r="AK305" s="65">
        <f t="shared" si="30"/>
        <v>0</v>
      </c>
      <c r="AL305" s="66" t="str">
        <f t="shared" si="28"/>
        <v>Tidak disarankan</v>
      </c>
      <c r="AM305" s="67" t="s">
        <v>235</v>
      </c>
      <c r="AN305" s="67" t="s">
        <v>235</v>
      </c>
      <c r="AO305" s="67" t="s">
        <v>235</v>
      </c>
      <c r="AP305" s="67" t="s">
        <v>236</v>
      </c>
      <c r="AQ305" s="67" t="s">
        <v>236</v>
      </c>
    </row>
    <row r="306" spans="1:43" ht="50" x14ac:dyDescent="0.35">
      <c r="A306" s="64">
        <v>304</v>
      </c>
      <c r="B306" s="93" t="s">
        <v>1097</v>
      </c>
      <c r="C306" s="67" t="str">
        <f t="shared" si="24"/>
        <v>Sukamara, 07 Juli 2000</v>
      </c>
      <c r="D306" s="67" t="str">
        <f t="shared" si="25"/>
        <v>S1 - Manajemen</v>
      </c>
      <c r="E306" s="66">
        <f t="shared" si="26"/>
        <v>111</v>
      </c>
      <c r="F306" s="66" t="str">
        <f t="shared" si="27"/>
        <v>Baik</v>
      </c>
      <c r="G306" s="88"/>
      <c r="H306" s="88"/>
      <c r="I306" s="88"/>
      <c r="J306" s="88"/>
      <c r="K306" s="88"/>
      <c r="L306" s="88"/>
      <c r="M306" s="88"/>
      <c r="N306" s="88"/>
      <c r="O306" s="88"/>
      <c r="P306" s="88"/>
      <c r="Q306" s="88"/>
      <c r="R306" s="88"/>
      <c r="S306" s="88"/>
      <c r="T306" s="88"/>
      <c r="U306" s="88"/>
      <c r="V306" s="88"/>
      <c r="W306" s="88"/>
      <c r="X306" s="89"/>
      <c r="Y306" s="89"/>
      <c r="Z306" s="89"/>
      <c r="AA306" s="89"/>
      <c r="AB306" s="89"/>
      <c r="AC306" s="89"/>
      <c r="AD306" s="89"/>
      <c r="AE306" s="89"/>
      <c r="AF306" s="89"/>
      <c r="AG306" s="89"/>
      <c r="AH306" s="89"/>
      <c r="AI306" s="89"/>
      <c r="AJ306" s="89"/>
      <c r="AK306" s="65">
        <f t="shared" si="30"/>
        <v>0</v>
      </c>
      <c r="AL306" s="66" t="str">
        <f t="shared" si="28"/>
        <v>Tidak disarankan</v>
      </c>
      <c r="AM306" s="67" t="s">
        <v>235</v>
      </c>
      <c r="AN306" s="67" t="s">
        <v>235</v>
      </c>
      <c r="AO306" s="67" t="s">
        <v>235</v>
      </c>
      <c r="AP306" s="67" t="s">
        <v>236</v>
      </c>
      <c r="AQ306" s="67" t="s">
        <v>236</v>
      </c>
    </row>
    <row r="307" spans="1:43" ht="50" x14ac:dyDescent="0.35">
      <c r="A307" s="64">
        <v>305</v>
      </c>
      <c r="B307" s="93" t="s">
        <v>294</v>
      </c>
      <c r="C307" s="67" t="str">
        <f t="shared" si="24"/>
        <v>Katimpun, 13 Januari 2000</v>
      </c>
      <c r="D307" s="67" t="str">
        <f t="shared" si="25"/>
        <v>S1 - Ilmu Administrasi Negara</v>
      </c>
      <c r="E307" s="66">
        <f t="shared" si="26"/>
        <v>103</v>
      </c>
      <c r="F307" s="66" t="str">
        <f t="shared" si="27"/>
        <v>Rata-rata</v>
      </c>
      <c r="G307" s="88"/>
      <c r="H307" s="88"/>
      <c r="I307" s="88"/>
      <c r="J307" s="88"/>
      <c r="K307" s="88"/>
      <c r="L307" s="88"/>
      <c r="M307" s="88"/>
      <c r="N307" s="88"/>
      <c r="O307" s="88"/>
      <c r="P307" s="88"/>
      <c r="Q307" s="88"/>
      <c r="R307" s="88"/>
      <c r="S307" s="88"/>
      <c r="T307" s="88"/>
      <c r="U307" s="88"/>
      <c r="V307" s="88"/>
      <c r="W307" s="88"/>
      <c r="X307" s="89"/>
      <c r="Y307" s="89"/>
      <c r="Z307" s="89"/>
      <c r="AA307" s="89"/>
      <c r="AB307" s="89"/>
      <c r="AC307" s="89"/>
      <c r="AD307" s="89"/>
      <c r="AE307" s="89"/>
      <c r="AF307" s="89"/>
      <c r="AG307" s="89"/>
      <c r="AH307" s="89"/>
      <c r="AI307" s="89"/>
      <c r="AJ307" s="89"/>
      <c r="AK307" s="65">
        <f t="shared" si="30"/>
        <v>0</v>
      </c>
      <c r="AL307" s="66" t="str">
        <f t="shared" si="28"/>
        <v>Tidak disarankan</v>
      </c>
      <c r="AM307" s="67" t="s">
        <v>235</v>
      </c>
      <c r="AN307" s="67" t="s">
        <v>235</v>
      </c>
      <c r="AO307" s="67" t="s">
        <v>235</v>
      </c>
      <c r="AP307" s="67" t="s">
        <v>236</v>
      </c>
      <c r="AQ307" s="67" t="s">
        <v>236</v>
      </c>
    </row>
    <row r="308" spans="1:43" ht="50" x14ac:dyDescent="0.35">
      <c r="A308" s="64">
        <v>306</v>
      </c>
      <c r="B308" s="93" t="s">
        <v>1160</v>
      </c>
      <c r="C308" s="67" t="str">
        <f t="shared" si="24"/>
        <v>Kuala Kapuas, 11 Desember 1998</v>
      </c>
      <c r="D308" s="67" t="str">
        <f t="shared" si="25"/>
        <v>S1 - Teknik Informatika</v>
      </c>
      <c r="E308" s="66">
        <f t="shared" si="26"/>
        <v>119</v>
      </c>
      <c r="F308" s="66" t="str">
        <f t="shared" si="27"/>
        <v>Baik</v>
      </c>
      <c r="G308" s="88"/>
      <c r="H308" s="88"/>
      <c r="I308" s="88"/>
      <c r="J308" s="88"/>
      <c r="K308" s="88"/>
      <c r="L308" s="88"/>
      <c r="M308" s="88"/>
      <c r="N308" s="88"/>
      <c r="O308" s="88"/>
      <c r="P308" s="88"/>
      <c r="Q308" s="88"/>
      <c r="R308" s="88"/>
      <c r="S308" s="88"/>
      <c r="T308" s="88"/>
      <c r="U308" s="88"/>
      <c r="V308" s="88"/>
      <c r="W308" s="88"/>
      <c r="X308" s="89"/>
      <c r="Y308" s="89"/>
      <c r="Z308" s="89"/>
      <c r="AA308" s="89"/>
      <c r="AB308" s="89"/>
      <c r="AC308" s="89"/>
      <c r="AD308" s="89"/>
      <c r="AE308" s="89"/>
      <c r="AF308" s="89"/>
      <c r="AG308" s="89"/>
      <c r="AH308" s="89"/>
      <c r="AI308" s="89"/>
      <c r="AJ308" s="89"/>
      <c r="AK308" s="65">
        <f t="shared" si="30"/>
        <v>0</v>
      </c>
      <c r="AL308" s="66" t="str">
        <f t="shared" si="28"/>
        <v>Tidak disarankan</v>
      </c>
      <c r="AM308" s="67" t="s">
        <v>235</v>
      </c>
      <c r="AN308" s="67" t="s">
        <v>235</v>
      </c>
      <c r="AO308" s="67" t="s">
        <v>235</v>
      </c>
      <c r="AP308" s="67" t="s">
        <v>236</v>
      </c>
      <c r="AQ308" s="67" t="s">
        <v>236</v>
      </c>
    </row>
    <row r="309" spans="1:43" ht="50" x14ac:dyDescent="0.35">
      <c r="A309" s="64">
        <v>307</v>
      </c>
      <c r="B309" s="93" t="s">
        <v>1057</v>
      </c>
      <c r="C309" s="67" t="str">
        <f t="shared" si="24"/>
        <v>Pangkalan Bun, 04 Desember 1999</v>
      </c>
      <c r="D309" s="67" t="str">
        <f t="shared" si="25"/>
        <v>S1 - Ilmu Hukum</v>
      </c>
      <c r="E309" s="66">
        <f t="shared" si="26"/>
        <v>110</v>
      </c>
      <c r="F309" s="66" t="str">
        <f t="shared" si="27"/>
        <v>Baik</v>
      </c>
      <c r="G309" s="88"/>
      <c r="H309" s="88"/>
      <c r="I309" s="88"/>
      <c r="J309" s="88"/>
      <c r="K309" s="88"/>
      <c r="L309" s="88"/>
      <c r="M309" s="88"/>
      <c r="N309" s="88"/>
      <c r="O309" s="88"/>
      <c r="P309" s="88"/>
      <c r="Q309" s="88"/>
      <c r="R309" s="88"/>
      <c r="S309" s="88"/>
      <c r="T309" s="88"/>
      <c r="U309" s="88"/>
      <c r="V309" s="88"/>
      <c r="W309" s="88"/>
      <c r="X309" s="89"/>
      <c r="Y309" s="89"/>
      <c r="Z309" s="89"/>
      <c r="AA309" s="89"/>
      <c r="AB309" s="89"/>
      <c r="AC309" s="89"/>
      <c r="AD309" s="89"/>
      <c r="AE309" s="89"/>
      <c r="AF309" s="89"/>
      <c r="AG309" s="89"/>
      <c r="AH309" s="89"/>
      <c r="AI309" s="89"/>
      <c r="AJ309" s="89"/>
      <c r="AK309" s="65">
        <f t="shared" si="30"/>
        <v>0</v>
      </c>
      <c r="AL309" s="66" t="str">
        <f t="shared" si="28"/>
        <v>Tidak disarankan</v>
      </c>
      <c r="AM309" s="67" t="s">
        <v>235</v>
      </c>
      <c r="AN309" s="67" t="s">
        <v>235</v>
      </c>
      <c r="AO309" s="67" t="s">
        <v>235</v>
      </c>
      <c r="AP309" s="67" t="s">
        <v>236</v>
      </c>
      <c r="AQ309" s="67" t="s">
        <v>236</v>
      </c>
    </row>
  </sheetData>
  <mergeCells count="18">
    <mergeCell ref="AP1:AP2"/>
    <mergeCell ref="AQ1:AQ2"/>
    <mergeCell ref="AM1:AO1"/>
    <mergeCell ref="AH1:AJ1"/>
    <mergeCell ref="AK1:AK2"/>
    <mergeCell ref="AL1:AL2"/>
    <mergeCell ref="AD1:AG1"/>
    <mergeCell ref="A1:A2"/>
    <mergeCell ref="B1:B2"/>
    <mergeCell ref="C1:C2"/>
    <mergeCell ref="D1:D2"/>
    <mergeCell ref="E1:E2"/>
    <mergeCell ref="F1:F2"/>
    <mergeCell ref="G1:J1"/>
    <mergeCell ref="K1:M1"/>
    <mergeCell ref="N1:Q1"/>
    <mergeCell ref="R1:W1"/>
    <mergeCell ref="X1:AC1"/>
  </mergeCells>
  <pageMargins left="0.7" right="0.7" top="0.75" bottom="0.75" header="0.3" footer="0.3"/>
  <pageSetup paperSize="9" orientation="portrait" horizont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C78BFD8F-1364-49B7-A8BF-E462D597557D}">
          <x14:formula1>
            <xm:f>Ref!$F$34:$F$38</xm:f>
          </x14:formula1>
          <xm:sqref>AM3:AO309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Ref</vt:lpstr>
      <vt:lpstr>PAPI</vt:lpstr>
      <vt:lpstr>DISC</vt:lpstr>
      <vt:lpstr>HOLLAND</vt:lpstr>
      <vt:lpstr>KREAPELIN</vt:lpstr>
      <vt:lpstr>IQ</vt:lpstr>
      <vt:lpstr>Datadiri</vt:lpstr>
      <vt:lpstr>INDIVIDUAL</vt:lpstr>
      <vt:lpstr>WORD</vt:lpstr>
      <vt:lpstr>REKAP</vt:lpstr>
      <vt:lpstr>blanda</vt:lpstr>
      <vt:lpstr>datadiri</vt:lpstr>
      <vt:lpstr>disc</vt:lpstr>
      <vt:lpstr>discs</vt:lpstr>
      <vt:lpstr>grafik</vt:lpstr>
      <vt:lpstr>hasil</vt:lpstr>
      <vt:lpstr>holland</vt:lpstr>
      <vt:lpstr>judge</vt:lpstr>
      <vt:lpstr>kreaplin</vt:lpstr>
      <vt:lpstr>kreplins</vt:lpstr>
      <vt:lpstr>papi</vt:lpstr>
      <vt:lpstr>papis</vt:lpstr>
      <vt:lpstr>pintar</vt:lpstr>
      <vt:lpstr>REKOMENDASI</vt:lpstr>
      <vt:lpstr>tiunam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Yulindyah</dc:creator>
  <cp:lastModifiedBy>Asus Vivobook</cp:lastModifiedBy>
  <dcterms:created xsi:type="dcterms:W3CDTF">2023-10-31T00:21:10Z</dcterms:created>
  <dcterms:modified xsi:type="dcterms:W3CDTF">2024-03-22T10:50:41Z</dcterms:modified>
</cp:coreProperties>
</file>