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DISC Test" sheetId="2" r:id="rId5"/>
    <sheet state="visible" name="Psikogram" sheetId="3" r:id="rId6"/>
    <sheet state="hidden" name="Sheet3" sheetId="4" r:id="rId7"/>
    <sheet state="hidden" name="Sheet1" sheetId="5" r:id="rId8"/>
    <sheet state="hidden" name="Sheet3 (2)" sheetId="6" r:id="rId9"/>
    <sheet state="hidden" name="Def" sheetId="7" r:id="rId10"/>
  </sheets>
  <definedNames/>
  <calcPr/>
  <extLst>
    <ext uri="GoogleSheetsCustomDataVersion2">
      <go:sheetsCustomData xmlns:go="http://customooxmlschemas.google.com/" r:id="rId11" roundtripDataChecksum="gG5jMfYG9NOgPt3uDrjBJ133jVF1Z8j/0YeEASsWSaU="/>
    </ext>
  </extLst>
</workbook>
</file>

<file path=xl/sharedStrings.xml><?xml version="1.0" encoding="utf-8"?>
<sst xmlns="http://schemas.openxmlformats.org/spreadsheetml/2006/main" count="1001" uniqueCount="520">
  <si>
    <t>Nama       :</t>
  </si>
  <si>
    <t>Jenis kelamin           :</t>
  </si>
  <si>
    <t>Usia         :</t>
  </si>
  <si>
    <t>tahun</t>
  </si>
  <si>
    <t>Tanggal Test           :</t>
  </si>
  <si>
    <t>P</t>
  </si>
  <si>
    <t>K</t>
  </si>
  <si>
    <t>HASIL</t>
  </si>
  <si>
    <t>D</t>
  </si>
  <si>
    <t>I</t>
  </si>
  <si>
    <t>S</t>
  </si>
  <si>
    <t>C</t>
  </si>
  <si>
    <t>*</t>
  </si>
  <si>
    <t>D.I.S.C. Test</t>
  </si>
  <si>
    <t>Nama</t>
  </si>
  <si>
    <t>Dewi</t>
  </si>
  <si>
    <t>INSTRUKSI : Terdapat 24 soal, Setiap nomor di bawah ini memuat 4 (empat) kalimat. Tugas anda adalah : 
1. Beri tanda [x] pada kolom di bawah huruf  [P] di samping kalimat yang PALING menggambarkan diri anda
2. Beri tanda [x] pada kolom di bawah huruf  [K] di samping kalimat yang PALING TIDAK menggambarkan diri anda
PERHATIKAN : Setiap nomor hanya ada 1 (satu) tanda [x] di bawah masing-masing kolom P dan K.</t>
  </si>
  <si>
    <t>Usia</t>
  </si>
  <si>
    <t>37 Tahun</t>
  </si>
  <si>
    <t>Jenis Kelamin</t>
  </si>
  <si>
    <t>perempuan</t>
  </si>
  <si>
    <t>Tanggal Tes</t>
  </si>
  <si>
    <t>No.</t>
  </si>
  <si>
    <t>Gambaran Diri</t>
  </si>
  <si>
    <t>Gampangan, Mudah setuju</t>
  </si>
  <si>
    <t>x</t>
  </si>
  <si>
    <t>Hasil adalah penting</t>
  </si>
  <si>
    <t>Pendidikan, Kebudayaan</t>
  </si>
  <si>
    <t>Percaya, Mudah percaya pada orang</t>
  </si>
  <si>
    <t>Lakukan dengan benar, Akurasi penting</t>
  </si>
  <si>
    <t>Prestasi, Ganjaran</t>
  </si>
  <si>
    <t>Petualang, Mengambil resiko</t>
  </si>
  <si>
    <t>Dibuat menyenangkan</t>
  </si>
  <si>
    <t>X</t>
  </si>
  <si>
    <t>Keselamatan, keamanan</t>
  </si>
  <si>
    <t>Toleran, Menghormati</t>
  </si>
  <si>
    <t>Mari kerjakan bersama</t>
  </si>
  <si>
    <t>Sosial, Perkumpulan kelompok</t>
  </si>
  <si>
    <t>Lembut suara, Pendiam</t>
  </si>
  <si>
    <t>Akan berjalan terus tanpa kontrol diri</t>
  </si>
  <si>
    <t>Memimpin, Pendekatan langsung</t>
  </si>
  <si>
    <t>Optimistik, Visioner</t>
  </si>
  <si>
    <t>Akan membeli sesuai dorongan hati</t>
  </si>
  <si>
    <t>Suka bergaul, Antusias</t>
  </si>
  <si>
    <t>Pusat Perhatian, Suka gaul</t>
  </si>
  <si>
    <t>Akan menunggu, Tanpa tekanan</t>
  </si>
  <si>
    <t>Dapat diramal, Konsisten</t>
  </si>
  <si>
    <t>Pendamai, Membawa Harmoni</t>
  </si>
  <si>
    <t>Akan mengusahakan  yang kuinginkan</t>
  </si>
  <si>
    <t>Waspada, Hati-hati</t>
  </si>
  <si>
    <t>Menyemangati orang</t>
  </si>
  <si>
    <t>Ramah, Mudah bergabung</t>
  </si>
  <si>
    <t>Tidak mudah dikalahkan</t>
  </si>
  <si>
    <t>Berusaha sempurna</t>
  </si>
  <si>
    <t>Unik, Bosan rutinitas</t>
  </si>
  <si>
    <t>Kerjakan sesuai perintah, Ikut pimpinan</t>
  </si>
  <si>
    <t>Bagian dari kelompok</t>
  </si>
  <si>
    <t>Aktif mengubah sesuatu</t>
  </si>
  <si>
    <t>Mudah terangsang, Riang</t>
  </si>
  <si>
    <t>Ingin membuat tujuan</t>
  </si>
  <si>
    <t>Ingin hal-hal yang pasti</t>
  </si>
  <si>
    <t>Ingin segalanya teratur, Rapi</t>
  </si>
  <si>
    <t>Menjadi frustrasi</t>
  </si>
  <si>
    <t>Non-konfrontasi, Menyerah</t>
  </si>
  <si>
    <t>Saya akan pimpin mereka</t>
  </si>
  <si>
    <t>Menyimpan perasaan saya</t>
  </si>
  <si>
    <t>Dipenuhi hal detail</t>
  </si>
  <si>
    <t>Saya akan melaksanakan</t>
  </si>
  <si>
    <t>Menceritakan sisi saya</t>
  </si>
  <si>
    <t>Perubahan pada menit terakhir</t>
  </si>
  <si>
    <t>Saya akan meyakinkan mereka</t>
  </si>
  <si>
    <t>Siap beroposisi</t>
  </si>
  <si>
    <t>Menuntut, Kasar</t>
  </si>
  <si>
    <t>Saya dapatkan fakta</t>
  </si>
  <si>
    <t>Hidup, Suka bicara</t>
  </si>
  <si>
    <t>Ingin kemajuan</t>
  </si>
  <si>
    <t>Memikirkan orang dahulu</t>
  </si>
  <si>
    <t>Gerak cepat, Tekun</t>
  </si>
  <si>
    <t>Puas dengan segalanya</t>
  </si>
  <si>
    <t>Kompetitif, Suka tantangan</t>
  </si>
  <si>
    <t>Usaha menjaga keseimbangan</t>
  </si>
  <si>
    <t>Terbuka memperlihatkan perasaan</t>
  </si>
  <si>
    <t>Optimis, Positif</t>
  </si>
  <si>
    <t>Usaha mengikuti aturan</t>
  </si>
  <si>
    <t>Rendah hati, Sederhana</t>
  </si>
  <si>
    <t>Pemikir logis, Sistematik</t>
  </si>
  <si>
    <t>Kelola waktu secara efisien</t>
  </si>
  <si>
    <t>Tenang, Pendiam</t>
  </si>
  <si>
    <t>Menyenangkan orang, Mudah setuju</t>
  </si>
  <si>
    <t>Sering terburu-buru, Merasa tertekan</t>
  </si>
  <si>
    <t>Bahagia, Tanpa beban</t>
  </si>
  <si>
    <t>Tertawa lepas, Hidup</t>
  </si>
  <si>
    <t>Masalah sosial itu penting</t>
  </si>
  <si>
    <t>Menyenangkan, Baik hati</t>
  </si>
  <si>
    <t>Berani, Tak gentar</t>
  </si>
  <si>
    <t>Suka selesaikan apa yang saya mulai</t>
  </si>
  <si>
    <t>Tak gentar, Berani</t>
  </si>
  <si>
    <t>Tolak perubahan mendadak</t>
  </si>
  <si>
    <t>Menggunakan waktu berkualitas dgn teman</t>
  </si>
  <si>
    <t>Ingin otoritas lebih</t>
  </si>
  <si>
    <t>Cenderung janji berlebihan</t>
  </si>
  <si>
    <t>Rencanakan masa depan, Bersiap</t>
  </si>
  <si>
    <t>Ingin kesempatan baru</t>
  </si>
  <si>
    <t>Tarik diri di tengah tekanan</t>
  </si>
  <si>
    <t>Bepergian demi petualangan baru</t>
  </si>
  <si>
    <t>Menghindari konflik</t>
  </si>
  <si>
    <t>Tidak takut bertempur</t>
  </si>
  <si>
    <t>Menerima ganjaran atas tujuan yg dicapai</t>
  </si>
  <si>
    <t>Ingin petunjuk yang jelas</t>
  </si>
  <si>
    <t>Penyemangat yang baik</t>
  </si>
  <si>
    <t>Aturan perlu dipertanyakan</t>
  </si>
  <si>
    <t>Dapat diandalkan, Dapat dipercaya</t>
  </si>
  <si>
    <t>Pendengar yang baik</t>
  </si>
  <si>
    <t>Aturan membuat adil</t>
  </si>
  <si>
    <t>Kreatif, Unik</t>
  </si>
  <si>
    <t>Penganalisa yang baik</t>
  </si>
  <si>
    <t>Aturan membuat bosan</t>
  </si>
  <si>
    <t>Garis dasar, Orientasi hasil</t>
  </si>
  <si>
    <t>Delegator yang baik</t>
  </si>
  <si>
    <t>Aturan membuat aman</t>
  </si>
  <si>
    <t>Jalankan standar yang tinggi, Akurat</t>
  </si>
  <si>
    <t>D I S C</t>
  </si>
  <si>
    <t>Personality System Graph Page</t>
  </si>
  <si>
    <t>Name</t>
  </si>
  <si>
    <t>:</t>
  </si>
  <si>
    <t>Age</t>
  </si>
  <si>
    <t>C-D</t>
  </si>
  <si>
    <t>I-D</t>
  </si>
  <si>
    <t>I-D-C</t>
  </si>
  <si>
    <t>I-D-S</t>
  </si>
  <si>
    <t>I-S-D</t>
  </si>
  <si>
    <t xml:space="preserve">S-D-C </t>
  </si>
  <si>
    <t>D-I</t>
  </si>
  <si>
    <t>D-I-S</t>
  </si>
  <si>
    <t xml:space="preserve">D-S </t>
  </si>
  <si>
    <t>C-I-S</t>
  </si>
  <si>
    <t>C-S-I</t>
  </si>
  <si>
    <t>I-S-C / I-C-S</t>
  </si>
  <si>
    <t>C-S</t>
  </si>
  <si>
    <t>S-C</t>
  </si>
  <si>
    <t>D-C</t>
  </si>
  <si>
    <t>D-I-C</t>
  </si>
  <si>
    <t>D-S-I</t>
  </si>
  <si>
    <t>D-S-C</t>
  </si>
  <si>
    <t>D-C-I</t>
  </si>
  <si>
    <t>D-C-S</t>
  </si>
  <si>
    <t>I-S</t>
  </si>
  <si>
    <t>I-C</t>
  </si>
  <si>
    <t>I-C-D</t>
  </si>
  <si>
    <t>I-C-S</t>
  </si>
  <si>
    <t>S-D</t>
  </si>
  <si>
    <t>S-I</t>
  </si>
  <si>
    <t>S-D-I</t>
  </si>
  <si>
    <t>S-I-D</t>
  </si>
  <si>
    <t>S-I-C</t>
  </si>
  <si>
    <t>S-C-D</t>
  </si>
  <si>
    <t>S-C-I</t>
  </si>
  <si>
    <t>C-I</t>
  </si>
  <si>
    <t>C-D-I</t>
  </si>
  <si>
    <t>C-D-S</t>
  </si>
  <si>
    <t>C-I-D</t>
  </si>
  <si>
    <t>C-S-D</t>
  </si>
  <si>
    <t>Gender</t>
  </si>
  <si>
    <t>Line</t>
  </si>
  <si>
    <t>Tgl. Tes</t>
  </si>
  <si>
    <t>tot</t>
  </si>
  <si>
    <t xml:space="preserve"> </t>
  </si>
  <si>
    <t>Gambaran Karakter</t>
  </si>
  <si>
    <t>Kepribadian Saat di Publik</t>
  </si>
  <si>
    <t>Kepribadian Saat Mendapat Tekanan</t>
  </si>
  <si>
    <t>Kepribadian Asli / Sesungguhnya</t>
  </si>
  <si>
    <t>Deskripsi Kepribadian</t>
  </si>
  <si>
    <t>Job Match :</t>
  </si>
  <si>
    <t>D / C-D</t>
  </si>
  <si>
    <t>D / I-D</t>
  </si>
  <si>
    <t>D / I-D-C</t>
  </si>
  <si>
    <t>D / I-D-S</t>
  </si>
  <si>
    <t>D / I-S-D</t>
  </si>
  <si>
    <t>D / S-D-C / S-C-D</t>
  </si>
  <si>
    <t>I / C-I-S</t>
  </si>
  <si>
    <t>I / C-S-I</t>
  </si>
  <si>
    <t>S / C-S</t>
  </si>
  <si>
    <t>LOGICAL THINKER</t>
  </si>
  <si>
    <t>ESTABLISHER</t>
  </si>
  <si>
    <t>DESIGNER</t>
  </si>
  <si>
    <t>NEGOTIATOR</t>
  </si>
  <si>
    <t>CONFIDENT &amp; DETERMINED</t>
  </si>
  <si>
    <t>REFORMER</t>
  </si>
  <si>
    <t>MOTIVATOR</t>
  </si>
  <si>
    <t>INQUIRER</t>
  </si>
  <si>
    <t>PENGAMBIL KEPUTUSAN</t>
  </si>
  <si>
    <t>DIRECTOR</t>
  </si>
  <si>
    <t>SELF-MOTIVATED</t>
  </si>
  <si>
    <t>MEDIATOR</t>
  </si>
  <si>
    <t>PRACTITIONER</t>
  </si>
  <si>
    <t>RESPONSIVE &amp; THOUGHTFUL</t>
  </si>
  <si>
    <t>SPECIALIST</t>
  </si>
  <si>
    <t>PERFECTIONIST</t>
  </si>
  <si>
    <t>PEACEMAKER, RESPECTFULL &amp; ACCURATE</t>
  </si>
  <si>
    <t>CHALLENGER</t>
  </si>
  <si>
    <t>CHANCELLOR</t>
  </si>
  <si>
    <t>Director</t>
  </si>
  <si>
    <t>COMMUNICATOR</t>
  </si>
  <si>
    <t>ADVISOR</t>
  </si>
  <si>
    <t>ASSESSOR</t>
  </si>
  <si>
    <t>ADVOCATE</t>
  </si>
  <si>
    <t>CONTEMPLATOR</t>
  </si>
  <si>
    <t>PRECISIONIST</t>
  </si>
  <si>
    <t>Pendiam</t>
  </si>
  <si>
    <t>Individualis</t>
  </si>
  <si>
    <t>Sensitif</t>
  </si>
  <si>
    <t>Suka Bergaul</t>
  </si>
  <si>
    <t>Pandai Memilih Orang</t>
  </si>
  <si>
    <t>Mudah Bergaul</t>
  </si>
  <si>
    <t>Leader (Kelompok Kecil)</t>
  </si>
  <si>
    <t>Full Self Control</t>
  </si>
  <si>
    <t>Pekerja Keras</t>
  </si>
  <si>
    <t>Pengelola</t>
  </si>
  <si>
    <t>Objektif &amp; Analitis</t>
  </si>
  <si>
    <t>Loyal</t>
  </si>
  <si>
    <t>Perfeksionis</t>
  </si>
  <si>
    <t>High Energy</t>
  </si>
  <si>
    <t>Stabil &amp; Konsisten</t>
  </si>
  <si>
    <t>Detail &amp; Teliti</t>
  </si>
  <si>
    <t>Sulit Beradaptasi</t>
  </si>
  <si>
    <t>Seorang yang tekun</t>
  </si>
  <si>
    <t>Seorang yang ramah secara alami</t>
  </si>
  <si>
    <t>Seorang yang obyektif dan analitis</t>
  </si>
  <si>
    <t>Antusias</t>
  </si>
  <si>
    <t>Hangat</t>
  </si>
  <si>
    <t>Ramah</t>
  </si>
  <si>
    <t>Analitis</t>
  </si>
  <si>
    <t>Stabil</t>
  </si>
  <si>
    <t>Seorang yang baik</t>
  </si>
  <si>
    <t>Sangat berorientasi pada tugas</t>
  </si>
  <si>
    <t>Berorientasi pada hal-hal detil</t>
  </si>
  <si>
    <t>Sistematis dan Prosedural</t>
  </si>
  <si>
    <t>Anti Kritik</t>
  </si>
  <si>
    <t>Ego Tinggi, Kurang Sensitif</t>
  </si>
  <si>
    <t>Kurang Cepat</t>
  </si>
  <si>
    <t>Anti Rutin</t>
  </si>
  <si>
    <t>Leader</t>
  </si>
  <si>
    <t>Supporter</t>
  </si>
  <si>
    <t>Sabar</t>
  </si>
  <si>
    <t>Enerjik</t>
  </si>
  <si>
    <t>Mandiri</t>
  </si>
  <si>
    <t>Tight Scheduled</t>
  </si>
  <si>
    <t>Quality Oriented</t>
  </si>
  <si>
    <t>Good Communication Skill</t>
  </si>
  <si>
    <t>Terkendali</t>
  </si>
  <si>
    <t>Butuh Situasi Stabil</t>
  </si>
  <si>
    <t>Sensitif terhadap permasalahan</t>
  </si>
  <si>
    <t>Menggabungkan kesenangan dengan pekerjaan</t>
  </si>
  <si>
    <t>Ingin terlibat dalam situasi</t>
  </si>
  <si>
    <t>Percaya</t>
  </si>
  <si>
    <t>Simpati</t>
  </si>
  <si>
    <t>Suka berteman</t>
  </si>
  <si>
    <t>Berwatak hati-hati</t>
  </si>
  <si>
    <t>Simpati dan Pengertian</t>
  </si>
  <si>
    <t>Sangat berorientasi pada detil</t>
  </si>
  <si>
    <t>Mempunyai standar tinggi untuk dirinya</t>
  </si>
  <si>
    <t>Teratur &amp; memiliki perencanaan yang baik</t>
  </si>
  <si>
    <t>Kurang Pertimbangan</t>
  </si>
  <si>
    <t xml:space="preserve">Anti Tekanan </t>
  </si>
  <si>
    <t>Aktif</t>
  </si>
  <si>
    <t>Good Interpersonal Skill</t>
  </si>
  <si>
    <t>Sadar Diri</t>
  </si>
  <si>
    <t>Sosialisasi Baik</t>
  </si>
  <si>
    <t>Penuh Pertimbangan</t>
  </si>
  <si>
    <t>Banyak Minat</t>
  </si>
  <si>
    <t>Kurang Detail</t>
  </si>
  <si>
    <t>Good Planner</t>
  </si>
  <si>
    <t>Curious</t>
  </si>
  <si>
    <t>Scheduled</t>
  </si>
  <si>
    <t>To The Point</t>
  </si>
  <si>
    <t>Nyaman di Belakang Layar</t>
  </si>
  <si>
    <t>Sistematik &amp; Prosedural</t>
  </si>
  <si>
    <t>Pendendam</t>
  </si>
  <si>
    <t>Mempunyai keputusan yang kuat</t>
  </si>
  <si>
    <t>Menyukai hubungan dengan sesama</t>
  </si>
  <si>
    <t>Ingin memberikan bantuan dan dukungan</t>
  </si>
  <si>
    <t>Optimis</t>
  </si>
  <si>
    <t>Tenang dalam situasi sosial</t>
  </si>
  <si>
    <t>Nyaman walapun dengan orang asing</t>
  </si>
  <si>
    <t>Ramah pada saat merasa nyaman</t>
  </si>
  <si>
    <t>Good planner</t>
  </si>
  <si>
    <t>Detail ketika situasi membutuhkan</t>
  </si>
  <si>
    <t>Sangat teliti dalam penyelesaian tugas</t>
  </si>
  <si>
    <t>Lebih mempedulikan tugas daripada orang</t>
  </si>
  <si>
    <t>Logis dan analitis</t>
  </si>
  <si>
    <t>Teliti</t>
  </si>
  <si>
    <t>Cenderung Santai</t>
  </si>
  <si>
    <t>Efektif</t>
  </si>
  <si>
    <t>Terlalu Mandiri</t>
  </si>
  <si>
    <t>Terlalu Percaya Diri</t>
  </si>
  <si>
    <t>Dominan</t>
  </si>
  <si>
    <t>Butuh Pujian &amp; Penghargaan</t>
  </si>
  <si>
    <t>Butuh Ketegasan</t>
  </si>
  <si>
    <t>Good Interpersonal</t>
  </si>
  <si>
    <t>Dingin / Task Oriented</t>
  </si>
  <si>
    <t>Mudah Bosan</t>
  </si>
  <si>
    <t>Komitmen thd Target</t>
  </si>
  <si>
    <t>Anti Kejutan</t>
  </si>
  <si>
    <t>Menghindari Konflik</t>
  </si>
  <si>
    <t>Sukar Berubah</t>
  </si>
  <si>
    <t>Kreatif  dalam memecahkan masalah</t>
  </si>
  <si>
    <t>Menikmati interaksi dengan sesama</t>
  </si>
  <si>
    <t>Termotivasi oleh target pribadi</t>
  </si>
  <si>
    <t>Persuasif</t>
  </si>
  <si>
    <t>Mudah mengembangkan hubungan baru</t>
  </si>
  <si>
    <t>Sangat biasa dengan orang asing</t>
  </si>
  <si>
    <t>Komitmen terhadap target</t>
  </si>
  <si>
    <t>Cenderung individualis</t>
  </si>
  <si>
    <t>Sangat berhati-hati</t>
  </si>
  <si>
    <t>Kukuh/keras</t>
  </si>
  <si>
    <t>Ingin berbuat yang terbaik</t>
  </si>
  <si>
    <t>Fokus pada detil</t>
  </si>
  <si>
    <t>Detail</t>
  </si>
  <si>
    <t>High Motivation</t>
  </si>
  <si>
    <t>Kurang Percaya Orang Lain</t>
  </si>
  <si>
    <t>Agresif</t>
  </si>
  <si>
    <t>Cepat Percaya Orang</t>
  </si>
  <si>
    <t>Selektif</t>
  </si>
  <si>
    <t>Kurang Pergaulan</t>
  </si>
  <si>
    <t>Banyak Bicara</t>
  </si>
  <si>
    <t>Memiliki reaksi yang cepat</t>
  </si>
  <si>
    <t>Dapat mengerjakan hal-hal detil</t>
  </si>
  <si>
    <t>Berorientasi terhadap pekerjaannya</t>
  </si>
  <si>
    <t>Bicara aktif</t>
  </si>
  <si>
    <t>Demonstratif</t>
  </si>
  <si>
    <t>Dapat mengendalikan diri</t>
  </si>
  <si>
    <t>Teguh pendirian</t>
  </si>
  <si>
    <t>Penuh pertimbangan</t>
  </si>
  <si>
    <t>Dingin</t>
  </si>
  <si>
    <t>Selalu berpikir ada ruang untuk kemajuan</t>
  </si>
  <si>
    <t>Bijaksana</t>
  </si>
  <si>
    <t>Empati</t>
  </si>
  <si>
    <t>Bersemangat Tinggi</t>
  </si>
  <si>
    <t>Mudah Simpati &amp; Empati</t>
  </si>
  <si>
    <t>Lambat Adaptasi</t>
  </si>
  <si>
    <t>Kontrol Emosi Kurang</t>
  </si>
  <si>
    <t>Arogan</t>
  </si>
  <si>
    <t>Good Analitical Think</t>
  </si>
  <si>
    <t>Terlalu Detail</t>
  </si>
  <si>
    <t>Need Recognation</t>
  </si>
  <si>
    <t>Sulit Adaptasi</t>
  </si>
  <si>
    <t>Lambat Memutuskan</t>
  </si>
  <si>
    <t>Mampu mencari solusi permasalahan</t>
  </si>
  <si>
    <t>Ingin melakukan segala sesuatu dengan tepat</t>
  </si>
  <si>
    <t>Impulsif</t>
  </si>
  <si>
    <t>Tidak memaksakan idenya pada orang lain</t>
  </si>
  <si>
    <t>Sangat sosial</t>
  </si>
  <si>
    <t>Menyukai hubungan dengan orang</t>
  </si>
  <si>
    <t>Lambat adaptasi</t>
  </si>
  <si>
    <t>Tidak berperasaan</t>
  </si>
  <si>
    <t>Kompetitif</t>
  </si>
  <si>
    <t>Diplomatis</t>
  </si>
  <si>
    <t>Rapi</t>
  </si>
  <si>
    <t>Percaya Diri, cenderung Nekat</t>
  </si>
  <si>
    <t>Motivator</t>
  </si>
  <si>
    <t>Agak Kaku</t>
  </si>
  <si>
    <t>Inisiatif kurang</t>
  </si>
  <si>
    <t>Suka Tantangan</t>
  </si>
  <si>
    <t>Kurang Focus</t>
  </si>
  <si>
    <t>Sistematis</t>
  </si>
  <si>
    <t>Need Socialism</t>
  </si>
  <si>
    <t>Process Oriented</t>
  </si>
  <si>
    <t>Memikirkan Dampak ke Orang Lain</t>
  </si>
  <si>
    <t>Banyak memberikan ide-ide.</t>
  </si>
  <si>
    <t>Menilai orang dan tugas secara hati-hati</t>
  </si>
  <si>
    <t>Mempunyai determinasi yang kuat</t>
  </si>
  <si>
    <t>Emosional</t>
  </si>
  <si>
    <t>Kurang tegas dalam memberi perintah</t>
  </si>
  <si>
    <t>Cenderung perfeksionis alamiah</t>
  </si>
  <si>
    <t>Peduli dan ramah</t>
  </si>
  <si>
    <t>Mendukung pihak yang lemah</t>
  </si>
  <si>
    <t>Kaku dan keras kepala</t>
  </si>
  <si>
    <t>Menjaga jarak</t>
  </si>
  <si>
    <t>Ingin menghasilkan mutu yang terbaik</t>
  </si>
  <si>
    <t>Jarang menentang rekan kerjanya</t>
  </si>
  <si>
    <t>Organized</t>
  </si>
  <si>
    <t>Kreatif</t>
  </si>
  <si>
    <t>Result Oriented</t>
  </si>
  <si>
    <t>Optimis &amp; Positif</t>
  </si>
  <si>
    <t>Cepat Bosan</t>
  </si>
  <si>
    <t>Cepat Beradaptasi</t>
  </si>
  <si>
    <t>Kaku / Tidak fleksibel</t>
  </si>
  <si>
    <t>Anti thd Kritik</t>
  </si>
  <si>
    <t>Teguh</t>
  </si>
  <si>
    <t>Terlalu Mendalam dalam Berpikir</t>
  </si>
  <si>
    <t>Usaha yang keras pada ketepatan</t>
  </si>
  <si>
    <t>Sering melalaikan perencanaan yang seksama</t>
  </si>
  <si>
    <t>Karakternya tenang</t>
  </si>
  <si>
    <t>Menerima kritik</t>
  </si>
  <si>
    <t>Mempromosikan tugas-tugas orang lain</t>
  </si>
  <si>
    <t>Memusatkan perhatian pada penyelesaian tugas</t>
  </si>
  <si>
    <t>Ingin diterima sebagai anggota tim</t>
  </si>
  <si>
    <t>Membuat keputusan berdasarkan fakta</t>
  </si>
  <si>
    <t>Mampu mencapai sasarannya</t>
  </si>
  <si>
    <t>Ia sangat berhati-hati</t>
  </si>
  <si>
    <t>Kaku pada Metode &amp; Prosedur</t>
  </si>
  <si>
    <t>Terlalu Dominan</t>
  </si>
  <si>
    <t>Need Recognition n Reward</t>
  </si>
  <si>
    <t>Anti Aturan</t>
  </si>
  <si>
    <t>Kaku dan Keras Kepala</t>
  </si>
  <si>
    <t>Monoton</t>
  </si>
  <si>
    <t>Terlalu banyak bersosialisasi</t>
  </si>
  <si>
    <t>Need for Peace</t>
  </si>
  <si>
    <t>Anti Perubahan</t>
  </si>
  <si>
    <t>Concern ke Data dan Fakta</t>
  </si>
  <si>
    <t>Cenderung perfeksionis</t>
  </si>
  <si>
    <t>Mudah beralih kepada proyek-proyek baru</t>
  </si>
  <si>
    <t>Stabil dan daya tahannya tinggi</t>
  </si>
  <si>
    <t>Inspirasional</t>
  </si>
  <si>
    <t>Toleran dan sabar</t>
  </si>
  <si>
    <t>Perfeksionis secara alami</t>
  </si>
  <si>
    <t>Ingin orang lain menyukainya</t>
  </si>
  <si>
    <t>Sangat memusatkan perhatian pada tugas</t>
  </si>
  <si>
    <t>Mengharapkan akurasi dan standard tinggi</t>
  </si>
  <si>
    <t>Kurang Peduli pada Aturan</t>
  </si>
  <si>
    <t>Good Service</t>
  </si>
  <si>
    <t>Not Leader</t>
  </si>
  <si>
    <t>Leadership kurang</t>
  </si>
  <si>
    <t>Introvert</t>
  </si>
  <si>
    <t>Ulet dalam memulai pekerjaan</t>
  </si>
  <si>
    <t>Penjaga damai</t>
  </si>
  <si>
    <t>Mengisolasi dirinya jika diperlukan</t>
  </si>
  <si>
    <t>Tekun</t>
  </si>
  <si>
    <t>Sulit membuat keputusan</t>
  </si>
  <si>
    <t>Tidak mudah percaya</t>
  </si>
  <si>
    <t>Mantap dan dapat diandalkan</t>
  </si>
  <si>
    <t>Menginginkan adanya petunjuk standard</t>
  </si>
  <si>
    <t>Terlalu Dinamis</t>
  </si>
  <si>
    <t>Terburu-buru</t>
  </si>
  <si>
    <t>Terlalu Selektif</t>
  </si>
  <si>
    <t>Kurang dlm hal Managerial</t>
  </si>
  <si>
    <t>Kurang Peduli Wewenang</t>
  </si>
  <si>
    <t>Work/Play Conflict</t>
  </si>
  <si>
    <t>Kurang Fokus</t>
  </si>
  <si>
    <t>Sulit Menentukan Prioritas</t>
  </si>
  <si>
    <t>Berusaha keras mencapai sasarannya</t>
  </si>
  <si>
    <t>Mudah diramalkan</t>
  </si>
  <si>
    <t>Moderat</t>
  </si>
  <si>
    <t>Tidak menginginkan perubahan mendadak</t>
  </si>
  <si>
    <t>Penuh Ambisi</t>
  </si>
  <si>
    <t>Argumentatif</t>
  </si>
  <si>
    <t>Anti Deadline</t>
  </si>
  <si>
    <t>Mandiri dan cermat</t>
  </si>
  <si>
    <t>Berorientasi pada kualitas</t>
  </si>
  <si>
    <t>Cermat dan dapat diandalkan</t>
  </si>
  <si>
    <t>Planner (any function), Engineer (Installation, Technical), Technical/Research (Chemist Technician), Academic, Statistician, Government Worker, IT Management, Prison Officer, Quality Controller.</t>
  </si>
  <si>
    <t>Attorney, Researcher, Sales Representative, Planning Consultant, Transport Personnel, Production (Director, Manager, Supervisor), Technologist, Strategic Planning, Trouble Shooting, Marketing Services, Consultant, Engineering (Director, Manager, Supervisor) and Self-Employment.</t>
  </si>
  <si>
    <t>Engineering (Management, Research, Design), Research (R&amp;D), Planning, Chemist, Accountancy, Specialist, Finance, Technician, Quality Control, Production Planning/Management, Design Engineer, Bookkeeper, Chemist Technician, Safety Officer, Librarian.</t>
  </si>
  <si>
    <t>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t>
  </si>
  <si>
    <t>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t>
  </si>
  <si>
    <t>Hotelier, Customer Service, Complaints Manager, Recruiting Agent, Sales (Manager/Person), Marketing Services, Public Relations, Politician, Computer Software Sales, Lecturer, Engineering and Production (Manager/Supervisor).</t>
  </si>
  <si>
    <t>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t>
  </si>
  <si>
    <t>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t>
  </si>
  <si>
    <t>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t>
  </si>
  <si>
    <t>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t>
  </si>
  <si>
    <t>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t>
  </si>
  <si>
    <t>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t>
  </si>
  <si>
    <t>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t>
  </si>
  <si>
    <t>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t>
  </si>
  <si>
    <t>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t>
  </si>
  <si>
    <t>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t>
  </si>
  <si>
    <t>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t>
  </si>
  <si>
    <t>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t>
  </si>
  <si>
    <t>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t>
  </si>
  <si>
    <t>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t>
  </si>
  <si>
    <t>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t>
  </si>
  <si>
    <t>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t>
  </si>
  <si>
    <t>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t>
  </si>
  <si>
    <t>Personnel, Welfare, Training, Hotelier, Promoting, Travel Agent, Lecturing, Upmarket/Speciality Sales, Soft/Service Selling, Beauty Therapist, Psychologist, Nursing, Human Resources, Retail-Specialist, Veterinarian, Social Work, Personal Assistant, Personnel-HR, Coach, Mentor.</t>
  </si>
  <si>
    <t>Teaching, Training, Inventing, Specialist Selling (Engineering, Finance or any area involving capital equipment), Project Engineer, Finance, Service Engineer or Supervising within a Technical/Specialist Area, Public Relations, Environmentalist, Marketing, Conference Organiser, Estate Agent.</t>
  </si>
  <si>
    <t>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t>
  </si>
  <si>
    <t>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t>
  </si>
  <si>
    <t>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t>
  </si>
  <si>
    <t>Personnel Welfare, Training, Hotelier, Promoting, Travel Agent, Lecturing, Child Care, Charitable Organizations, Soft or Service Selling, Psychologist, Therapist, Nurse, Personal Assistant, Hospitality Manager, Social Work, Student Services, Upmarket/Speciality Sales.</t>
  </si>
  <si>
    <t>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t>
  </si>
  <si>
    <t>Engineering and Production (Supervision), Service Selling, Distribution and Warehouse Supervision, Office Management, Customer Service, System Analyst, Programmer, Sales/Service Engineer, Accounting, Draughtsman, Project Engineer.</t>
  </si>
  <si>
    <t>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t>
  </si>
  <si>
    <t>Directing, Managing or Supervising (in Engineering, Accountancy, Research and Development and Computing disciplines), Accountant, Project Engineer, Draughtsman, Designer, Analyst, Chemist, Technician, Service Engineer, Manager, Security Specialist.</t>
  </si>
  <si>
    <t>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t>
  </si>
  <si>
    <t>Sales (Technical/Specialist), Public Relations, Lecturer, Academic, Personnel Administration, Purchasing, Travel Agent, Training, Teaching, Real Estate Agent, Hospitality Administration, Sales-Technical, Hotelier, Project Engineer, Service Engineer.</t>
  </si>
  <si>
    <t>Directing, Managing or Supervising (Engineering, Research, Finance, Planning), Designer, Work Study, Sales (Technical/ Specialist), Logistic Support, Systems Analyst, Lecturer, Company Secretary, Negotiator and Purchasing.</t>
  </si>
  <si>
    <t>Engineering, Research, Production and Finance (Director, Manager atau Supervisor), Work Study, Accountant, Administrator, Quality Controller, Safety Officer, Market Analyst, Planner and Personnel (Director, Manager, Administrator), MIS Manager, Security Manager, Loss Control.</t>
  </si>
  <si>
    <t>Directing, Managing or Supervising (Engineering, Research, Finance, Planning), Designer, Work Study, Sales (Technical/Specialist), Lecturer, Company Secretary, Negotiator and Purchasing.</t>
  </si>
  <si>
    <t>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t>
  </si>
  <si>
    <t>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t>
  </si>
  <si>
    <t>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t>
  </si>
  <si>
    <t>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t>
  </si>
  <si>
    <t>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t>
  </si>
  <si>
    <t>Sangat berorientasi terhadap tugas dan juga menyukai orang.  Ia sangat baik dalam menarik orang/recruiting.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t>
  </si>
  <si>
    <t>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t>
  </si>
  <si>
    <t>Seorang yang 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t>
  </si>
  <si>
    <t>Seorang yang 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People skill darinya melebihi orientasi tugasnya.</t>
  </si>
  <si>
    <t>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t>
  </si>
  <si>
    <t>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t>
  </si>
  <si>
    <t>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t>
  </si>
  <si>
    <t>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</si>
  <si>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</si>
  <si>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t>
  </si>
  <si>
    <t>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t>
  </si>
  <si>
    <t>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t>
  </si>
  <si>
    <t>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</si>
  <si>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t>
  </si>
  <si>
    <t>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t>
  </si>
  <si>
    <t>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t>
  </si>
  <si>
    <t>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t>
  </si>
  <si>
    <t>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t>
  </si>
  <si>
    <t>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t>
  </si>
  <si>
    <t>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t>
  </si>
  <si>
    <t>Seorang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</si>
  <si>
    <t>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t>
  </si>
  <si>
    <t>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</si>
  <si>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t>
  </si>
  <si>
    <t>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t>
  </si>
  <si>
    <t>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t>
  </si>
  <si>
    <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</si>
</sst>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421]dd\ mmmm\ yyyy"/>
    <numFmt numFmtId="166" formatCode="#,##0.0"/>
  </numFmts>
  <fonts count="61">
    <font>
      <sz val="11.0"/>
      <color rgb="FF000000"/>
      <name val="Calibri"/>
      <scheme val="minor"/>
    </font>
    <font>
      <b/>
      <sz val="11.0"/>
      <color rgb="FF000000"/>
      <name val="Calibri"/>
    </font>
    <font>
      <b/>
      <sz val="8.0"/>
      <color rgb="FF000000"/>
      <name val="Arial"/>
    </font>
    <font>
      <sz val="11.0"/>
      <color rgb="FF000000"/>
      <name val="Calibri"/>
    </font>
    <font>
      <sz val="11.0"/>
      <color rgb="FF800080"/>
      <name val="Calibri"/>
    </font>
    <font>
      <b/>
      <sz val="11.0"/>
      <color rgb="FF800080"/>
      <name val="Calibri"/>
    </font>
    <font>
      <b/>
      <sz val="11.0"/>
      <color theme="1"/>
      <name val="Calibri"/>
    </font>
    <font>
      <sz val="11.0"/>
      <color theme="1"/>
      <name val="Calibri"/>
    </font>
    <font>
      <sz val="11.0"/>
      <color rgb="FFFFFFFF"/>
      <name val="Calibri"/>
    </font>
    <font>
      <sz val="11.0"/>
      <color rgb="FF800080"/>
      <name val="Baumans"/>
    </font>
    <font>
      <b/>
      <sz val="11.0"/>
      <color rgb="FFFFFFFF"/>
      <name val="Calibri"/>
    </font>
    <font>
      <sz val="11.0"/>
      <color rgb="FFC0C0C0"/>
      <name val="Calibri"/>
    </font>
    <font>
      <b/>
      <sz val="11.0"/>
      <color rgb="FFC0C0C0"/>
      <name val="Calibri"/>
    </font>
    <font>
      <b/>
      <u/>
      <sz val="26.0"/>
      <color rgb="FF000000"/>
      <name val="Alfredo's dance"/>
    </font>
    <font>
      <sz val="9.0"/>
      <color rgb="FF000000"/>
      <name val="Calibri"/>
    </font>
    <font>
      <b/>
      <sz val="9.0"/>
      <color rgb="FF000000"/>
      <name val="Calibri"/>
    </font>
    <font>
      <b/>
      <u/>
      <sz val="9.0"/>
      <color rgb="FF000000"/>
      <name val="Calibri"/>
    </font>
    <font/>
    <font>
      <b/>
      <sz val="9.0"/>
      <color rgb="FFFFFFFF"/>
      <name val="Calibri"/>
    </font>
    <font>
      <sz val="9.0"/>
      <color rgb="FFFFFFFF"/>
      <name val="Calibri"/>
    </font>
    <font>
      <b/>
      <sz val="8.0"/>
      <color rgb="FFFFFFFF"/>
      <name val="Calibri"/>
    </font>
    <font>
      <sz val="8.0"/>
      <color rgb="FF000000"/>
      <name val="Calibri"/>
    </font>
    <font>
      <b/>
      <sz val="9.0"/>
      <color rgb="FFFF0000"/>
      <name val="Calibri"/>
    </font>
    <font>
      <b/>
      <sz val="16.0"/>
      <color rgb="FF800080"/>
      <name val="Calibri"/>
    </font>
    <font>
      <b/>
      <sz val="18.0"/>
      <color rgb="FF000000"/>
      <name val="Limelight"/>
    </font>
    <font>
      <b/>
      <sz val="11.0"/>
      <color rgb="FF000000"/>
      <name val="Baumans"/>
    </font>
    <font>
      <sz val="11.0"/>
      <color rgb="FFFF0000"/>
      <name val="Calibri"/>
    </font>
    <font>
      <b/>
      <sz val="11.0"/>
      <color rgb="FF000000"/>
      <name val="Colonna mt"/>
    </font>
    <font>
      <sz val="16.0"/>
      <color rgb="FF000000"/>
      <name val="Corben"/>
    </font>
    <font>
      <b/>
      <sz val="11.0"/>
      <color rgb="FF000000"/>
      <name val="Courier New"/>
    </font>
    <font>
      <sz val="16.0"/>
      <color rgb="FF000000"/>
      <name val="Courier New"/>
    </font>
    <font>
      <b/>
      <sz val="14.0"/>
      <color rgb="FF000000"/>
      <name val="Balthazar"/>
    </font>
    <font>
      <b/>
      <sz val="12.0"/>
      <color rgb="FF000000"/>
      <name val="Balthazar"/>
    </font>
    <font>
      <b/>
      <sz val="16.0"/>
      <color rgb="FF000000"/>
      <name val="Calibri"/>
    </font>
    <font>
      <b/>
      <sz val="16.0"/>
      <color rgb="FFFF0000"/>
      <name val="Calibri"/>
    </font>
    <font>
      <b/>
      <sz val="16.0"/>
      <color rgb="FFFFFFFF"/>
      <name val="Calibri"/>
    </font>
    <font>
      <b/>
      <sz val="16.0"/>
      <color theme="1"/>
      <name val="Calibri"/>
    </font>
    <font>
      <sz val="16.0"/>
      <color rgb="FF000000"/>
      <name val="Calibri"/>
    </font>
    <font>
      <sz val="16.0"/>
      <color rgb="FFFF0000"/>
      <name val="Calibri"/>
    </font>
    <font>
      <sz val="16.0"/>
      <color rgb="FFFFFFFF"/>
      <name val="Calibri"/>
    </font>
    <font>
      <sz val="16.0"/>
      <color theme="1"/>
      <name val="Calibri"/>
    </font>
    <font>
      <u/>
      <sz val="16.0"/>
      <color rgb="FF000080"/>
      <name val="Corben"/>
    </font>
    <font>
      <color theme="1"/>
      <name val="Calibri"/>
      <scheme val="minor"/>
    </font>
    <font>
      <b/>
      <sz val="11.0"/>
      <color rgb="FF000000"/>
      <name val="Cambria"/>
    </font>
    <font>
      <b/>
      <sz val="12.0"/>
      <color rgb="FF660066"/>
      <name val="Balthazar"/>
    </font>
    <font>
      <b/>
      <sz val="12.0"/>
      <color rgb="FF660066"/>
      <name val="Calibri"/>
    </font>
    <font>
      <sz val="11.0"/>
      <color rgb="FF660066"/>
      <name val="Calibri"/>
    </font>
    <font>
      <b/>
      <sz val="14.0"/>
      <color rgb="FF660066"/>
      <name val="Balthazar"/>
    </font>
    <font>
      <sz val="14.0"/>
      <color rgb="FF660066"/>
      <name val="Balthazar"/>
    </font>
    <font>
      <sz val="13.0"/>
      <color rgb="FF660066"/>
      <name val="Balthazar"/>
    </font>
    <font>
      <sz val="13.0"/>
      <color rgb="FF000000"/>
      <name val="Balthazar"/>
    </font>
    <font>
      <b/>
      <u/>
      <sz val="16.0"/>
      <color rgb="FF000000"/>
      <name val="Times New Roman"/>
    </font>
    <font>
      <sz val="14.0"/>
      <color rgb="FF000000"/>
      <name val="Times New Roman"/>
    </font>
    <font>
      <b/>
      <sz val="16.0"/>
      <color rgb="FF000000"/>
      <name val="Times New Roman"/>
    </font>
    <font>
      <b/>
      <sz val="16.0"/>
      <color theme="1"/>
      <name val="Times New Roman"/>
    </font>
    <font>
      <b/>
      <sz val="16.0"/>
      <color rgb="FFFF0000"/>
      <name val="Times New Roman"/>
    </font>
    <font>
      <sz val="12.0"/>
      <color rgb="FF000000"/>
      <name val="Times New Roman"/>
    </font>
    <font>
      <b/>
      <sz val="10.0"/>
      <color rgb="FF000000"/>
      <name val="Lucida bright"/>
    </font>
    <font>
      <sz val="10.0"/>
      <color rgb="FF000000"/>
      <name val="Lucida bright"/>
    </font>
    <font>
      <sz val="10.0"/>
      <color rgb="FF000000"/>
      <name val="Verdana"/>
    </font>
    <font>
      <u/>
      <sz val="10.0"/>
      <color rgb="FF000000"/>
      <name val="Verdana"/>
    </font>
  </fonts>
  <fills count="11">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CCC0D9"/>
        <bgColor rgb="FFCCC0D9"/>
      </patternFill>
    </fill>
    <fill>
      <patternFill patternType="solid">
        <fgColor rgb="FFC0C0C0"/>
        <bgColor rgb="FFC0C0C0"/>
      </patternFill>
    </fill>
    <fill>
      <patternFill patternType="solid">
        <fgColor rgb="FFCCFFCC"/>
        <bgColor rgb="FFCCFFCC"/>
      </patternFill>
    </fill>
    <fill>
      <patternFill patternType="solid">
        <fgColor rgb="FFFF99CC"/>
        <bgColor rgb="FFFF99CC"/>
      </patternFill>
    </fill>
    <fill>
      <patternFill patternType="solid">
        <fgColor rgb="FFFF0000"/>
        <bgColor rgb="FFFF0000"/>
      </patternFill>
    </fill>
    <fill>
      <patternFill patternType="solid">
        <fgColor rgb="FFFFFFFF"/>
        <bgColor rgb="FFFFFFFF"/>
      </patternFill>
    </fill>
    <fill>
      <patternFill patternType="solid">
        <fgColor rgb="FF7F7F7F"/>
        <bgColor rgb="FF7F7F7F"/>
      </patternFill>
    </fill>
  </fills>
  <borders count="69">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ck">
        <color rgb="FFFF0000"/>
      </left>
      <right style="thick">
        <color rgb="FFFF0000"/>
      </right>
      <top style="thick">
        <color rgb="FFFF0000"/>
      </top>
      <bottom style="thick">
        <color rgb="FFFF0000"/>
      </bottom>
    </border>
    <border>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style="medium">
        <color rgb="FF000000"/>
      </right>
      <top style="medium">
        <color rgb="FF000000"/>
      </top>
      <bottom style="medium">
        <color rgb="FF000000"/>
      </bottom>
    </border>
    <border>
      <left/>
      <right style="medium">
        <color rgb="FF000000"/>
      </right>
      <top style="medium">
        <color rgb="FF000000"/>
      </top>
      <bottom/>
    </border>
    <border>
      <left style="medium">
        <color rgb="FF000000"/>
      </left>
      <right style="medium">
        <color rgb="FF000000"/>
      </right>
      <top/>
    </border>
    <border>
      <left style="medium">
        <color rgb="FF000000"/>
      </left>
      <right style="medium">
        <color rgb="FF000000"/>
      </right>
      <top/>
      <bottom style="thin">
        <color rgb="FF000000"/>
      </bottom>
    </border>
    <border>
      <left/>
      <right style="medium">
        <color rgb="FF000000"/>
      </right>
      <top/>
      <bottom style="thin">
        <color rgb="FF000000"/>
      </bottom>
    </border>
    <border>
      <left style="medium">
        <color rgb="FF000000"/>
      </left>
      <right style="medium">
        <color rgb="FF000000"/>
      </right>
    </border>
    <border>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right style="medium">
        <color rgb="FF000000"/>
      </right>
      <top style="thin">
        <color rgb="FF000000"/>
      </top>
      <bottom style="medium">
        <color rgb="FF000000"/>
      </bottom>
    </border>
    <border>
      <left/>
      <right/>
      <top/>
      <bottom/>
    </border>
    <border>
      <left/>
      <right style="thin">
        <color rgb="FFC0C0C0"/>
      </right>
      <top/>
      <bottom style="thin">
        <color rgb="FFC0C0C0"/>
      </bottom>
    </border>
    <border>
      <left style="thin">
        <color rgb="FFC0C0C0"/>
      </left>
      <right style="thin">
        <color rgb="FFC0C0C0"/>
      </right>
      <top/>
      <bottom style="thin">
        <color rgb="FFC0C0C0"/>
      </bottom>
    </border>
    <border>
      <left/>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1" numFmtId="164" xfId="0" applyFont="1" applyNumberFormat="1"/>
    <xf borderId="0" fillId="0" fontId="1" numFmtId="0" xfId="0" applyAlignment="1" applyFont="1">
      <alignment horizontal="left"/>
    </xf>
    <xf borderId="0" fillId="0" fontId="1" numFmtId="164" xfId="0" applyAlignment="1" applyFont="1" applyNumberFormat="1">
      <alignment horizontal="center"/>
    </xf>
    <xf borderId="0" fillId="0" fontId="2" numFmtId="14" xfId="0" applyAlignment="1" applyFont="1" applyNumberFormat="1">
      <alignment horizontal="center"/>
    </xf>
    <xf borderId="1" fillId="0" fontId="1" numFmtId="0" xfId="0" applyAlignment="1" applyBorder="1" applyFont="1">
      <alignment horizontal="center"/>
    </xf>
    <xf borderId="2" fillId="2" fontId="1" numFmtId="0" xfId="0" applyAlignment="1" applyBorder="1" applyFill="1" applyFont="1">
      <alignment horizontal="center"/>
    </xf>
    <xf borderId="3" fillId="3" fontId="1" numFmtId="0" xfId="0" applyAlignment="1" applyBorder="1" applyFill="1" applyFont="1">
      <alignment horizontal="center"/>
    </xf>
    <xf borderId="3" fillId="0" fontId="1" numFmtId="0" xfId="0" applyAlignment="1" applyBorder="1" applyFont="1">
      <alignment horizontal="center"/>
    </xf>
    <xf borderId="4" fillId="0" fontId="1" numFmtId="0" xfId="0" applyAlignment="1" applyBorder="1" applyFont="1">
      <alignment horizontal="center"/>
    </xf>
    <xf borderId="5" fillId="0" fontId="1" numFmtId="0" xfId="0" applyAlignment="1" applyBorder="1" applyFont="1">
      <alignment horizontal="center"/>
    </xf>
    <xf borderId="6" fillId="2" fontId="1" numFmtId="0" xfId="0" applyAlignment="1" applyBorder="1" applyFont="1">
      <alignment horizontal="center"/>
    </xf>
    <xf borderId="7" fillId="0" fontId="3" numFmtId="0" xfId="0" applyAlignment="1" applyBorder="1" applyFont="1">
      <alignment horizontal="center"/>
    </xf>
    <xf borderId="8" fillId="2" fontId="1" numFmtId="164" xfId="0" applyAlignment="1" applyBorder="1" applyFont="1" applyNumberFormat="1">
      <alignment horizontal="center"/>
    </xf>
    <xf borderId="9" fillId="3" fontId="1" numFmtId="164" xfId="0" applyAlignment="1" applyBorder="1" applyFont="1" applyNumberFormat="1">
      <alignment horizontal="center"/>
    </xf>
    <xf borderId="9" fillId="4" fontId="1" numFmtId="0" xfId="0" applyAlignment="1" applyBorder="1" applyFill="1" applyFont="1">
      <alignment horizontal="center"/>
    </xf>
    <xf borderId="10" fillId="4" fontId="1" numFmtId="0" xfId="0" applyAlignment="1" applyBorder="1" applyFont="1">
      <alignment horizontal="center"/>
    </xf>
    <xf borderId="11" fillId="0" fontId="3" numFmtId="0" xfId="0" applyAlignment="1" applyBorder="1" applyFont="1">
      <alignment horizontal="center"/>
    </xf>
    <xf borderId="12" fillId="0" fontId="3" numFmtId="0" xfId="0" applyAlignment="1" applyBorder="1" applyFont="1">
      <alignment horizontal="center"/>
    </xf>
    <xf borderId="13" fillId="2" fontId="1" numFmtId="164" xfId="0" applyAlignment="1" applyBorder="1" applyFont="1" applyNumberFormat="1">
      <alignment horizontal="center"/>
    </xf>
    <xf borderId="14" fillId="3" fontId="1" numFmtId="164" xfId="0" applyAlignment="1" applyBorder="1" applyFont="1" applyNumberFormat="1">
      <alignment horizontal="center"/>
    </xf>
    <xf borderId="14" fillId="4" fontId="1" numFmtId="0" xfId="0" applyAlignment="1" applyBorder="1" applyFont="1">
      <alignment horizontal="center"/>
    </xf>
    <xf borderId="15" fillId="4" fontId="1" numFmtId="0" xfId="0" applyAlignment="1" applyBorder="1" applyFont="1">
      <alignment horizontal="center"/>
    </xf>
    <xf borderId="16" fillId="0" fontId="3" numFmtId="0" xfId="0" applyAlignment="1" applyBorder="1" applyFont="1">
      <alignment horizontal="center"/>
    </xf>
    <xf borderId="17" fillId="0" fontId="3" numFmtId="0" xfId="0" applyAlignment="1" applyBorder="1" applyFont="1">
      <alignment horizontal="center"/>
    </xf>
    <xf borderId="18" fillId="2" fontId="1" numFmtId="164" xfId="0" applyAlignment="1" applyBorder="1" applyFont="1" applyNumberFormat="1">
      <alignment horizontal="center"/>
    </xf>
    <xf borderId="19" fillId="3" fontId="1" numFmtId="164" xfId="0" applyAlignment="1" applyBorder="1" applyFont="1" applyNumberFormat="1">
      <alignment horizontal="center"/>
    </xf>
    <xf borderId="19" fillId="4" fontId="1" numFmtId="0" xfId="0" applyAlignment="1" applyBorder="1" applyFont="1">
      <alignment horizontal="center"/>
    </xf>
    <xf borderId="20" fillId="4" fontId="1" numFmtId="0" xfId="0" applyAlignment="1" applyBorder="1" applyFont="1">
      <alignment horizontal="center"/>
    </xf>
    <xf borderId="21" fillId="0" fontId="3" numFmtId="0" xfId="0" applyAlignment="1" applyBorder="1" applyFont="1">
      <alignment horizontal="center"/>
    </xf>
    <xf borderId="0" fillId="0" fontId="4" numFmtId="0" xfId="0" applyFont="1"/>
    <xf borderId="0" fillId="0" fontId="5" numFmtId="0" xfId="0" applyFont="1"/>
    <xf borderId="0" fillId="0" fontId="6" numFmtId="0" xfId="0" applyFont="1"/>
    <xf borderId="0" fillId="0" fontId="6" numFmtId="0" xfId="0" applyAlignment="1" applyFont="1">
      <alignment horizontal="center"/>
    </xf>
    <xf borderId="0" fillId="0" fontId="7" numFmtId="0" xfId="0" applyFont="1"/>
    <xf borderId="0" fillId="0" fontId="8" numFmtId="0" xfId="0" applyFont="1"/>
    <xf borderId="22" fillId="3" fontId="9" numFmtId="0" xfId="0" applyAlignment="1" applyBorder="1" applyFont="1">
      <alignment horizontal="center" vertical="center"/>
    </xf>
    <xf borderId="0" fillId="0" fontId="10" numFmtId="0" xfId="0" applyFont="1"/>
    <xf borderId="0" fillId="0" fontId="10" numFmtId="0" xfId="0" applyAlignment="1" applyFont="1">
      <alignment horizontal="center"/>
    </xf>
    <xf borderId="0" fillId="0" fontId="11" numFmtId="0" xfId="0" applyFont="1"/>
    <xf borderId="0" fillId="0" fontId="12" numFmtId="0" xfId="0" applyFont="1"/>
    <xf borderId="0" fillId="0" fontId="12" numFmtId="0" xfId="0" applyAlignment="1" applyFont="1">
      <alignment horizontal="center"/>
    </xf>
    <xf borderId="0" fillId="0" fontId="13" numFmtId="0" xfId="0" applyAlignment="1" applyFont="1">
      <alignment horizontal="left"/>
    </xf>
    <xf borderId="0" fillId="0" fontId="14" numFmtId="0" xfId="0" applyFont="1"/>
    <xf borderId="0" fillId="0" fontId="15" numFmtId="0" xfId="0" applyAlignment="1" applyFont="1">
      <alignment horizontal="left"/>
    </xf>
    <xf borderId="23" fillId="0" fontId="14" numFmtId="0" xfId="0" applyBorder="1" applyFont="1"/>
    <xf borderId="24" fillId="0" fontId="16" numFmtId="0" xfId="0" applyAlignment="1" applyBorder="1" applyFont="1">
      <alignment horizontal="left" shrinkToFit="0" vertical="center" wrapText="1"/>
    </xf>
    <xf borderId="25" fillId="0" fontId="17" numFmtId="0" xfId="0" applyBorder="1" applyFont="1"/>
    <xf borderId="26" fillId="0" fontId="17" numFmtId="0" xfId="0" applyBorder="1" applyFont="1"/>
    <xf borderId="23" fillId="0" fontId="14" numFmtId="0" xfId="0" applyAlignment="1" applyBorder="1" applyFont="1">
      <alignment horizontal="left"/>
    </xf>
    <xf borderId="27" fillId="0" fontId="17" numFmtId="0" xfId="0" applyBorder="1" applyFont="1"/>
    <xf borderId="28" fillId="0" fontId="17" numFmtId="0" xfId="0" applyBorder="1" applyFont="1"/>
    <xf borderId="29" fillId="0" fontId="14" numFmtId="165" xfId="0" applyAlignment="1" applyBorder="1" applyFont="1" applyNumberFormat="1">
      <alignment horizontal="left"/>
    </xf>
    <xf borderId="30" fillId="0" fontId="17" numFmtId="0" xfId="0" applyBorder="1" applyFont="1"/>
    <xf borderId="31" fillId="0" fontId="17" numFmtId="0" xfId="0" applyBorder="1" applyFont="1"/>
    <xf borderId="32" fillId="0" fontId="17" numFmtId="0" xfId="0" applyBorder="1" applyFont="1"/>
    <xf borderId="0" fillId="0" fontId="15" numFmtId="0" xfId="0" applyAlignment="1" applyFont="1">
      <alignment horizontal="center"/>
    </xf>
    <xf borderId="0" fillId="0" fontId="14" numFmtId="0" xfId="0" applyAlignment="1" applyFont="1">
      <alignment horizontal="center"/>
    </xf>
    <xf borderId="5" fillId="5" fontId="15" numFmtId="0" xfId="0" applyAlignment="1" applyBorder="1" applyFill="1" applyFont="1">
      <alignment horizontal="center"/>
    </xf>
    <xf borderId="5" fillId="2" fontId="15" numFmtId="0" xfId="0" applyAlignment="1" applyBorder="1" applyFont="1">
      <alignment horizontal="center"/>
    </xf>
    <xf borderId="5" fillId="6" fontId="15" numFmtId="0" xfId="0" applyAlignment="1" applyBorder="1" applyFill="1" applyFont="1">
      <alignment horizontal="center"/>
    </xf>
    <xf borderId="5" fillId="3" fontId="15" numFmtId="0" xfId="0" applyAlignment="1" applyBorder="1" applyFont="1">
      <alignment horizontal="center"/>
    </xf>
    <xf borderId="33" fillId="7" fontId="15" numFmtId="0" xfId="0" applyAlignment="1" applyBorder="1" applyFill="1" applyFont="1">
      <alignment horizontal="center"/>
    </xf>
    <xf borderId="33" fillId="8" fontId="18" numFmtId="0" xfId="0" applyAlignment="1" applyBorder="1" applyFill="1" applyFont="1">
      <alignment horizontal="center"/>
    </xf>
    <xf borderId="34" fillId="7" fontId="15" numFmtId="0" xfId="0" applyAlignment="1" applyBorder="1" applyFont="1">
      <alignment horizontal="center"/>
    </xf>
    <xf borderId="0" fillId="0" fontId="18" numFmtId="0" xfId="0" applyAlignment="1" applyFont="1">
      <alignment horizontal="center"/>
    </xf>
    <xf borderId="0" fillId="0" fontId="15" numFmtId="0" xfId="0" applyAlignment="1" applyFont="1">
      <alignment horizontal="center" vertical="center"/>
    </xf>
    <xf borderId="35" fillId="5" fontId="15" numFmtId="0" xfId="0" applyAlignment="1" applyBorder="1" applyFont="1">
      <alignment horizontal="center" vertical="center"/>
    </xf>
    <xf borderId="36" fillId="2" fontId="14" numFmtId="0" xfId="0" applyAlignment="1" applyBorder="1" applyFont="1">
      <alignment horizontal="center"/>
    </xf>
    <xf borderId="36" fillId="6" fontId="14" numFmtId="0" xfId="0" applyAlignment="1" applyBorder="1" applyFont="1">
      <alignment horizontal="center"/>
    </xf>
    <xf borderId="16" fillId="3" fontId="14" numFmtId="0" xfId="0" applyAlignment="1" applyBorder="1" applyFont="1">
      <alignment horizontal="center"/>
    </xf>
    <xf borderId="37" fillId="9" fontId="14" numFmtId="0" xfId="0" applyBorder="1" applyFill="1" applyFont="1"/>
    <xf borderId="36" fillId="3" fontId="14" numFmtId="0" xfId="0" applyAlignment="1" applyBorder="1" applyFont="1">
      <alignment horizontal="center"/>
    </xf>
    <xf borderId="15" fillId="9" fontId="14" numFmtId="0" xfId="0" applyBorder="1" applyFont="1"/>
    <xf borderId="0" fillId="0" fontId="19" numFmtId="0" xfId="0" applyFont="1"/>
    <xf borderId="38" fillId="0" fontId="17" numFmtId="0" xfId="0" applyBorder="1" applyFont="1"/>
    <xf borderId="16" fillId="2" fontId="14" numFmtId="0" xfId="0" applyAlignment="1" applyBorder="1" applyFont="1">
      <alignment horizontal="center"/>
    </xf>
    <xf borderId="16" fillId="6" fontId="14" numFmtId="0" xfId="0" applyAlignment="1" applyBorder="1" applyFont="1">
      <alignment horizontal="center"/>
    </xf>
    <xf borderId="39" fillId="9" fontId="14" numFmtId="0" xfId="0" applyBorder="1" applyFont="1"/>
    <xf borderId="16" fillId="3" fontId="14" numFmtId="0" xfId="0" applyAlignment="1" applyBorder="1" applyFont="1">
      <alignment horizontal="center" readingOrder="0"/>
    </xf>
    <xf borderId="40" fillId="0" fontId="17" numFmtId="0" xfId="0" applyBorder="1" applyFont="1"/>
    <xf borderId="21" fillId="2" fontId="14" numFmtId="0" xfId="0" applyAlignment="1" applyBorder="1" applyFont="1">
      <alignment horizontal="center"/>
    </xf>
    <xf borderId="21" fillId="6" fontId="14" numFmtId="0" xfId="0" applyAlignment="1" applyBorder="1" applyFont="1">
      <alignment horizontal="center"/>
    </xf>
    <xf borderId="21" fillId="3" fontId="14" numFmtId="0" xfId="0" applyAlignment="1" applyBorder="1" applyFont="1">
      <alignment horizontal="center"/>
    </xf>
    <xf borderId="41" fillId="9" fontId="14" numFmtId="0" xfId="0" applyBorder="1" applyFont="1"/>
    <xf borderId="20" fillId="9" fontId="14" numFmtId="0" xfId="0" applyBorder="1" applyFont="1"/>
    <xf borderId="0" fillId="0" fontId="19" numFmtId="0" xfId="0" applyAlignment="1" applyFont="1">
      <alignment horizontal="center"/>
    </xf>
    <xf borderId="0" fillId="0" fontId="20" numFmtId="0" xfId="0" applyFont="1"/>
    <xf borderId="15" fillId="9" fontId="21" numFmtId="0" xfId="0" applyBorder="1" applyFont="1"/>
    <xf borderId="20" fillId="9" fontId="21" numFmtId="0" xfId="0" applyBorder="1" applyFont="1"/>
    <xf borderId="0" fillId="0" fontId="22" numFmtId="0" xfId="0" applyAlignment="1" applyFont="1">
      <alignment horizontal="center"/>
    </xf>
    <xf borderId="0" fillId="0" fontId="23" numFmtId="0" xfId="0" applyAlignment="1" applyFont="1">
      <alignment horizontal="center"/>
    </xf>
    <xf borderId="0" fillId="0" fontId="24" numFmtId="0" xfId="0" applyAlignment="1" applyFont="1">
      <alignment horizontal="center"/>
    </xf>
    <xf borderId="0" fillId="0" fontId="3" numFmtId="0" xfId="0" applyAlignment="1" applyFont="1">
      <alignment vertical="center"/>
    </xf>
    <xf borderId="0" fillId="0" fontId="25" numFmtId="0" xfId="0" applyAlignment="1" applyFont="1">
      <alignment horizontal="center"/>
    </xf>
    <xf borderId="0" fillId="0" fontId="3" numFmtId="0" xfId="0" applyAlignment="1" applyFont="1">
      <alignment horizontal="center" vertical="center"/>
    </xf>
    <xf borderId="0" fillId="0" fontId="26" numFmtId="0" xfId="0" applyFont="1"/>
    <xf borderId="0" fillId="0" fontId="27" numFmtId="0" xfId="0" applyFont="1"/>
    <xf borderId="0" fillId="0" fontId="27" numFmtId="0" xfId="0" applyAlignment="1" applyFont="1">
      <alignment horizontal="center"/>
    </xf>
    <xf borderId="0" fillId="0" fontId="1" numFmtId="164" xfId="0" applyAlignment="1" applyFont="1" applyNumberFormat="1">
      <alignment horizontal="left"/>
    </xf>
    <xf borderId="42" fillId="9" fontId="26" numFmtId="0" xfId="0" applyAlignment="1" applyBorder="1" applyFont="1">
      <alignment horizontal="center"/>
    </xf>
    <xf borderId="42" fillId="9" fontId="8" numFmtId="0" xfId="0" applyAlignment="1" applyBorder="1" applyFont="1">
      <alignment horizontal="center" vertical="center"/>
    </xf>
    <xf borderId="42" fillId="9" fontId="8" numFmtId="0" xfId="0" applyAlignment="1" applyBorder="1" applyFont="1">
      <alignment horizontal="center"/>
    </xf>
    <xf borderId="0" fillId="0" fontId="28" numFmtId="0" xfId="0" applyAlignment="1" applyFont="1">
      <alignment vertical="center"/>
    </xf>
    <xf borderId="0" fillId="0" fontId="28" numFmtId="0" xfId="0" applyAlignment="1" applyFont="1">
      <alignment horizontal="center" vertical="center"/>
    </xf>
    <xf borderId="42" fillId="9" fontId="7" numFmtId="0" xfId="0" applyBorder="1" applyFont="1"/>
    <xf borderId="42" fillId="9" fontId="6" numFmtId="0" xfId="0" applyAlignment="1" applyBorder="1" applyFont="1">
      <alignment horizontal="center" shrinkToFit="0" vertical="center" wrapText="1"/>
    </xf>
    <xf borderId="0" fillId="0" fontId="29" numFmtId="0" xfId="0" applyAlignment="1" applyFont="1">
      <alignment vertical="center"/>
    </xf>
    <xf borderId="0" fillId="0" fontId="30" numFmtId="0" xfId="0" applyAlignment="1" applyFont="1">
      <alignment vertical="center"/>
    </xf>
    <xf borderId="0" fillId="0" fontId="30" numFmtId="0" xfId="0" applyAlignment="1" applyFont="1">
      <alignment horizontal="center" vertical="center"/>
    </xf>
    <xf borderId="42" fillId="9" fontId="10" numFmtId="0" xfId="0" applyAlignment="1" applyBorder="1" applyFont="1">
      <alignment horizontal="center"/>
    </xf>
    <xf borderId="42" fillId="9" fontId="8" numFmtId="0" xfId="0" applyBorder="1" applyFont="1"/>
    <xf borderId="42" fillId="9" fontId="10" numFmtId="0" xfId="0" applyAlignment="1" applyBorder="1" applyFont="1">
      <alignment horizontal="center" vertical="center"/>
    </xf>
    <xf borderId="0" fillId="0" fontId="1" numFmtId="14" xfId="0" applyAlignment="1" applyFont="1" applyNumberFormat="1">
      <alignment horizontal="left"/>
    </xf>
    <xf borderId="0" fillId="0" fontId="31" numFmtId="0" xfId="0" applyAlignment="1" applyFont="1">
      <alignment vertical="center"/>
    </xf>
    <xf borderId="0" fillId="0" fontId="32" numFmtId="0" xfId="0" applyAlignment="1" applyFont="1">
      <alignment vertical="center"/>
    </xf>
    <xf borderId="0" fillId="0" fontId="32" numFmtId="0" xfId="0" applyAlignment="1" applyFont="1">
      <alignment horizontal="center" vertical="center"/>
    </xf>
    <xf borderId="42" fillId="9" fontId="8" numFmtId="166" xfId="0" applyAlignment="1" applyBorder="1" applyFont="1" applyNumberFormat="1">
      <alignment horizontal="center"/>
    </xf>
    <xf borderId="0" fillId="0" fontId="33" numFmtId="0" xfId="0" applyAlignment="1" applyFont="1">
      <alignment horizontal="center"/>
    </xf>
    <xf borderId="14" fillId="0" fontId="33" numFmtId="0" xfId="0" applyAlignment="1" applyBorder="1" applyFont="1">
      <alignment horizontal="center"/>
    </xf>
    <xf borderId="0" fillId="0" fontId="31" numFmtId="0" xfId="0" applyAlignment="1" applyFont="1">
      <alignment horizontal="center" vertical="center"/>
    </xf>
    <xf borderId="0" fillId="0" fontId="34" numFmtId="0" xfId="0" applyAlignment="1" applyFont="1">
      <alignment horizontal="center"/>
    </xf>
    <xf borderId="0" fillId="0" fontId="35" numFmtId="0" xfId="0" applyAlignment="1" applyFont="1">
      <alignment horizontal="center"/>
    </xf>
    <xf borderId="0" fillId="0" fontId="36" numFmtId="0" xfId="0" applyAlignment="1" applyFont="1">
      <alignment horizontal="center"/>
    </xf>
    <xf borderId="0" fillId="0" fontId="37" numFmtId="0" xfId="0" applyFont="1"/>
    <xf borderId="14" fillId="0" fontId="37" numFmtId="3" xfId="0" applyAlignment="1" applyBorder="1" applyFont="1" applyNumberFormat="1">
      <alignment horizontal="center"/>
    </xf>
    <xf borderId="14" fillId="0" fontId="37" numFmtId="0" xfId="0" applyAlignment="1" applyBorder="1" applyFont="1">
      <alignment horizontal="center"/>
    </xf>
    <xf borderId="14" fillId="0" fontId="34" numFmtId="0" xfId="0" applyAlignment="1" applyBorder="1" applyFont="1">
      <alignment horizontal="center"/>
    </xf>
    <xf borderId="0" fillId="0" fontId="38" numFmtId="0" xfId="0" applyFont="1"/>
    <xf borderId="0" fillId="0" fontId="39" numFmtId="0" xfId="0" applyFont="1"/>
    <xf borderId="0" fillId="0" fontId="40" numFmtId="0" xfId="0" applyFont="1"/>
    <xf borderId="14" fillId="10" fontId="37" numFmtId="0" xfId="0" applyAlignment="1" applyBorder="1" applyFill="1" applyFont="1">
      <alignment horizontal="center"/>
    </xf>
    <xf borderId="14" fillId="10" fontId="37" numFmtId="0" xfId="0" applyBorder="1" applyFont="1"/>
    <xf borderId="0" fillId="0" fontId="3" numFmtId="3" xfId="0" applyAlignment="1" applyFont="1" applyNumberFormat="1">
      <alignment horizontal="center"/>
    </xf>
    <xf borderId="0" fillId="0" fontId="3" numFmtId="0" xfId="0" applyAlignment="1" applyFont="1">
      <alignment horizontal="center"/>
    </xf>
    <xf borderId="0" fillId="0" fontId="41" numFmtId="0" xfId="0" applyAlignment="1" applyFont="1">
      <alignment vertical="center"/>
    </xf>
    <xf borderId="0" fillId="0" fontId="42" numFmtId="0" xfId="0" applyFont="1"/>
    <xf borderId="0" fillId="0" fontId="43" numFmtId="0" xfId="0" applyAlignment="1" applyFont="1">
      <alignment vertical="center"/>
    </xf>
    <xf borderId="0" fillId="0" fontId="44" numFmtId="0" xfId="0" applyAlignment="1" applyFont="1">
      <alignment vertical="center"/>
    </xf>
    <xf borderId="0" fillId="0" fontId="45" numFmtId="0" xfId="0" applyAlignment="1" applyFont="1">
      <alignment vertical="center"/>
    </xf>
    <xf borderId="0" fillId="0" fontId="46" numFmtId="0" xfId="0" applyAlignment="1" applyFont="1">
      <alignment horizontal="center" vertical="center"/>
    </xf>
    <xf borderId="0" fillId="0" fontId="46" numFmtId="0" xfId="0" applyAlignment="1" applyFont="1">
      <alignment vertical="center"/>
    </xf>
    <xf borderId="0" fillId="0" fontId="44" numFmtId="0" xfId="0" applyAlignment="1" applyFont="1">
      <alignment horizontal="center" vertical="center"/>
    </xf>
    <xf borderId="0" fillId="0" fontId="47" numFmtId="0" xfId="0" applyAlignment="1" applyFont="1">
      <alignment vertical="center"/>
    </xf>
    <xf borderId="0" fillId="0" fontId="48" numFmtId="0" xfId="0" applyAlignment="1" applyFont="1">
      <alignment vertical="center"/>
    </xf>
    <xf borderId="0" fillId="0" fontId="49" numFmtId="0" xfId="0" applyAlignment="1" applyFont="1">
      <alignment vertical="center"/>
    </xf>
    <xf borderId="0" fillId="0" fontId="50" numFmtId="0" xfId="0" applyAlignment="1" applyFont="1">
      <alignment vertical="center"/>
    </xf>
    <xf borderId="0" fillId="0" fontId="1" numFmtId="0" xfId="0" applyAlignment="1" applyFont="1">
      <alignment horizontal="center" vertical="center"/>
    </xf>
    <xf borderId="0" fillId="0" fontId="51" numFmtId="0" xfId="0" applyAlignment="1" applyFont="1">
      <alignment horizontal="left" vertical="center"/>
    </xf>
    <xf borderId="0" fillId="0" fontId="52" numFmtId="0" xfId="0" applyAlignment="1" applyFont="1">
      <alignment horizontal="left" vertical="center"/>
    </xf>
    <xf borderId="42" fillId="9" fontId="11" numFmtId="0" xfId="0" applyAlignment="1" applyBorder="1" applyFont="1">
      <alignment horizontal="center"/>
    </xf>
    <xf borderId="42" fillId="9" fontId="11" numFmtId="0" xfId="0" applyBorder="1" applyFont="1"/>
    <xf borderId="42" fillId="9" fontId="7" numFmtId="0" xfId="0" applyAlignment="1" applyBorder="1" applyFont="1">
      <alignment horizontal="center" vertical="center"/>
    </xf>
    <xf borderId="42" fillId="9" fontId="7" numFmtId="0" xfId="0" applyAlignment="1" applyBorder="1" applyFont="1">
      <alignment vertical="center"/>
    </xf>
    <xf borderId="42" fillId="9" fontId="7" numFmtId="0" xfId="0" applyAlignment="1" applyBorder="1" applyFont="1">
      <alignment horizontal="center"/>
    </xf>
    <xf borderId="0" fillId="0" fontId="53" numFmtId="0" xfId="0" applyAlignment="1" applyFont="1">
      <alignment horizontal="left" vertical="center"/>
    </xf>
    <xf borderId="43" fillId="9" fontId="11" numFmtId="0" xfId="0" applyBorder="1" applyFont="1"/>
    <xf borderId="44" fillId="9" fontId="11" numFmtId="0" xfId="0" applyBorder="1" applyFont="1"/>
    <xf borderId="45" fillId="9" fontId="11" numFmtId="0" xfId="0" applyBorder="1" applyFont="1"/>
    <xf borderId="46" fillId="9" fontId="11" numFmtId="0" xfId="0" applyBorder="1" applyFont="1"/>
    <xf borderId="0" fillId="0" fontId="54" numFmtId="0" xfId="0" applyAlignment="1" applyFont="1">
      <alignment vertical="center"/>
    </xf>
    <xf borderId="47" fillId="0" fontId="52" numFmtId="0" xfId="0" applyAlignment="1" applyBorder="1" applyFont="1">
      <alignment horizontal="left" shrinkToFit="0" vertical="top" wrapText="1"/>
    </xf>
    <xf borderId="48" fillId="0" fontId="17" numFmtId="0" xfId="0" applyBorder="1" applyFont="1"/>
    <xf borderId="49" fillId="0" fontId="17" numFmtId="0" xfId="0" applyBorder="1" applyFont="1"/>
    <xf borderId="50" fillId="0" fontId="17" numFmtId="0" xfId="0" applyBorder="1" applyFont="1"/>
    <xf borderId="51" fillId="0" fontId="17" numFmtId="0" xfId="0" applyBorder="1" applyFont="1"/>
    <xf borderId="52" fillId="0" fontId="17" numFmtId="0" xfId="0" applyBorder="1" applyFont="1"/>
    <xf borderId="53" fillId="0" fontId="17" numFmtId="0" xfId="0" applyBorder="1" applyFont="1"/>
    <xf borderId="54" fillId="0" fontId="17" numFmtId="0" xfId="0" applyBorder="1" applyFont="1"/>
    <xf borderId="0" fillId="0" fontId="3" numFmtId="0" xfId="0" applyAlignment="1" applyFont="1">
      <alignment horizontal="left" vertical="top"/>
    </xf>
    <xf borderId="0" fillId="0" fontId="55" numFmtId="0" xfId="0" applyAlignment="1" applyFont="1">
      <alignment vertical="center"/>
    </xf>
    <xf borderId="0" fillId="0" fontId="56" numFmtId="0" xfId="0" applyAlignment="1" applyFont="1">
      <alignment horizontal="left" vertical="top"/>
    </xf>
    <xf borderId="55" fillId="0" fontId="1" numFmtId="0" xfId="0" applyAlignment="1" applyBorder="1" applyFont="1">
      <alignment horizontal="center"/>
    </xf>
    <xf borderId="56" fillId="0" fontId="1" numFmtId="0" xfId="0" applyAlignment="1" applyBorder="1" applyFont="1">
      <alignment horizontal="center"/>
    </xf>
    <xf borderId="2" fillId="0" fontId="1" numFmtId="0" xfId="0" applyAlignment="1" applyBorder="1" applyFont="1">
      <alignment horizontal="center"/>
    </xf>
    <xf borderId="11" fillId="0" fontId="3" numFmtId="0" xfId="0" applyBorder="1" applyFont="1"/>
    <xf borderId="57" fillId="0" fontId="3" numFmtId="0" xfId="0" applyBorder="1" applyFont="1"/>
    <xf borderId="58" fillId="0" fontId="3" numFmtId="0" xfId="0" applyBorder="1" applyFont="1"/>
    <xf borderId="59" fillId="0" fontId="3" numFmtId="0" xfId="0" applyBorder="1" applyFont="1"/>
    <xf borderId="60" fillId="0" fontId="3" numFmtId="0" xfId="0" applyBorder="1" applyFont="1"/>
    <xf borderId="61" fillId="0" fontId="3" numFmtId="0" xfId="0" applyBorder="1" applyFont="1"/>
    <xf borderId="16" fillId="0" fontId="3" numFmtId="0" xfId="0" applyBorder="1" applyFont="1"/>
    <xf borderId="62" fillId="0" fontId="3" numFmtId="0" xfId="0" applyBorder="1" applyFont="1"/>
    <xf borderId="14" fillId="0" fontId="3" numFmtId="0" xfId="0" applyBorder="1" applyFont="1"/>
    <xf borderId="63" fillId="0" fontId="3" numFmtId="0" xfId="0" applyBorder="1" applyFont="1"/>
    <xf borderId="13" fillId="0" fontId="3" numFmtId="0" xfId="0" applyBorder="1" applyFont="1"/>
    <xf borderId="15" fillId="0" fontId="3" numFmtId="0" xfId="0" applyBorder="1" applyFont="1"/>
    <xf borderId="21" fillId="0" fontId="3" numFmtId="0" xfId="0" applyBorder="1" applyFont="1"/>
    <xf borderId="64" fillId="0" fontId="3" numFmtId="0" xfId="0" applyBorder="1" applyFont="1"/>
    <xf borderId="19" fillId="0" fontId="3" numFmtId="0" xfId="0" applyBorder="1" applyFont="1"/>
    <xf borderId="65" fillId="0" fontId="3" numFmtId="0" xfId="0" applyBorder="1" applyFont="1"/>
    <xf borderId="18" fillId="0" fontId="3" numFmtId="0" xfId="0" applyBorder="1" applyFont="1"/>
    <xf borderId="20" fillId="0" fontId="3" numFmtId="0" xfId="0" applyBorder="1" applyFont="1"/>
    <xf borderId="66" fillId="0" fontId="3" numFmtId="0" xfId="0" applyAlignment="1" applyBorder="1" applyFont="1">
      <alignment horizontal="right"/>
    </xf>
    <xf borderId="67" fillId="0" fontId="3" numFmtId="0" xfId="0" applyAlignment="1" applyBorder="1" applyFont="1">
      <alignment horizontal="right"/>
    </xf>
    <xf borderId="68" fillId="0" fontId="3" numFmtId="0" xfId="0" applyAlignment="1" applyBorder="1" applyFont="1">
      <alignment horizontal="right"/>
    </xf>
    <xf borderId="66" fillId="0" fontId="1" numFmtId="0" xfId="0" applyAlignment="1" applyBorder="1" applyFont="1">
      <alignment horizontal="center"/>
    </xf>
    <xf borderId="67" fillId="0" fontId="1" numFmtId="0" xfId="0" applyAlignment="1" applyBorder="1" applyFont="1">
      <alignment horizontal="center"/>
    </xf>
    <xf borderId="68" fillId="0" fontId="1" numFmtId="0" xfId="0" applyAlignment="1" applyBorder="1" applyFont="1">
      <alignment horizontal="center"/>
    </xf>
    <xf borderId="14" fillId="0" fontId="1" numFmtId="0" xfId="0" applyAlignment="1" applyBorder="1" applyFont="1">
      <alignment horizontal="center"/>
    </xf>
    <xf borderId="0" fillId="0" fontId="57" numFmtId="0" xfId="0" applyAlignment="1" applyFont="1">
      <alignment horizontal="center"/>
    </xf>
    <xf borderId="14" fillId="0" fontId="57" numFmtId="0" xfId="0" applyAlignment="1" applyBorder="1" applyFont="1">
      <alignment horizontal="center"/>
    </xf>
    <xf borderId="0" fillId="0" fontId="58" numFmtId="0" xfId="0" applyFont="1"/>
    <xf borderId="14" fillId="0" fontId="58" numFmtId="0" xfId="0" applyBorder="1" applyFont="1"/>
    <xf borderId="0" fillId="0" fontId="59" numFmtId="0" xfId="0" applyAlignment="1" applyFont="1">
      <alignment shrinkToFit="0" vertical="top" wrapText="1"/>
    </xf>
    <xf borderId="0" fillId="0" fontId="60" numFmtId="0" xfId="0" applyAlignment="1" applyFont="1">
      <alignment shrinkToFit="0" vertical="top" wrapText="1"/>
    </xf>
  </cellXfs>
  <cellStyles count="1">
    <cellStyle xfId="0" name="Normal" builtinId="0"/>
  </cellStyles>
  <dxfs count="1">
    <dxf>
      <font>
        <color rgb="FF0B8043"/>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ln>
          </c:spPr>
          <c:marker>
            <c:symbol val="none"/>
          </c:marker>
          <c:cat>
            <c:strRef>
              <c:f>Psikogram!$BB$6:$BE$6</c:f>
            </c:strRef>
          </c:cat>
          <c:val>
            <c:numRef>
              <c:f>Psikogram!$BB$7:$BE$7</c:f>
              <c:numCache/>
            </c:numRef>
          </c:val>
          <c:smooth val="0"/>
        </c:ser>
        <c:axId val="1173836729"/>
        <c:axId val="1183942804"/>
      </c:lineChart>
      <c:catAx>
        <c:axId val="1173836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a:solidFill>
                  <a:srgbClr val="000000"/>
                </a:solidFill>
                <a:latin typeface="+mn-lt"/>
              </a:defRPr>
            </a:pPr>
          </a:p>
        </c:txPr>
        <c:crossAx val="1183942804"/>
      </c:catAx>
      <c:valAx>
        <c:axId val="11839428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1173836729"/>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ln>
          </c:spPr>
          <c:marker>
            <c:symbol val="none"/>
          </c:marker>
          <c:cat>
            <c:strRef>
              <c:f>Psikogram!$BB$8:$BE$8</c:f>
            </c:strRef>
          </c:cat>
          <c:val>
            <c:numRef>
              <c:f>Psikogram!$BB$9:$BE$9</c:f>
              <c:numCache/>
            </c:numRef>
          </c:val>
          <c:smooth val="0"/>
        </c:ser>
        <c:axId val="856758433"/>
        <c:axId val="449737871"/>
      </c:lineChart>
      <c:catAx>
        <c:axId val="8567584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a:solidFill>
                  <a:srgbClr val="000000"/>
                </a:solidFill>
                <a:latin typeface="+mn-lt"/>
              </a:defRPr>
            </a:pPr>
          </a:p>
        </c:txPr>
        <c:crossAx val="449737871"/>
      </c:catAx>
      <c:valAx>
        <c:axId val="4497378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856758433"/>
      </c:valAx>
      <c:spPr>
        <a:solidFill>
          <a:srgbClr val="FFFFFF"/>
        </a:solidFill>
      </c:spPr>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19050">
              <a:solidFill>
                <a:srgbClr val="666699">
                  <a:alpha val="100000"/>
                </a:srgbClr>
              </a:solidFill>
            </a:ln>
          </c:spPr>
          <c:marker>
            <c:symbol val="none"/>
          </c:marker>
          <c:cat>
            <c:strRef>
              <c:f>Psikogram!$BB$10:$BE$10</c:f>
            </c:strRef>
          </c:cat>
          <c:val>
            <c:numRef>
              <c:f>Psikogram!$BB$11:$BE$11</c:f>
              <c:numCache/>
            </c:numRef>
          </c:val>
          <c:smooth val="0"/>
        </c:ser>
        <c:axId val="992733016"/>
        <c:axId val="491670748"/>
      </c:lineChart>
      <c:catAx>
        <c:axId val="9927330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a:solidFill>
                  <a:srgbClr val="000000"/>
                </a:solidFill>
                <a:latin typeface="+mn-lt"/>
              </a:defRPr>
            </a:pPr>
          </a:p>
        </c:txPr>
        <c:crossAx val="491670748"/>
      </c:catAx>
      <c:valAx>
        <c:axId val="4916707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mn-lt"/>
              </a:defRPr>
            </a:pPr>
          </a:p>
        </c:txPr>
        <c:crossAx val="992733016"/>
      </c:valAx>
      <c:spPr>
        <a:solidFill>
          <a:srgbClr val="FFFFFF"/>
        </a:solidFill>
      </c:spPr>
    </c:plotArea>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495300</xdr:colOff>
      <xdr:row>16</xdr:row>
      <xdr:rowOff>57150</xdr:rowOff>
    </xdr:from>
    <xdr:ext cx="1609725" cy="6296025"/>
    <xdr:graphicFrame>
      <xdr:nvGraphicFramePr>
        <xdr:cNvPr descr="Chart 0" id="8077708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590550</xdr:colOff>
      <xdr:row>16</xdr:row>
      <xdr:rowOff>57150</xdr:rowOff>
    </xdr:from>
    <xdr:ext cx="1447800" cy="6296025"/>
    <xdr:graphicFrame>
      <xdr:nvGraphicFramePr>
        <xdr:cNvPr descr="Chart 1" id="178318094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495300</xdr:colOff>
      <xdr:row>16</xdr:row>
      <xdr:rowOff>57150</xdr:rowOff>
    </xdr:from>
    <xdr:ext cx="1600200" cy="6296025"/>
    <xdr:graphicFrame>
      <xdr:nvGraphicFramePr>
        <xdr:cNvPr descr="Chart 2" id="1137640590"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561975</xdr:colOff>
      <xdr:row>13</xdr:row>
      <xdr:rowOff>85725</xdr:rowOff>
    </xdr:from>
    <xdr:ext cx="1562100" cy="666750"/>
    <xdr:sp>
      <xdr:nvSpPr>
        <xdr:cNvPr id="3" name="Shape 3"/>
        <xdr:cNvSpPr/>
      </xdr:nvSpPr>
      <xdr:spPr>
        <a:xfrm>
          <a:off x="4569713" y="3446625"/>
          <a:ext cx="1552575" cy="666750"/>
        </a:xfrm>
        <a:prstGeom prst="rect">
          <a:avLst/>
        </a:prstGeom>
        <a:noFill/>
        <a:ln cap="flat" cmpd="sng" w="9525">
          <a:solidFill>
            <a:srgbClr val="BCBCBC"/>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GRAPH  1  MOST</a:t>
          </a:r>
          <a:endParaRPr sz="1400"/>
        </a:p>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Mask Public Self</a:t>
          </a:r>
          <a:endParaRPr sz="1400"/>
        </a:p>
      </xdr:txBody>
    </xdr:sp>
    <xdr:clientData fLocksWithSheet="0"/>
  </xdr:oneCellAnchor>
  <xdr:oneCellAnchor>
    <xdr:from>
      <xdr:col>8</xdr:col>
      <xdr:colOff>571500</xdr:colOff>
      <xdr:row>13</xdr:row>
      <xdr:rowOff>104775</xdr:rowOff>
    </xdr:from>
    <xdr:ext cx="1476375" cy="771525"/>
    <xdr:sp>
      <xdr:nvSpPr>
        <xdr:cNvPr id="4" name="Shape 4"/>
        <xdr:cNvSpPr/>
      </xdr:nvSpPr>
      <xdr:spPr>
        <a:xfrm>
          <a:off x="4612575" y="3399000"/>
          <a:ext cx="1466850" cy="762000"/>
        </a:xfrm>
        <a:prstGeom prst="rect">
          <a:avLst/>
        </a:prstGeom>
        <a:noFill/>
        <a:ln cap="flat" cmpd="sng" w="9525">
          <a:solidFill>
            <a:srgbClr val="BCBCBC"/>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GRAPH  2  LEAST</a:t>
          </a:r>
          <a:endParaRPr sz="1400"/>
        </a:p>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Core Private Self</a:t>
          </a:r>
          <a:endParaRPr sz="1400"/>
        </a:p>
      </xdr:txBody>
    </xdr:sp>
    <xdr:clientData fLocksWithSheet="0"/>
  </xdr:oneCellAnchor>
  <xdr:oneCellAnchor>
    <xdr:from>
      <xdr:col>11</xdr:col>
      <xdr:colOff>485775</xdr:colOff>
      <xdr:row>13</xdr:row>
      <xdr:rowOff>114300</xdr:rowOff>
    </xdr:from>
    <xdr:ext cx="1476375" cy="771525"/>
    <xdr:sp>
      <xdr:nvSpPr>
        <xdr:cNvPr id="5" name="Shape 5"/>
        <xdr:cNvSpPr/>
      </xdr:nvSpPr>
      <xdr:spPr>
        <a:xfrm>
          <a:off x="4612575" y="3399000"/>
          <a:ext cx="1466850" cy="762000"/>
        </a:xfrm>
        <a:prstGeom prst="rect">
          <a:avLst/>
        </a:prstGeom>
        <a:noFill/>
        <a:ln cap="flat" cmpd="sng" w="9525">
          <a:solidFill>
            <a:srgbClr val="BCBCBC"/>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GRAPH  3  CHANGE</a:t>
          </a:r>
          <a:endParaRPr sz="1400"/>
        </a:p>
        <a:p>
          <a:pPr indent="0" lvl="0" marL="0" rtl="0" algn="ctr">
            <a:spcBef>
              <a:spcPts val="0"/>
            </a:spcBef>
            <a:spcAft>
              <a:spcPts val="0"/>
            </a:spcAft>
            <a:buClr>
              <a:srgbClr val="000000"/>
            </a:buClr>
            <a:buSzPts val="300"/>
            <a:buFont typeface="Calibri"/>
            <a:buNone/>
          </a:pPr>
          <a:r>
            <a:rPr b="1" i="0" lang="en-US" sz="1200" u="none" strike="noStrike">
              <a:solidFill>
                <a:srgbClr val="000000"/>
              </a:solidFill>
              <a:latin typeface="Calibri"/>
              <a:ea typeface="Calibri"/>
              <a:cs typeface="Calibri"/>
              <a:sym typeface="Calibri"/>
            </a:rPr>
            <a:t>Mirror Perceived Self</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profil-pribadi.com/MyProfile/CM_Careers01.asp-Career=Actuaries.htm"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71"/>
    <col customWidth="1" min="3" max="6" width="8.0"/>
    <col customWidth="1" min="7" max="7" width="4.29"/>
    <col customWidth="1" min="8" max="11" width="8.0"/>
    <col customWidth="1" min="12" max="12" width="3.86"/>
    <col customWidth="1" min="13" max="26" width="8.0"/>
  </cols>
  <sheetData>
    <row r="1">
      <c r="C1" s="1"/>
      <c r="D1" s="1"/>
      <c r="E1" s="2"/>
      <c r="F1" s="1"/>
      <c r="H1" s="1"/>
      <c r="I1" s="1"/>
      <c r="J1" s="1"/>
      <c r="K1" s="1"/>
      <c r="M1" s="1"/>
      <c r="N1" s="1"/>
      <c r="O1" s="1"/>
      <c r="P1" s="1"/>
    </row>
    <row r="2">
      <c r="C2" s="1" t="s">
        <v>0</v>
      </c>
      <c r="D2" s="3" t="str">
        <f>'DISC Test'!K2</f>
        <v>Dewi</v>
      </c>
      <c r="E2" s="1"/>
      <c r="F2" s="1"/>
      <c r="G2" s="1"/>
      <c r="H2" s="1"/>
      <c r="I2" s="4" t="s">
        <v>1</v>
      </c>
      <c r="K2" s="3" t="str">
        <f>'DISC Test'!K4</f>
        <v>perempuan</v>
      </c>
      <c r="M2" s="1"/>
      <c r="N2" s="1"/>
      <c r="O2" s="1"/>
      <c r="P2" s="1"/>
    </row>
    <row r="3">
      <c r="C3" s="1" t="s">
        <v>2</v>
      </c>
      <c r="D3" s="5" t="str">
        <f>'DISC Test'!K3</f>
        <v>37 Tahun</v>
      </c>
      <c r="E3" s="4" t="s">
        <v>3</v>
      </c>
      <c r="F3" s="1"/>
      <c r="H3" s="1"/>
      <c r="I3" s="4" t="s">
        <v>4</v>
      </c>
      <c r="K3" s="6" t="str">
        <f>'DISC Test'!K5</f>
        <v/>
      </c>
      <c r="M3" s="1"/>
      <c r="N3" s="1"/>
      <c r="O3" s="1"/>
      <c r="P3" s="1"/>
    </row>
    <row r="4" ht="15.75" customHeight="1">
      <c r="C4" s="1"/>
      <c r="D4" s="1"/>
      <c r="E4" s="2"/>
      <c r="F4" s="1"/>
      <c r="H4" s="1"/>
      <c r="I4" s="1"/>
      <c r="J4" s="1"/>
      <c r="K4" s="1"/>
      <c r="M4" s="1"/>
      <c r="N4" s="1"/>
      <c r="O4" s="1"/>
      <c r="P4" s="1"/>
    </row>
    <row r="5" ht="15.75" customHeight="1">
      <c r="A5" s="2"/>
      <c r="B5" s="7"/>
      <c r="C5" s="8" t="s">
        <v>5</v>
      </c>
      <c r="D5" s="9" t="s">
        <v>6</v>
      </c>
      <c r="E5" s="10" t="s">
        <v>5</v>
      </c>
      <c r="F5" s="11" t="s">
        <v>6</v>
      </c>
      <c r="G5" s="12"/>
      <c r="H5" s="13" t="s">
        <v>5</v>
      </c>
      <c r="I5" s="9" t="s">
        <v>6</v>
      </c>
      <c r="J5" s="10" t="s">
        <v>5</v>
      </c>
      <c r="K5" s="11" t="s">
        <v>6</v>
      </c>
      <c r="L5" s="12"/>
      <c r="M5" s="8" t="s">
        <v>5</v>
      </c>
      <c r="N5" s="9" t="s">
        <v>6</v>
      </c>
      <c r="O5" s="10" t="s">
        <v>5</v>
      </c>
      <c r="P5" s="11" t="s">
        <v>6</v>
      </c>
      <c r="Q5" s="2"/>
      <c r="R5" s="2"/>
      <c r="S5" s="2"/>
      <c r="T5" s="2"/>
      <c r="U5" s="2"/>
      <c r="V5" s="2"/>
      <c r="W5" s="2"/>
      <c r="X5" s="2"/>
      <c r="Y5" s="2"/>
      <c r="Z5" s="2"/>
    </row>
    <row r="6">
      <c r="B6" s="14">
        <v>1.0</v>
      </c>
      <c r="C6" s="15">
        <v>2.0</v>
      </c>
      <c r="D6" s="16">
        <v>1.0</v>
      </c>
      <c r="E6" s="17" t="str">
        <f>IF(C6=1,"S",(IF(C6=2,"I",(IF(C6=3,"*",(IF(C6=4,"C","*")))))))</f>
        <v>I</v>
      </c>
      <c r="F6" s="18" t="str">
        <f>IF(D6=1,"S",(IF(D6=2,"I",(IF(D6=3,"D",(IF(D6=4,"C","*")))))))</f>
        <v>S</v>
      </c>
      <c r="G6" s="19">
        <v>9.0</v>
      </c>
      <c r="H6" s="15">
        <f>'DISC Test'!O12</f>
        <v>3</v>
      </c>
      <c r="I6" s="16">
        <f>'DISC Test'!Q12</f>
        <v>1</v>
      </c>
      <c r="J6" s="17" t="str">
        <f>IF(H6=1,"D",(IF(H6=2,"C",(IF(H6=3,"*",(IF(H6=4,"*","*")))))))</f>
        <v>*</v>
      </c>
      <c r="K6" s="18" t="str">
        <f>IF(I6=1,"D",(IF(I6=2,"C",(IF(I6=3,"I",(IF(I6=4,"S","*")))))))</f>
        <v>D</v>
      </c>
      <c r="L6" s="19">
        <v>17.0</v>
      </c>
      <c r="M6" s="15">
        <f>'DISC Test'!V12</f>
        <v>4</v>
      </c>
      <c r="N6" s="16">
        <f>'DISC Test'!X12</f>
        <v>3</v>
      </c>
      <c r="O6" s="17" t="str">
        <f>IF(M6=1,"*",(IF(M6=2,"D",(IF(M6=3,"S",(IF(M6=4,"I","*")))))))</f>
        <v>I</v>
      </c>
      <c r="P6" s="18" t="str">
        <f>IF(N6=1,"C",(IF(N6=2,"D",(IF(N6=3,"S",(IF(N6=4,"*","*")))))))</f>
        <v>S</v>
      </c>
    </row>
    <row r="7">
      <c r="B7" s="20">
        <v>2.0</v>
      </c>
      <c r="C7" s="21">
        <f>'DISC Test'!H18</f>
        <v>3</v>
      </c>
      <c r="D7" s="22">
        <f>'DISC Test'!J18</f>
        <v>1</v>
      </c>
      <c r="E7" s="23" t="str">
        <f>IF(C7=1,"C",(IF(C7=2,"D",(IF(C7=3,"*",(IF(C7=4,"S","*")))))))</f>
        <v>*</v>
      </c>
      <c r="F7" s="24" t="str">
        <f>IF(D7=1,"*",(IF(D7=2,"D",(IF(D7=3,"I",(IF(D7=4,"S","*")))))))</f>
        <v>*</v>
      </c>
      <c r="G7" s="25">
        <v>10.0</v>
      </c>
      <c r="H7" s="21">
        <f>'DISC Test'!O18</f>
        <v>4</v>
      </c>
      <c r="I7" s="22">
        <f>'DISC Test'!Q18</f>
        <v>3</v>
      </c>
      <c r="J7" s="23" t="str">
        <f>IF(H7=1,"*",(IF(H7=2,"D",(IF(H7=3,"S",(IF(H7=4,"I","*")))))))</f>
        <v>I</v>
      </c>
      <c r="K7" s="24" t="str">
        <f>IF(I7=1,"C",(IF(I7=2,"D",(IF(I7=3,"S",(IF(I7=4,"*","*")))))))</f>
        <v>S</v>
      </c>
      <c r="L7" s="25">
        <v>18.0</v>
      </c>
      <c r="M7" s="21">
        <f>'DISC Test'!V18</f>
        <v>1</v>
      </c>
      <c r="N7" s="22">
        <f>'DISC Test'!X18</f>
        <v>4</v>
      </c>
      <c r="O7" s="23" t="str">
        <f>IF(M7=1,"D",(IF(M7=2,"*",(IF(M7=3,"*",(IF(M7=4,"C","*")))))))</f>
        <v>D</v>
      </c>
      <c r="P7" s="24" t="str">
        <f>IF(N7=1,"D",(IF(N7=2,"I",(IF(N7=3,"S",(IF(N7=4,"*","*")))))))</f>
        <v>*</v>
      </c>
    </row>
    <row r="8">
      <c r="B8" s="20">
        <v>3.0</v>
      </c>
      <c r="C8" s="21">
        <f>'DISC Test'!H24</f>
        <v>1</v>
      </c>
      <c r="D8" s="22">
        <f>'DISC Test'!J24</f>
        <v>3</v>
      </c>
      <c r="E8" s="23" t="str">
        <f>IF(C8=1,"I",(IF(C8=2,"*",(IF(C8=3,"*",(IF(C8=4,"D","*")))))))</f>
        <v>I</v>
      </c>
      <c r="F8" s="24" t="str">
        <f>IF(D8=1,"I",(IF(D8=2,"C",(IF(D8=3,"S",(IF(D8=4,"*","*")))))))</f>
        <v>S</v>
      </c>
      <c r="G8" s="25">
        <v>11.0</v>
      </c>
      <c r="H8" s="21">
        <f>'DISC Test'!O24</f>
        <v>1</v>
      </c>
      <c r="I8" s="22">
        <f>'DISC Test'!Q24</f>
        <v>4</v>
      </c>
      <c r="J8" s="23" t="str">
        <f>IF(H8=1,"S",(IF(H8=2,"*",(IF(H8=3,"D",(IF(H8=4,"C","*")))))))</f>
        <v>S</v>
      </c>
      <c r="K8" s="24" t="str">
        <f>IF(I8=1,"*",(IF(I8=2,"I",(IF(I8=3,"D",(IF(I8=4,"C","*")))))))</f>
        <v>C</v>
      </c>
      <c r="L8" s="25">
        <v>19.0</v>
      </c>
      <c r="M8" s="21">
        <f>'DISC Test'!V24</f>
        <v>1</v>
      </c>
      <c r="N8" s="22">
        <f>'DISC Test'!X24</f>
        <v>4</v>
      </c>
      <c r="O8" s="23" t="str">
        <f>IF(M8=1,"D",(IF(M8=2,"S",(IF(M8=3,"I",(IF(M8=4,"*","*")))))))</f>
        <v>D</v>
      </c>
      <c r="P8" s="24" t="str">
        <f>IF(N8=1,"D",(IF(N8=2,"*",(IF(N8=3,"I",(IF(N8=4,"C","*")))))))</f>
        <v>C</v>
      </c>
    </row>
    <row r="9">
      <c r="B9" s="20">
        <v>4.0</v>
      </c>
      <c r="C9" s="21">
        <f>'DISC Test'!H30</f>
        <v>3</v>
      </c>
      <c r="D9" s="22">
        <f>'DISC Test'!J30</f>
        <v>1</v>
      </c>
      <c r="E9" s="23" t="str">
        <f>IF(C9=1,"C",(IF(C9=2,"S",(IF(C9=3,"*",(IF(C9=4,"D","*")))))))</f>
        <v>*</v>
      </c>
      <c r="F9" s="24" t="str">
        <f>IF(D9=1,"C",(IF(D9=2,"S",(IF(D9=3,"I",(IF(D9=4,"D","*")))))))</f>
        <v>C</v>
      </c>
      <c r="G9" s="25">
        <v>12.0</v>
      </c>
      <c r="H9" s="21">
        <f>'DISC Test'!O30</f>
        <v>4</v>
      </c>
      <c r="I9" s="22">
        <f>'DISC Test'!Q30</f>
        <v>1</v>
      </c>
      <c r="J9" s="23" t="str">
        <f>IF(H9=1,"*",(IF(H9=2,"C",(IF(H9=3,"I",(IF(H9=4,"D","*")))))))</f>
        <v>D</v>
      </c>
      <c r="K9" s="24" t="str">
        <f>IF(I9=1,"S",(IF(I9=2,"*",(IF(I9=3,"I",(IF(I9=4,"D","*")))))))</f>
        <v>S</v>
      </c>
      <c r="L9" s="25">
        <v>20.0</v>
      </c>
      <c r="M9" s="21">
        <f>'DISC Test'!V30</f>
        <v>1</v>
      </c>
      <c r="N9" s="22">
        <f>'DISC Test'!X30</f>
        <v>4</v>
      </c>
      <c r="O9" s="23" t="str">
        <f>IF(M9=1,"D",(IF(M9=2,"S",(IF(M9=3,"I",(IF(M9=4,"C","*")))))))</f>
        <v>D</v>
      </c>
      <c r="P9" s="24" t="str">
        <f>IF(N9=1,"*",(IF(N9=2,"S",(IF(N9=3,"I",(IF(N9=4,"*","*")))))))</f>
        <v>*</v>
      </c>
    </row>
    <row r="10">
      <c r="B10" s="20">
        <v>5.0</v>
      </c>
      <c r="C10" s="21">
        <f>'DISC Test'!H36</f>
        <v>1</v>
      </c>
      <c r="D10" s="22">
        <f>'DISC Test'!J36</f>
        <v>2</v>
      </c>
      <c r="E10" s="23" t="str">
        <f>IF(C10=1,"I",(IF(C10=2,"D",(IF(C10=3,"S",(IF(C10=4,"*","*")))))))</f>
        <v>I</v>
      </c>
      <c r="F10" s="24" t="str">
        <f>IF(D10=1,"*",(IF(D10=2,"D",(IF(D10=3,"S",(IF(D10=4,"C","*")))))))</f>
        <v>D</v>
      </c>
      <c r="G10" s="25">
        <v>13.0</v>
      </c>
      <c r="H10" s="21">
        <f>'DISC Test'!O36</f>
        <v>3</v>
      </c>
      <c r="I10" s="22">
        <f>'DISC Test'!Q36</f>
        <v>4</v>
      </c>
      <c r="J10" s="23" t="str">
        <f>IF(H10=1,"D",(IF(H10=2,"S",(IF(H10=3,"I",(IF(H10=4,"*","*")))))))</f>
        <v>I</v>
      </c>
      <c r="K10" s="24" t="str">
        <f>IF(I10=1,"D",(IF(I10=2,"*",(IF(I10=3,"*",(IF(I10=4,"C","*")))))))</f>
        <v>C</v>
      </c>
      <c r="L10" s="25">
        <v>21.0</v>
      </c>
      <c r="M10" s="21">
        <f>'DISC Test'!V36</f>
        <v>3</v>
      </c>
      <c r="N10" s="22">
        <f>'DISC Test'!X36</f>
        <v>4</v>
      </c>
      <c r="O10" s="23" t="str">
        <f>IF(M10=1,"S",(IF(M10=2,"D",(IF(M10=3,"I",(IF(M10=4,"*","*")))))))</f>
        <v>I</v>
      </c>
      <c r="P10" s="24" t="str">
        <f>IF(N10=1,"S",(IF(N10=2,"D",(IF(N10=3,"I",(IF(N10=4,"C","*")))))))</f>
        <v>C</v>
      </c>
    </row>
    <row r="11">
      <c r="B11" s="20">
        <v>6.0</v>
      </c>
      <c r="C11" s="21">
        <f>'DISC Test'!H42</f>
        <v>2</v>
      </c>
      <c r="D11" s="22">
        <f>'DISC Test'!J42</f>
        <v>1</v>
      </c>
      <c r="E11" s="23" t="str">
        <f>IF(C11=1,"C",(IF(C11=2,"D",(IF(C11=3,"I",(IF(C11=4,"S","*")))))))</f>
        <v>D</v>
      </c>
      <c r="F11" s="24" t="str">
        <f>IF(D11=1,"*",(IF(D11=2,"D",(IF(D11=3,"I",(IF(D11=4,"S","*")))))))</f>
        <v>*</v>
      </c>
      <c r="G11" s="25">
        <v>14.0</v>
      </c>
      <c r="H11" s="21">
        <f>'DISC Test'!O42</f>
        <v>4</v>
      </c>
      <c r="I11" s="22">
        <f>'DISC Test'!Q42</f>
        <v>1</v>
      </c>
      <c r="J11" s="23" t="str">
        <f>IF(H11=1,"C",(IF(H11=2,"I",(IF(H11=3,"S",(IF(H11=4,"D","*")))))))</f>
        <v>D</v>
      </c>
      <c r="K11" s="24" t="str">
        <f>IF(I11=1,"C",(IF(I11=2,"I",(IF(I11=3,"*",(IF(I11=4,"D","*")))))))</f>
        <v>C</v>
      </c>
      <c r="L11" s="25">
        <v>22.0</v>
      </c>
      <c r="M11" s="21">
        <f>'DISC Test'!V42</f>
        <v>3</v>
      </c>
      <c r="N11" s="22">
        <f>'DISC Test'!X42</f>
        <v>4</v>
      </c>
      <c r="O11" s="23" t="str">
        <f>IF(M11=1,"S",(IF(M11=2,"*",(IF(M11=3,"D",(IF(M11=4,"C","*")))))))</f>
        <v>D</v>
      </c>
      <c r="P11" s="24" t="str">
        <f>IF(N11=1,"S",(IF(N11=2,"I",(IF(N11=3,"D",(IF(N11=4,"C","*")))))))</f>
        <v>C</v>
      </c>
    </row>
    <row r="12">
      <c r="B12" s="20">
        <v>7.0</v>
      </c>
      <c r="C12" s="21">
        <f>'DISC Test'!H48</f>
        <v>2</v>
      </c>
      <c r="D12" s="22">
        <f>'DISC Test'!J48</f>
        <v>1</v>
      </c>
      <c r="E12" s="23" t="str">
        <f>IF(C12=1,"S",(IF(C12=2,"I",(IF(C12=3,"*",(IF(C12=4,"*","*")))))))</f>
        <v>I</v>
      </c>
      <c r="F12" s="24" t="str">
        <f>IF(D12=1,"*",(IF(D12=2,"I",(IF(D12=3,"C",(IF(D12=4,"D","*")))))))</f>
        <v>*</v>
      </c>
      <c r="G12" s="25">
        <v>15.0</v>
      </c>
      <c r="H12" s="21">
        <f>'DISC Test'!O48</f>
        <v>2</v>
      </c>
      <c r="I12" s="22">
        <f>'DISC Test'!Q48</f>
        <v>4</v>
      </c>
      <c r="J12" s="23" t="str">
        <f>IF(H12=1,"S",(IF(H12=2,"C",(IF(H12=3,"I",(IF(H12=4,"D","*")))))))</f>
        <v>C</v>
      </c>
      <c r="K12" s="24" t="str">
        <f>IF(I12=1,"S",(IF(I12=2,"*",(IF(I12=3,"I",(IF(I12=4,"D","*")))))))</f>
        <v>D</v>
      </c>
      <c r="L12" s="25">
        <v>23.0</v>
      </c>
      <c r="M12" s="21">
        <f>'DISC Test'!V48</f>
        <v>2</v>
      </c>
      <c r="N12" s="22">
        <f>'DISC Test'!X48</f>
        <v>3</v>
      </c>
      <c r="O12" s="23" t="str">
        <f>IF(M12=1,"*",(IF(M12=2,"I",(IF(M12=3,"S",(IF(M12=4,"*","*")))))))</f>
        <v>I</v>
      </c>
      <c r="P12" s="24" t="str">
        <f>IF(N12=1,"D",(IF(N12=2,"*",(IF(N12=3,"S",(IF(N12=4,"C","*")))))))</f>
        <v>S</v>
      </c>
    </row>
    <row r="13" ht="15.75" customHeight="1">
      <c r="B13" s="26">
        <v>8.0</v>
      </c>
      <c r="C13" s="27">
        <f>'DISC Test'!H54</f>
        <v>1</v>
      </c>
      <c r="D13" s="28">
        <f>'DISC Test'!J54</f>
        <v>2</v>
      </c>
      <c r="E13" s="29" t="str">
        <f t="shared" ref="E13:F13" si="1">IF(C13=1,"I",(IF(C13=2,"S",(IF(C13=3,"C",(IF(C13=4,"D","*")))))))</f>
        <v>I</v>
      </c>
      <c r="F13" s="30" t="str">
        <f t="shared" si="1"/>
        <v>S</v>
      </c>
      <c r="G13" s="31">
        <v>16.0</v>
      </c>
      <c r="H13" s="27">
        <f>'DISC Test'!O54</f>
        <v>2</v>
      </c>
      <c r="I13" s="28">
        <f>'DISC Test'!Q54</f>
        <v>1</v>
      </c>
      <c r="J13" s="29" t="str">
        <f>IF(H13=1,"*",(IF(H13=2,"C",(IF(H13=3,"I",(IF(H13=4,"S","*")))))))</f>
        <v>C</v>
      </c>
      <c r="K13" s="29" t="str">
        <f>IF(I13=1,"D",(IF(I13=2,"*",(IF(I13=3,"I",(IF(I13=4,"S","*")))))))</f>
        <v>D</v>
      </c>
      <c r="L13" s="31">
        <v>24.0</v>
      </c>
      <c r="M13" s="27">
        <f>'DISC Test'!V54</f>
        <v>1</v>
      </c>
      <c r="N13" s="22">
        <f>'DISC Test'!X54</f>
        <v>4</v>
      </c>
      <c r="O13" s="29" t="str">
        <f>IF(M13=1,"*",(IF(M13=2,"I",(IF(M13=3,"D",(IF(M13=4,"C","*")))))))</f>
        <v>*</v>
      </c>
      <c r="P13" s="30" t="str">
        <f>IF(N13=1,"S",(IF(N13=2,"I",(IF(N13=3,"*",(IF(N13=4,"*","*")))))))</f>
        <v>*</v>
      </c>
    </row>
    <row r="14" ht="15.75" customHeight="1">
      <c r="A14" s="32"/>
      <c r="B14" s="32"/>
      <c r="C14" s="33"/>
      <c r="D14" s="34"/>
      <c r="E14" s="35"/>
      <c r="F14" s="34"/>
      <c r="G14" s="36"/>
      <c r="H14" s="34"/>
      <c r="I14" s="34"/>
      <c r="J14" s="34"/>
      <c r="K14" s="34"/>
      <c r="L14" s="36"/>
      <c r="M14" s="34"/>
      <c r="N14" s="34"/>
      <c r="O14" s="34"/>
      <c r="P14" s="34"/>
      <c r="Q14" s="32"/>
      <c r="R14" s="32"/>
      <c r="S14" s="32"/>
      <c r="T14" s="32"/>
      <c r="U14" s="32"/>
      <c r="V14" s="32"/>
      <c r="W14" s="32"/>
      <c r="X14" s="32"/>
      <c r="Y14" s="32"/>
      <c r="Z14" s="32"/>
    </row>
    <row r="15" ht="18.75" customHeight="1">
      <c r="A15" s="37"/>
      <c r="B15" s="37"/>
      <c r="C15" s="38" t="s">
        <v>7</v>
      </c>
      <c r="D15" s="39" t="s">
        <v>8</v>
      </c>
      <c r="E15" s="40">
        <f>COUNTIF($E$6:$E$13,"D")</f>
        <v>1</v>
      </c>
      <c r="F15" s="40">
        <f>COUNTIF($F$6:$F$13,"D")</f>
        <v>1</v>
      </c>
      <c r="G15" s="37"/>
      <c r="H15" s="39"/>
      <c r="I15" s="39" t="s">
        <v>8</v>
      </c>
      <c r="J15" s="40">
        <f>COUNTIF($J$6:$J$13,"D")</f>
        <v>2</v>
      </c>
      <c r="K15" s="40">
        <f>COUNTIF($K$6:$K$13,"D")</f>
        <v>3</v>
      </c>
      <c r="L15" s="37"/>
      <c r="M15" s="39"/>
      <c r="N15" s="39" t="s">
        <v>8</v>
      </c>
      <c r="O15" s="40">
        <f>COUNTIF($O$6:$O$13,"D")</f>
        <v>4</v>
      </c>
      <c r="P15" s="40">
        <f>COUNTIF($P$6:$P$13,"D")</f>
        <v>0</v>
      </c>
      <c r="Q15" s="37"/>
      <c r="R15" s="37"/>
      <c r="S15" s="37"/>
      <c r="T15" s="37"/>
      <c r="U15" s="37"/>
      <c r="V15" s="37"/>
      <c r="W15" s="37"/>
      <c r="X15" s="37"/>
      <c r="Y15" s="37"/>
      <c r="Z15" s="37"/>
    </row>
    <row r="16" ht="15.75" customHeight="1">
      <c r="A16" s="37"/>
      <c r="B16" s="37"/>
      <c r="C16" s="39"/>
      <c r="D16" s="39" t="s">
        <v>9</v>
      </c>
      <c r="E16" s="40">
        <f>COUNTIF($E$6:$E$13,"I")</f>
        <v>5</v>
      </c>
      <c r="F16" s="40">
        <f>COUNTIF($F$6:$F$13,"I")</f>
        <v>0</v>
      </c>
      <c r="G16" s="37"/>
      <c r="H16" s="39"/>
      <c r="I16" s="39" t="s">
        <v>9</v>
      </c>
      <c r="J16" s="40">
        <f>COUNTIF($J$6:$J$13,"I")</f>
        <v>2</v>
      </c>
      <c r="K16" s="40">
        <f>COUNTIF($K$6:$K$13,"I")</f>
        <v>0</v>
      </c>
      <c r="L16" s="37"/>
      <c r="M16" s="39"/>
      <c r="N16" s="39" t="s">
        <v>9</v>
      </c>
      <c r="O16" s="40">
        <f>COUNTIF($O$6:$O$13,"I")</f>
        <v>3</v>
      </c>
      <c r="P16" s="40">
        <f>COUNTIF($P$6:$P$13,"I")</f>
        <v>0</v>
      </c>
      <c r="Q16" s="37"/>
      <c r="R16" s="37"/>
      <c r="S16" s="37"/>
      <c r="T16" s="37"/>
      <c r="U16" s="37"/>
      <c r="V16" s="37"/>
      <c r="W16" s="37"/>
      <c r="X16" s="37"/>
      <c r="Y16" s="37"/>
      <c r="Z16" s="37"/>
    </row>
    <row r="17">
      <c r="A17" s="37"/>
      <c r="B17" s="37"/>
      <c r="C17" s="39"/>
      <c r="D17" s="39" t="s">
        <v>10</v>
      </c>
      <c r="E17" s="40">
        <f>COUNTIF($E$6:$E$13,"S")</f>
        <v>0</v>
      </c>
      <c r="F17" s="40">
        <f>COUNTIF($F$6:$F$13,"S")</f>
        <v>3</v>
      </c>
      <c r="G17" s="37"/>
      <c r="H17" s="39"/>
      <c r="I17" s="39" t="s">
        <v>10</v>
      </c>
      <c r="J17" s="40">
        <f>COUNTIF($J$6:$J$13,"S")</f>
        <v>1</v>
      </c>
      <c r="K17" s="40">
        <f>COUNTIF($K$6:$K$13,"S")</f>
        <v>2</v>
      </c>
      <c r="L17" s="37"/>
      <c r="M17" s="39"/>
      <c r="N17" s="39" t="s">
        <v>10</v>
      </c>
      <c r="O17" s="40">
        <f>COUNTIF($O$6:$O$13,"S")</f>
        <v>0</v>
      </c>
      <c r="P17" s="40">
        <f>COUNTIF($P$6:$P$13,"S")</f>
        <v>2</v>
      </c>
      <c r="Q17" s="37"/>
      <c r="R17" s="37"/>
      <c r="S17" s="37"/>
      <c r="T17" s="37"/>
      <c r="U17" s="37"/>
      <c r="V17" s="37"/>
      <c r="W17" s="37"/>
      <c r="X17" s="37"/>
      <c r="Y17" s="37"/>
      <c r="Z17" s="37"/>
    </row>
    <row r="18">
      <c r="A18" s="37"/>
      <c r="B18" s="37"/>
      <c r="C18" s="39"/>
      <c r="D18" s="39" t="s">
        <v>11</v>
      </c>
      <c r="E18" s="40">
        <f>COUNTIF($E$6:$E$13,"C")</f>
        <v>0</v>
      </c>
      <c r="F18" s="40">
        <f>COUNTIF($F$6:$F$13,"C")</f>
        <v>1</v>
      </c>
      <c r="G18" s="37"/>
      <c r="H18" s="39"/>
      <c r="I18" s="39" t="s">
        <v>11</v>
      </c>
      <c r="J18" s="40">
        <f>COUNTIF($J$6:$J$13,"C")</f>
        <v>2</v>
      </c>
      <c r="K18" s="40">
        <f>COUNTIF($K$6:$K$13,"C")</f>
        <v>3</v>
      </c>
      <c r="L18" s="37"/>
      <c r="M18" s="39"/>
      <c r="N18" s="39" t="s">
        <v>11</v>
      </c>
      <c r="O18" s="40">
        <f>COUNTIF($O$6:$O$13,"C")</f>
        <v>0</v>
      </c>
      <c r="P18" s="40">
        <f>COUNTIF($P$6:$P$13,"C")</f>
        <v>3</v>
      </c>
      <c r="Q18" s="37"/>
      <c r="R18" s="37"/>
      <c r="S18" s="37"/>
      <c r="T18" s="37"/>
      <c r="U18" s="37"/>
      <c r="V18" s="37"/>
      <c r="W18" s="37"/>
      <c r="X18" s="37"/>
      <c r="Y18" s="37"/>
      <c r="Z18" s="37"/>
    </row>
    <row r="19">
      <c r="A19" s="37"/>
      <c r="B19" s="37"/>
      <c r="C19" s="39"/>
      <c r="D19" s="39" t="s">
        <v>12</v>
      </c>
      <c r="E19" s="40">
        <f t="shared" ref="E19:F19" si="2">8-(SUM(E15:E18))</f>
        <v>2</v>
      </c>
      <c r="F19" s="40">
        <f t="shared" si="2"/>
        <v>3</v>
      </c>
      <c r="G19" s="37"/>
      <c r="H19" s="39"/>
      <c r="I19" s="39" t="s">
        <v>12</v>
      </c>
      <c r="J19" s="40">
        <f t="shared" ref="J19:K19" si="3">8-(SUM(J15:J18))</f>
        <v>1</v>
      </c>
      <c r="K19" s="40">
        <f t="shared" si="3"/>
        <v>0</v>
      </c>
      <c r="L19" s="37"/>
      <c r="M19" s="39"/>
      <c r="N19" s="39" t="s">
        <v>12</v>
      </c>
      <c r="O19" s="40">
        <f t="shared" ref="O19:P19" si="4">8-(SUM(O15:O18))</f>
        <v>1</v>
      </c>
      <c r="P19" s="40">
        <f t="shared" si="4"/>
        <v>3</v>
      </c>
      <c r="Q19" s="37"/>
      <c r="R19" s="37"/>
      <c r="S19" s="37"/>
      <c r="T19" s="37"/>
      <c r="U19" s="37"/>
      <c r="V19" s="37"/>
      <c r="W19" s="37"/>
      <c r="X19" s="37"/>
      <c r="Y19" s="37"/>
      <c r="Z19" s="37"/>
    </row>
    <row r="20">
      <c r="A20" s="41"/>
      <c r="B20" s="41"/>
      <c r="C20" s="42"/>
      <c r="D20" s="42"/>
      <c r="E20" s="43"/>
      <c r="F20" s="42"/>
      <c r="G20" s="41"/>
      <c r="H20" s="42"/>
      <c r="I20" s="42"/>
      <c r="J20" s="42"/>
      <c r="K20" s="42"/>
      <c r="L20" s="41"/>
      <c r="M20" s="42"/>
      <c r="N20" s="42"/>
      <c r="O20" s="42"/>
      <c r="P20" s="42"/>
      <c r="Q20" s="41"/>
      <c r="R20" s="41"/>
      <c r="S20" s="41"/>
      <c r="T20" s="41"/>
      <c r="U20" s="41"/>
      <c r="V20" s="41"/>
      <c r="W20" s="41"/>
      <c r="X20" s="41"/>
      <c r="Y20" s="41"/>
      <c r="Z20" s="41"/>
    </row>
    <row r="21" ht="15.75" customHeight="1">
      <c r="A21" s="41"/>
      <c r="B21" s="41"/>
      <c r="C21" s="42"/>
      <c r="D21" s="42"/>
      <c r="E21" s="43"/>
      <c r="F21" s="42"/>
      <c r="G21" s="41"/>
      <c r="H21" s="42"/>
      <c r="I21" s="42"/>
      <c r="J21" s="42"/>
      <c r="K21" s="42"/>
      <c r="L21" s="41"/>
      <c r="M21" s="42"/>
      <c r="N21" s="42"/>
      <c r="O21" s="42"/>
      <c r="P21" s="42"/>
      <c r="Q21" s="41"/>
      <c r="R21" s="41"/>
      <c r="S21" s="41"/>
      <c r="T21" s="41"/>
      <c r="U21" s="41"/>
      <c r="V21" s="41"/>
      <c r="W21" s="41"/>
      <c r="X21" s="41"/>
      <c r="Y21" s="41"/>
      <c r="Z21" s="41"/>
    </row>
    <row r="22" ht="15.75" customHeight="1">
      <c r="A22" s="41"/>
      <c r="B22" s="41"/>
      <c r="C22" s="42"/>
      <c r="D22" s="42"/>
      <c r="E22" s="43"/>
      <c r="F22" s="42"/>
      <c r="G22" s="41"/>
      <c r="H22" s="42"/>
      <c r="I22" s="42"/>
      <c r="J22" s="42"/>
      <c r="K22" s="42"/>
      <c r="L22" s="41"/>
      <c r="M22" s="42"/>
      <c r="N22" s="42"/>
      <c r="O22" s="42"/>
      <c r="P22" s="42"/>
      <c r="Q22" s="41"/>
      <c r="R22" s="41"/>
      <c r="S22" s="41"/>
      <c r="T22" s="41"/>
      <c r="U22" s="41"/>
      <c r="V22" s="41"/>
      <c r="W22" s="41"/>
      <c r="X22" s="41"/>
      <c r="Y22" s="41"/>
      <c r="Z22" s="41"/>
    </row>
    <row r="23" ht="15.75" customHeight="1">
      <c r="A23" s="41"/>
      <c r="B23" s="41"/>
      <c r="C23" s="42"/>
      <c r="D23" s="42"/>
      <c r="E23" s="43"/>
      <c r="F23" s="42"/>
      <c r="G23" s="41"/>
      <c r="H23" s="42"/>
      <c r="I23" s="42"/>
      <c r="J23" s="42"/>
      <c r="K23" s="42"/>
      <c r="L23" s="41"/>
      <c r="M23" s="42"/>
      <c r="N23" s="42"/>
      <c r="O23" s="42"/>
      <c r="P23" s="42"/>
      <c r="Q23" s="41"/>
      <c r="R23" s="41"/>
      <c r="S23" s="41"/>
      <c r="T23" s="41"/>
      <c r="U23" s="41"/>
      <c r="V23" s="41"/>
      <c r="W23" s="41"/>
      <c r="X23" s="41"/>
      <c r="Y23" s="41"/>
      <c r="Z23" s="41"/>
    </row>
    <row r="24" ht="15.75" customHeight="1">
      <c r="C24" s="1"/>
      <c r="D24" s="1"/>
      <c r="E24" s="2"/>
      <c r="F24" s="1"/>
      <c r="H24" s="1"/>
      <c r="I24" s="1"/>
      <c r="J24" s="1"/>
      <c r="K24" s="1"/>
      <c r="M24" s="1"/>
      <c r="N24" s="1"/>
      <c r="O24" s="1"/>
      <c r="P24" s="1"/>
    </row>
    <row r="25" ht="15.75" customHeight="1">
      <c r="C25" s="1"/>
      <c r="D25" s="1"/>
      <c r="E25" s="2"/>
      <c r="F25" s="1"/>
      <c r="H25" s="1"/>
      <c r="I25" s="1"/>
      <c r="J25" s="1"/>
      <c r="K25" s="1"/>
      <c r="M25" s="1"/>
      <c r="N25" s="1"/>
      <c r="O25" s="1"/>
      <c r="P25" s="1"/>
    </row>
    <row r="26" ht="15.75" customHeight="1">
      <c r="C26" s="1"/>
      <c r="D26" s="1"/>
      <c r="E26" s="2"/>
      <c r="F26" s="1"/>
      <c r="H26" s="1"/>
      <c r="I26" s="1"/>
      <c r="J26" s="1"/>
      <c r="K26" s="1"/>
      <c r="M26" s="1"/>
      <c r="N26" s="1"/>
      <c r="O26" s="1"/>
      <c r="P26" s="1"/>
    </row>
    <row r="27" ht="15.75" customHeight="1">
      <c r="C27" s="1"/>
      <c r="D27" s="1"/>
      <c r="E27" s="2"/>
      <c r="F27" s="1"/>
      <c r="H27" s="1"/>
      <c r="I27" s="1"/>
      <c r="J27" s="1"/>
      <c r="K27" s="1"/>
      <c r="M27" s="1"/>
      <c r="N27" s="1"/>
      <c r="O27" s="1"/>
      <c r="P27" s="1"/>
    </row>
    <row r="28" ht="15.75" customHeight="1">
      <c r="C28" s="1"/>
      <c r="D28" s="1"/>
      <c r="E28" s="2"/>
      <c r="F28" s="1"/>
      <c r="H28" s="1"/>
      <c r="I28" s="1"/>
      <c r="J28" s="1"/>
      <c r="K28" s="1"/>
      <c r="M28" s="1"/>
      <c r="N28" s="1"/>
      <c r="O28" s="1"/>
      <c r="P28" s="1"/>
    </row>
    <row r="29" ht="15.75" customHeight="1">
      <c r="C29" s="1"/>
      <c r="D29" s="1"/>
      <c r="E29" s="2"/>
      <c r="F29" s="1"/>
      <c r="H29" s="1"/>
      <c r="I29" s="1"/>
      <c r="J29" s="1"/>
      <c r="K29" s="1"/>
      <c r="M29" s="1"/>
      <c r="N29" s="1"/>
      <c r="O29" s="1"/>
      <c r="P29" s="1"/>
    </row>
    <row r="30" ht="15.75" customHeight="1">
      <c r="C30" s="1"/>
      <c r="D30" s="1"/>
      <c r="E30" s="2"/>
      <c r="F30" s="1"/>
      <c r="H30" s="1"/>
      <c r="I30" s="1"/>
      <c r="J30" s="1"/>
      <c r="K30" s="1"/>
      <c r="M30" s="1"/>
      <c r="N30" s="1"/>
      <c r="O30" s="1"/>
      <c r="P30" s="1"/>
    </row>
    <row r="31" ht="15.75" customHeight="1">
      <c r="C31" s="1"/>
      <c r="D31" s="1"/>
      <c r="E31" s="2"/>
      <c r="F31" s="1"/>
      <c r="H31" s="1"/>
      <c r="I31" s="1"/>
      <c r="J31" s="1"/>
      <c r="K31" s="1"/>
      <c r="M31" s="1"/>
      <c r="N31" s="1"/>
      <c r="O31" s="1"/>
      <c r="P31" s="1"/>
    </row>
    <row r="32" ht="15.75" customHeight="1">
      <c r="C32" s="1"/>
      <c r="D32" s="1"/>
      <c r="E32" s="2"/>
      <c r="F32" s="1"/>
      <c r="H32" s="1"/>
      <c r="I32" s="1"/>
      <c r="J32" s="1"/>
      <c r="K32" s="1"/>
      <c r="M32" s="1"/>
      <c r="N32" s="1"/>
      <c r="O32" s="1"/>
      <c r="P32" s="1"/>
    </row>
    <row r="33" ht="15.75" customHeight="1">
      <c r="C33" s="1"/>
      <c r="D33" s="1"/>
      <c r="E33" s="2"/>
      <c r="F33" s="1"/>
      <c r="H33" s="1"/>
      <c r="I33" s="1"/>
      <c r="J33" s="1"/>
      <c r="K33" s="1"/>
      <c r="M33" s="1"/>
      <c r="N33" s="1"/>
      <c r="O33" s="1"/>
      <c r="P33" s="1"/>
    </row>
    <row r="34" ht="15.75" customHeight="1">
      <c r="C34" s="1"/>
      <c r="D34" s="1"/>
      <c r="E34" s="2"/>
      <c r="F34" s="1"/>
      <c r="H34" s="1"/>
      <c r="I34" s="1"/>
      <c r="J34" s="1"/>
      <c r="K34" s="1"/>
      <c r="M34" s="1"/>
      <c r="N34" s="1"/>
      <c r="O34" s="1"/>
      <c r="P34" s="1"/>
    </row>
    <row r="35" ht="15.75" customHeight="1">
      <c r="C35" s="1"/>
      <c r="D35" s="1"/>
      <c r="E35" s="2"/>
      <c r="F35" s="1"/>
      <c r="H35" s="1"/>
      <c r="I35" s="1"/>
      <c r="J35" s="1"/>
      <c r="K35" s="1"/>
      <c r="M35" s="1"/>
      <c r="N35" s="1"/>
      <c r="O35" s="1"/>
      <c r="P35" s="1"/>
    </row>
    <row r="36" ht="15.75" customHeight="1">
      <c r="C36" s="1"/>
      <c r="D36" s="1"/>
      <c r="E36" s="2"/>
      <c r="F36" s="1"/>
      <c r="H36" s="1"/>
      <c r="I36" s="1"/>
      <c r="J36" s="1"/>
      <c r="K36" s="1"/>
      <c r="M36" s="1"/>
      <c r="N36" s="1"/>
      <c r="O36" s="1"/>
      <c r="P36" s="1"/>
    </row>
    <row r="37" ht="15.75" customHeight="1">
      <c r="C37" s="1"/>
      <c r="D37" s="1"/>
      <c r="E37" s="2"/>
      <c r="F37" s="1"/>
      <c r="H37" s="1"/>
      <c r="I37" s="1"/>
      <c r="J37" s="1"/>
      <c r="K37" s="1"/>
      <c r="M37" s="1"/>
      <c r="N37" s="1"/>
      <c r="O37" s="1"/>
      <c r="P37" s="1"/>
    </row>
    <row r="38" ht="15.75" customHeight="1">
      <c r="C38" s="1"/>
      <c r="D38" s="1"/>
      <c r="E38" s="2"/>
      <c r="F38" s="1"/>
      <c r="H38" s="1"/>
      <c r="I38" s="1"/>
      <c r="J38" s="1"/>
      <c r="K38" s="1"/>
      <c r="M38" s="1"/>
      <c r="N38" s="1"/>
      <c r="O38" s="1"/>
      <c r="P38" s="1"/>
    </row>
    <row r="39" ht="15.75" customHeight="1">
      <c r="C39" s="1"/>
      <c r="D39" s="1"/>
      <c r="E39" s="2"/>
      <c r="F39" s="1"/>
      <c r="H39" s="1"/>
      <c r="I39" s="1"/>
      <c r="J39" s="1"/>
      <c r="K39" s="1"/>
      <c r="M39" s="1"/>
      <c r="N39" s="1"/>
      <c r="O39" s="1"/>
      <c r="P39" s="1"/>
    </row>
    <row r="40" ht="15.75" customHeight="1">
      <c r="C40" s="1"/>
      <c r="D40" s="1"/>
      <c r="E40" s="2"/>
      <c r="F40" s="1"/>
      <c r="H40" s="1"/>
      <c r="I40" s="1"/>
      <c r="J40" s="1"/>
      <c r="K40" s="1"/>
      <c r="M40" s="1"/>
      <c r="N40" s="1"/>
      <c r="O40" s="1"/>
      <c r="P40" s="1"/>
    </row>
    <row r="41" ht="15.75" customHeight="1">
      <c r="C41" s="1"/>
      <c r="D41" s="1"/>
      <c r="E41" s="2"/>
      <c r="F41" s="1"/>
      <c r="H41" s="1"/>
      <c r="I41" s="1"/>
      <c r="J41" s="1"/>
      <c r="K41" s="1"/>
      <c r="M41" s="1"/>
      <c r="N41" s="1"/>
      <c r="O41" s="1"/>
      <c r="P41" s="1"/>
    </row>
    <row r="42" ht="15.75" customHeight="1">
      <c r="C42" s="1"/>
      <c r="D42" s="1"/>
      <c r="E42" s="2"/>
      <c r="F42" s="1"/>
      <c r="H42" s="1"/>
      <c r="I42" s="1"/>
      <c r="J42" s="1"/>
      <c r="K42" s="1"/>
      <c r="M42" s="1"/>
      <c r="N42" s="1"/>
      <c r="O42" s="1"/>
      <c r="P42" s="1"/>
    </row>
    <row r="43" ht="15.75" customHeight="1">
      <c r="C43" s="1"/>
      <c r="D43" s="1"/>
      <c r="E43" s="2"/>
      <c r="F43" s="1"/>
      <c r="H43" s="1"/>
      <c r="I43" s="1"/>
      <c r="J43" s="1"/>
      <c r="K43" s="1"/>
      <c r="M43" s="1"/>
      <c r="N43" s="1"/>
      <c r="O43" s="1"/>
      <c r="P43" s="1"/>
    </row>
    <row r="44" ht="15.75" customHeight="1">
      <c r="C44" s="1"/>
      <c r="D44" s="1"/>
      <c r="E44" s="2"/>
      <c r="F44" s="1"/>
      <c r="H44" s="1"/>
      <c r="I44" s="1"/>
      <c r="J44" s="1"/>
      <c r="K44" s="1"/>
      <c r="M44" s="1"/>
      <c r="N44" s="1"/>
      <c r="O44" s="1"/>
      <c r="P44" s="1"/>
    </row>
    <row r="45" ht="15.75" customHeight="1">
      <c r="C45" s="1"/>
      <c r="D45" s="1"/>
      <c r="E45" s="2"/>
      <c r="F45" s="1"/>
      <c r="H45" s="1"/>
      <c r="I45" s="1"/>
      <c r="J45" s="1"/>
      <c r="K45" s="1"/>
      <c r="M45" s="1"/>
      <c r="N45" s="1"/>
      <c r="O45" s="1"/>
      <c r="P45" s="1"/>
    </row>
    <row r="46" ht="15.75" customHeight="1">
      <c r="C46" s="1"/>
      <c r="D46" s="1"/>
      <c r="E46" s="2"/>
      <c r="F46" s="1"/>
      <c r="H46" s="1"/>
      <c r="I46" s="1"/>
      <c r="J46" s="1"/>
      <c r="K46" s="1"/>
      <c r="M46" s="1"/>
      <c r="N46" s="1"/>
      <c r="O46" s="1"/>
      <c r="P46" s="1"/>
    </row>
    <row r="47" ht="15.75" customHeight="1">
      <c r="C47" s="1"/>
      <c r="D47" s="1"/>
      <c r="E47" s="2"/>
      <c r="F47" s="1"/>
      <c r="H47" s="1"/>
      <c r="I47" s="1"/>
      <c r="J47" s="1"/>
      <c r="K47" s="1"/>
      <c r="M47" s="1"/>
      <c r="N47" s="1"/>
      <c r="O47" s="1"/>
      <c r="P47" s="1"/>
    </row>
    <row r="48" ht="15.75" customHeight="1">
      <c r="C48" s="1"/>
      <c r="D48" s="1"/>
      <c r="E48" s="2"/>
      <c r="F48" s="1"/>
      <c r="H48" s="1"/>
      <c r="I48" s="1"/>
      <c r="J48" s="1"/>
      <c r="K48" s="1"/>
      <c r="M48" s="1"/>
      <c r="N48" s="1"/>
      <c r="O48" s="1"/>
      <c r="P48" s="1"/>
    </row>
    <row r="49" ht="15.75" customHeight="1">
      <c r="C49" s="1"/>
      <c r="D49" s="1"/>
      <c r="E49" s="2"/>
      <c r="F49" s="1"/>
      <c r="H49" s="1"/>
      <c r="I49" s="1"/>
      <c r="J49" s="1"/>
      <c r="K49" s="1"/>
      <c r="M49" s="1"/>
      <c r="N49" s="1"/>
      <c r="O49" s="1"/>
      <c r="P49" s="1"/>
    </row>
    <row r="50" ht="15.75" customHeight="1">
      <c r="C50" s="1"/>
      <c r="D50" s="1"/>
      <c r="E50" s="2"/>
      <c r="F50" s="1"/>
      <c r="H50" s="1"/>
      <c r="I50" s="1"/>
      <c r="J50" s="1"/>
      <c r="K50" s="1"/>
      <c r="M50" s="1"/>
      <c r="N50" s="1"/>
      <c r="O50" s="1"/>
      <c r="P50" s="1"/>
    </row>
    <row r="51" ht="15.75" customHeight="1">
      <c r="C51" s="1"/>
      <c r="D51" s="1"/>
      <c r="E51" s="2"/>
      <c r="F51" s="1"/>
      <c r="H51" s="1"/>
      <c r="I51" s="1"/>
      <c r="J51" s="1"/>
      <c r="K51" s="1"/>
      <c r="M51" s="1"/>
      <c r="N51" s="1"/>
      <c r="O51" s="1"/>
      <c r="P51" s="1"/>
    </row>
    <row r="52" ht="15.75" customHeight="1">
      <c r="C52" s="1"/>
      <c r="D52" s="1"/>
      <c r="E52" s="2"/>
      <c r="F52" s="1"/>
      <c r="H52" s="1"/>
      <c r="I52" s="1"/>
      <c r="J52" s="1"/>
      <c r="K52" s="1"/>
      <c r="M52" s="1"/>
      <c r="N52" s="1"/>
      <c r="O52" s="1"/>
      <c r="P52" s="1"/>
    </row>
    <row r="53" ht="15.75" customHeight="1">
      <c r="C53" s="1"/>
      <c r="D53" s="1"/>
      <c r="E53" s="2"/>
      <c r="F53" s="1"/>
      <c r="H53" s="1"/>
      <c r="I53" s="1"/>
      <c r="J53" s="1"/>
      <c r="K53" s="1"/>
      <c r="M53" s="1"/>
      <c r="N53" s="1"/>
      <c r="O53" s="1"/>
      <c r="P53" s="1"/>
    </row>
    <row r="54" ht="15.75" customHeight="1">
      <c r="C54" s="1"/>
      <c r="D54" s="1"/>
      <c r="E54" s="2"/>
      <c r="F54" s="1"/>
      <c r="H54" s="1"/>
      <c r="I54" s="1"/>
      <c r="J54" s="1"/>
      <c r="K54" s="1"/>
      <c r="M54" s="1"/>
      <c r="N54" s="1"/>
      <c r="O54" s="1"/>
      <c r="P54" s="1"/>
    </row>
    <row r="55" ht="15.75" customHeight="1">
      <c r="C55" s="1"/>
      <c r="D55" s="1"/>
      <c r="E55" s="2"/>
      <c r="F55" s="1"/>
      <c r="H55" s="1"/>
      <c r="I55" s="1"/>
      <c r="J55" s="1"/>
      <c r="K55" s="1"/>
      <c r="M55" s="1"/>
      <c r="N55" s="1"/>
      <c r="O55" s="1"/>
      <c r="P55" s="1"/>
    </row>
    <row r="56" ht="15.75" customHeight="1">
      <c r="C56" s="1"/>
      <c r="D56" s="1"/>
      <c r="E56" s="2"/>
      <c r="F56" s="1"/>
      <c r="H56" s="1"/>
      <c r="I56" s="1"/>
      <c r="J56" s="1"/>
      <c r="K56" s="1"/>
      <c r="M56" s="1"/>
      <c r="N56" s="1"/>
      <c r="O56" s="1"/>
      <c r="P56" s="1"/>
    </row>
    <row r="57" ht="15.75" customHeight="1">
      <c r="C57" s="1"/>
      <c r="D57" s="1"/>
      <c r="E57" s="2"/>
      <c r="F57" s="1"/>
      <c r="H57" s="1"/>
      <c r="I57" s="1"/>
      <c r="J57" s="1"/>
      <c r="K57" s="1"/>
      <c r="M57" s="1"/>
      <c r="N57" s="1"/>
      <c r="O57" s="1"/>
      <c r="P57" s="1"/>
    </row>
    <row r="58" ht="15.75" customHeight="1">
      <c r="C58" s="1"/>
      <c r="D58" s="1"/>
      <c r="E58" s="2"/>
      <c r="F58" s="1"/>
      <c r="H58" s="1"/>
      <c r="I58" s="1"/>
      <c r="J58" s="1"/>
      <c r="K58" s="1"/>
      <c r="M58" s="1"/>
      <c r="N58" s="1"/>
      <c r="O58" s="1"/>
      <c r="P58" s="1"/>
    </row>
    <row r="59" ht="15.75" customHeight="1">
      <c r="C59" s="1"/>
      <c r="D59" s="1"/>
      <c r="E59" s="2"/>
      <c r="F59" s="1"/>
      <c r="H59" s="1"/>
      <c r="I59" s="1"/>
      <c r="J59" s="1"/>
      <c r="K59" s="1"/>
      <c r="M59" s="1"/>
      <c r="N59" s="1"/>
      <c r="O59" s="1"/>
      <c r="P59" s="1"/>
    </row>
    <row r="60" ht="15.75" customHeight="1">
      <c r="C60" s="1"/>
      <c r="D60" s="1"/>
      <c r="E60" s="2"/>
      <c r="F60" s="1"/>
      <c r="H60" s="1"/>
      <c r="I60" s="1"/>
      <c r="J60" s="1"/>
      <c r="K60" s="1"/>
      <c r="M60" s="1"/>
      <c r="N60" s="1"/>
      <c r="O60" s="1"/>
      <c r="P60" s="1"/>
    </row>
    <row r="61" ht="15.75" customHeight="1">
      <c r="C61" s="1"/>
      <c r="D61" s="1"/>
      <c r="E61" s="2"/>
      <c r="F61" s="1"/>
      <c r="H61" s="1"/>
      <c r="I61" s="1"/>
      <c r="J61" s="1"/>
      <c r="K61" s="1"/>
      <c r="M61" s="1"/>
      <c r="N61" s="1"/>
      <c r="O61" s="1"/>
      <c r="P61" s="1"/>
    </row>
    <row r="62" ht="15.75" customHeight="1">
      <c r="C62" s="1"/>
      <c r="D62" s="1"/>
      <c r="E62" s="2"/>
      <c r="F62" s="1"/>
      <c r="H62" s="1"/>
      <c r="I62" s="1"/>
      <c r="J62" s="1"/>
      <c r="K62" s="1"/>
      <c r="M62" s="1"/>
      <c r="N62" s="1"/>
      <c r="O62" s="1"/>
      <c r="P62" s="1"/>
    </row>
    <row r="63" ht="15.75" customHeight="1">
      <c r="C63" s="1"/>
      <c r="D63" s="1"/>
      <c r="E63" s="2"/>
      <c r="F63" s="1"/>
      <c r="H63" s="1"/>
      <c r="I63" s="1"/>
      <c r="J63" s="1"/>
      <c r="K63" s="1"/>
      <c r="M63" s="1"/>
      <c r="N63" s="1"/>
      <c r="O63" s="1"/>
      <c r="P63" s="1"/>
    </row>
    <row r="64" ht="15.75" customHeight="1">
      <c r="C64" s="1"/>
      <c r="D64" s="1"/>
      <c r="E64" s="2"/>
      <c r="F64" s="1"/>
      <c r="H64" s="1"/>
      <c r="I64" s="1"/>
      <c r="J64" s="1"/>
      <c r="K64" s="1"/>
      <c r="M64" s="1"/>
      <c r="N64" s="1"/>
      <c r="O64" s="1"/>
      <c r="P64" s="1"/>
    </row>
    <row r="65" ht="15.75" customHeight="1">
      <c r="C65" s="1"/>
      <c r="D65" s="1"/>
      <c r="E65" s="2"/>
      <c r="F65" s="1"/>
      <c r="H65" s="1"/>
      <c r="I65" s="1"/>
      <c r="J65" s="1"/>
      <c r="K65" s="1"/>
      <c r="M65" s="1"/>
      <c r="N65" s="1"/>
      <c r="O65" s="1"/>
      <c r="P65" s="1"/>
    </row>
    <row r="66" ht="15.75" customHeight="1">
      <c r="C66" s="1"/>
      <c r="D66" s="1"/>
      <c r="E66" s="2"/>
      <c r="F66" s="1"/>
      <c r="H66" s="1"/>
      <c r="I66" s="1"/>
      <c r="J66" s="1"/>
      <c r="K66" s="1"/>
      <c r="M66" s="1"/>
      <c r="N66" s="1"/>
      <c r="O66" s="1"/>
      <c r="P66" s="1"/>
    </row>
    <row r="67" ht="15.75" customHeight="1">
      <c r="C67" s="1"/>
      <c r="D67" s="1"/>
      <c r="E67" s="2"/>
      <c r="F67" s="1"/>
      <c r="H67" s="1"/>
      <c r="I67" s="1"/>
      <c r="J67" s="1"/>
      <c r="K67" s="1"/>
      <c r="M67" s="1"/>
      <c r="N67" s="1"/>
      <c r="O67" s="1"/>
      <c r="P67" s="1"/>
    </row>
    <row r="68" ht="15.75" customHeight="1">
      <c r="C68" s="1"/>
      <c r="D68" s="1"/>
      <c r="E68" s="2"/>
      <c r="F68" s="1"/>
      <c r="H68" s="1"/>
      <c r="I68" s="1"/>
      <c r="J68" s="1"/>
      <c r="K68" s="1"/>
      <c r="M68" s="1"/>
      <c r="N68" s="1"/>
      <c r="O68" s="1"/>
      <c r="P68" s="1"/>
    </row>
    <row r="69" ht="15.75" customHeight="1">
      <c r="C69" s="1"/>
      <c r="D69" s="1"/>
      <c r="E69" s="2"/>
      <c r="F69" s="1"/>
      <c r="H69" s="1"/>
      <c r="I69" s="1"/>
      <c r="J69" s="1"/>
      <c r="K69" s="1"/>
      <c r="M69" s="1"/>
      <c r="N69" s="1"/>
      <c r="O69" s="1"/>
      <c r="P69" s="1"/>
    </row>
    <row r="70" ht="15.75" customHeight="1">
      <c r="C70" s="1"/>
      <c r="D70" s="1"/>
      <c r="E70" s="2"/>
      <c r="F70" s="1"/>
      <c r="H70" s="1"/>
      <c r="I70" s="1"/>
      <c r="J70" s="1"/>
      <c r="K70" s="1"/>
      <c r="M70" s="1"/>
      <c r="N70" s="1"/>
      <c r="O70" s="1"/>
      <c r="P70" s="1"/>
    </row>
    <row r="71" ht="15.75" customHeight="1">
      <c r="C71" s="1"/>
      <c r="D71" s="1"/>
      <c r="E71" s="2"/>
      <c r="F71" s="1"/>
      <c r="H71" s="1"/>
      <c r="I71" s="1"/>
      <c r="J71" s="1"/>
      <c r="K71" s="1"/>
      <c r="M71" s="1"/>
      <c r="N71" s="1"/>
      <c r="O71" s="1"/>
      <c r="P71" s="1"/>
    </row>
    <row r="72" ht="15.75" customHeight="1">
      <c r="C72" s="1"/>
      <c r="D72" s="1"/>
      <c r="E72" s="2"/>
      <c r="F72" s="1"/>
      <c r="H72" s="1"/>
      <c r="I72" s="1"/>
      <c r="J72" s="1"/>
      <c r="K72" s="1"/>
      <c r="M72" s="1"/>
      <c r="N72" s="1"/>
      <c r="O72" s="1"/>
      <c r="P72" s="1"/>
    </row>
    <row r="73" ht="15.75" customHeight="1">
      <c r="C73" s="1"/>
      <c r="D73" s="1"/>
      <c r="E73" s="2"/>
      <c r="F73" s="1"/>
      <c r="H73" s="1"/>
      <c r="I73" s="1"/>
      <c r="J73" s="1"/>
      <c r="K73" s="1"/>
      <c r="M73" s="1"/>
      <c r="N73" s="1"/>
      <c r="O73" s="1"/>
      <c r="P73" s="1"/>
    </row>
    <row r="74" ht="15.75" customHeight="1">
      <c r="C74" s="1"/>
      <c r="D74" s="1"/>
      <c r="E74" s="2"/>
      <c r="F74" s="1"/>
      <c r="H74" s="1"/>
      <c r="I74" s="1"/>
      <c r="J74" s="1"/>
      <c r="K74" s="1"/>
      <c r="M74" s="1"/>
      <c r="N74" s="1"/>
      <c r="O74" s="1"/>
      <c r="P74" s="1"/>
    </row>
    <row r="75" ht="15.75" customHeight="1">
      <c r="C75" s="1"/>
      <c r="D75" s="1"/>
      <c r="E75" s="2"/>
      <c r="F75" s="1"/>
      <c r="H75" s="1"/>
      <c r="I75" s="1"/>
      <c r="J75" s="1"/>
      <c r="K75" s="1"/>
      <c r="M75" s="1"/>
      <c r="N75" s="1"/>
      <c r="O75" s="1"/>
      <c r="P75" s="1"/>
    </row>
    <row r="76" ht="15.75" customHeight="1">
      <c r="C76" s="1"/>
      <c r="D76" s="1"/>
      <c r="E76" s="2"/>
      <c r="F76" s="1"/>
      <c r="H76" s="1"/>
      <c r="I76" s="1"/>
      <c r="J76" s="1"/>
      <c r="K76" s="1"/>
      <c r="M76" s="1"/>
      <c r="N76" s="1"/>
      <c r="O76" s="1"/>
      <c r="P76" s="1"/>
    </row>
    <row r="77" ht="15.75" customHeight="1">
      <c r="C77" s="1"/>
      <c r="D77" s="1"/>
      <c r="E77" s="2"/>
      <c r="F77" s="1"/>
      <c r="H77" s="1"/>
      <c r="I77" s="1"/>
      <c r="J77" s="1"/>
      <c r="K77" s="1"/>
      <c r="M77" s="1"/>
      <c r="N77" s="1"/>
      <c r="O77" s="1"/>
      <c r="P77" s="1"/>
    </row>
    <row r="78" ht="15.75" customHeight="1">
      <c r="C78" s="1"/>
      <c r="D78" s="1"/>
      <c r="E78" s="2"/>
      <c r="F78" s="1"/>
      <c r="H78" s="1"/>
      <c r="I78" s="1"/>
      <c r="J78" s="1"/>
      <c r="K78" s="1"/>
      <c r="M78" s="1"/>
      <c r="N78" s="1"/>
      <c r="O78" s="1"/>
      <c r="P78" s="1"/>
    </row>
    <row r="79" ht="15.75" customHeight="1">
      <c r="C79" s="1"/>
      <c r="D79" s="1"/>
      <c r="E79" s="2"/>
      <c r="F79" s="1"/>
      <c r="H79" s="1"/>
      <c r="I79" s="1"/>
      <c r="J79" s="1"/>
      <c r="K79" s="1"/>
      <c r="M79" s="1"/>
      <c r="N79" s="1"/>
      <c r="O79" s="1"/>
      <c r="P79" s="1"/>
    </row>
    <row r="80" ht="15.75" customHeight="1">
      <c r="C80" s="1"/>
      <c r="D80" s="1"/>
      <c r="E80" s="2"/>
      <c r="F80" s="1"/>
      <c r="H80" s="1"/>
      <c r="I80" s="1"/>
      <c r="J80" s="1"/>
      <c r="K80" s="1"/>
      <c r="M80" s="1"/>
      <c r="N80" s="1"/>
      <c r="O80" s="1"/>
      <c r="P80" s="1"/>
    </row>
    <row r="81" ht="15.75" customHeight="1">
      <c r="C81" s="1"/>
      <c r="D81" s="1"/>
      <c r="E81" s="2"/>
      <c r="F81" s="1"/>
      <c r="H81" s="1"/>
      <c r="I81" s="1"/>
      <c r="J81" s="1"/>
      <c r="K81" s="1"/>
      <c r="M81" s="1"/>
      <c r="N81" s="1"/>
      <c r="O81" s="1"/>
      <c r="P81" s="1"/>
    </row>
    <row r="82" ht="15.75" customHeight="1">
      <c r="C82" s="1"/>
      <c r="D82" s="1"/>
      <c r="E82" s="2"/>
      <c r="F82" s="1"/>
      <c r="H82" s="1"/>
      <c r="I82" s="1"/>
      <c r="J82" s="1"/>
      <c r="K82" s="1"/>
      <c r="M82" s="1"/>
      <c r="N82" s="1"/>
      <c r="O82" s="1"/>
      <c r="P82" s="1"/>
    </row>
    <row r="83" ht="15.75" customHeight="1">
      <c r="C83" s="1"/>
      <c r="D83" s="1"/>
      <c r="E83" s="2"/>
      <c r="F83" s="1"/>
      <c r="H83" s="1"/>
      <c r="I83" s="1"/>
      <c r="J83" s="1"/>
      <c r="K83" s="1"/>
      <c r="M83" s="1"/>
      <c r="N83" s="1"/>
      <c r="O83" s="1"/>
      <c r="P83" s="1"/>
    </row>
    <row r="84" ht="15.75" customHeight="1">
      <c r="C84" s="1"/>
      <c r="D84" s="1"/>
      <c r="E84" s="2"/>
      <c r="F84" s="1"/>
      <c r="H84" s="1"/>
      <c r="I84" s="1"/>
      <c r="J84" s="1"/>
      <c r="K84" s="1"/>
      <c r="M84" s="1"/>
      <c r="N84" s="1"/>
      <c r="O84" s="1"/>
      <c r="P84" s="1"/>
    </row>
    <row r="85" ht="15.75" customHeight="1">
      <c r="C85" s="1"/>
      <c r="D85" s="1"/>
      <c r="E85" s="2"/>
      <c r="F85" s="1"/>
      <c r="H85" s="1"/>
      <c r="I85" s="1"/>
      <c r="J85" s="1"/>
      <c r="K85" s="1"/>
      <c r="M85" s="1"/>
      <c r="N85" s="1"/>
      <c r="O85" s="1"/>
      <c r="P85" s="1"/>
    </row>
    <row r="86" ht="15.75" customHeight="1">
      <c r="C86" s="1"/>
      <c r="D86" s="1"/>
      <c r="E86" s="2"/>
      <c r="F86" s="1"/>
      <c r="H86" s="1"/>
      <c r="I86" s="1"/>
      <c r="J86" s="1"/>
      <c r="K86" s="1"/>
      <c r="M86" s="1"/>
      <c r="N86" s="1"/>
      <c r="O86" s="1"/>
      <c r="P86" s="1"/>
    </row>
    <row r="87" ht="15.75" customHeight="1">
      <c r="C87" s="1"/>
      <c r="D87" s="1"/>
      <c r="E87" s="2"/>
      <c r="F87" s="1"/>
      <c r="H87" s="1"/>
      <c r="I87" s="1"/>
      <c r="J87" s="1"/>
      <c r="K87" s="1"/>
      <c r="M87" s="1"/>
      <c r="N87" s="1"/>
      <c r="O87" s="1"/>
      <c r="P87" s="1"/>
    </row>
    <row r="88" ht="15.75" customHeight="1">
      <c r="C88" s="1"/>
      <c r="D88" s="1"/>
      <c r="E88" s="2"/>
      <c r="F88" s="1"/>
      <c r="H88" s="1"/>
      <c r="I88" s="1"/>
      <c r="J88" s="1"/>
      <c r="K88" s="1"/>
      <c r="M88" s="1"/>
      <c r="N88" s="1"/>
      <c r="O88" s="1"/>
      <c r="P88" s="1"/>
    </row>
    <row r="89" ht="15.75" customHeight="1">
      <c r="C89" s="1"/>
      <c r="D89" s="1"/>
      <c r="E89" s="2"/>
      <c r="F89" s="1"/>
      <c r="H89" s="1"/>
      <c r="I89" s="1"/>
      <c r="J89" s="1"/>
      <c r="K89" s="1"/>
      <c r="M89" s="1"/>
      <c r="N89" s="1"/>
      <c r="O89" s="1"/>
      <c r="P89" s="1"/>
    </row>
    <row r="90" ht="15.75" customHeight="1">
      <c r="C90" s="1"/>
      <c r="D90" s="1"/>
      <c r="E90" s="2"/>
      <c r="F90" s="1"/>
      <c r="H90" s="1"/>
      <c r="I90" s="1"/>
      <c r="J90" s="1"/>
      <c r="K90" s="1"/>
      <c r="M90" s="1"/>
      <c r="N90" s="1"/>
      <c r="O90" s="1"/>
      <c r="P90" s="1"/>
    </row>
    <row r="91" ht="15.75" customHeight="1">
      <c r="C91" s="1"/>
      <c r="D91" s="1"/>
      <c r="E91" s="2"/>
      <c r="F91" s="1"/>
      <c r="H91" s="1"/>
      <c r="I91" s="1"/>
      <c r="J91" s="1"/>
      <c r="K91" s="1"/>
      <c r="M91" s="1"/>
      <c r="N91" s="1"/>
      <c r="O91" s="1"/>
      <c r="P91" s="1"/>
    </row>
    <row r="92" ht="15.75" customHeight="1">
      <c r="C92" s="1"/>
      <c r="D92" s="1"/>
      <c r="E92" s="2"/>
      <c r="F92" s="1"/>
      <c r="H92" s="1"/>
      <c r="I92" s="1"/>
      <c r="J92" s="1"/>
      <c r="K92" s="1"/>
      <c r="M92" s="1"/>
      <c r="N92" s="1"/>
      <c r="O92" s="1"/>
      <c r="P92" s="1"/>
    </row>
    <row r="93" ht="15.75" customHeight="1">
      <c r="C93" s="1"/>
      <c r="D93" s="1"/>
      <c r="E93" s="2"/>
      <c r="F93" s="1"/>
      <c r="H93" s="1"/>
      <c r="I93" s="1"/>
      <c r="J93" s="1"/>
      <c r="K93" s="1"/>
      <c r="M93" s="1"/>
      <c r="N93" s="1"/>
      <c r="O93" s="1"/>
      <c r="P93" s="1"/>
    </row>
    <row r="94" ht="15.75" customHeight="1">
      <c r="C94" s="1"/>
      <c r="D94" s="1"/>
      <c r="E94" s="2"/>
      <c r="F94" s="1"/>
      <c r="H94" s="1"/>
      <c r="I94" s="1"/>
      <c r="J94" s="1"/>
      <c r="K94" s="1"/>
      <c r="M94" s="1"/>
      <c r="N94" s="1"/>
      <c r="O94" s="1"/>
      <c r="P94" s="1"/>
    </row>
    <row r="95" ht="15.75" customHeight="1">
      <c r="C95" s="1"/>
      <c r="D95" s="1"/>
      <c r="E95" s="2"/>
      <c r="F95" s="1"/>
      <c r="H95" s="1"/>
      <c r="I95" s="1"/>
      <c r="J95" s="1"/>
      <c r="K95" s="1"/>
      <c r="M95" s="1"/>
      <c r="N95" s="1"/>
      <c r="O95" s="1"/>
      <c r="P95" s="1"/>
    </row>
    <row r="96" ht="15.75" customHeight="1">
      <c r="C96" s="1"/>
      <c r="D96" s="1"/>
      <c r="E96" s="2"/>
      <c r="F96" s="1"/>
      <c r="H96" s="1"/>
      <c r="I96" s="1"/>
      <c r="J96" s="1"/>
      <c r="K96" s="1"/>
      <c r="M96" s="1"/>
      <c r="N96" s="1"/>
      <c r="O96" s="1"/>
      <c r="P96" s="1"/>
    </row>
    <row r="97" ht="15.75" customHeight="1">
      <c r="C97" s="1"/>
      <c r="D97" s="1"/>
      <c r="E97" s="2"/>
      <c r="F97" s="1"/>
      <c r="H97" s="1"/>
      <c r="I97" s="1"/>
      <c r="J97" s="1"/>
      <c r="K97" s="1"/>
      <c r="M97" s="1"/>
      <c r="N97" s="1"/>
      <c r="O97" s="1"/>
      <c r="P97" s="1"/>
    </row>
    <row r="98" ht="15.75" customHeight="1">
      <c r="C98" s="1"/>
      <c r="D98" s="1"/>
      <c r="E98" s="2"/>
      <c r="F98" s="1"/>
      <c r="H98" s="1"/>
      <c r="I98" s="1"/>
      <c r="J98" s="1"/>
      <c r="K98" s="1"/>
      <c r="M98" s="1"/>
      <c r="N98" s="1"/>
      <c r="O98" s="1"/>
      <c r="P98" s="1"/>
    </row>
    <row r="99" ht="15.75" customHeight="1">
      <c r="C99" s="1"/>
      <c r="D99" s="1"/>
      <c r="E99" s="2"/>
      <c r="F99" s="1"/>
      <c r="H99" s="1"/>
      <c r="I99" s="1"/>
      <c r="J99" s="1"/>
      <c r="K99" s="1"/>
      <c r="M99" s="1"/>
      <c r="N99" s="1"/>
      <c r="O99" s="1"/>
      <c r="P99" s="1"/>
    </row>
    <row r="100" ht="15.75" customHeight="1">
      <c r="C100" s="1"/>
      <c r="D100" s="1"/>
      <c r="E100" s="2"/>
      <c r="F100" s="1"/>
      <c r="H100" s="1"/>
      <c r="I100" s="1"/>
      <c r="J100" s="1"/>
      <c r="K100" s="1"/>
      <c r="M100" s="1"/>
      <c r="N100" s="1"/>
      <c r="O100" s="1"/>
      <c r="P100" s="1"/>
    </row>
    <row r="101" ht="15.75" customHeight="1">
      <c r="C101" s="1"/>
      <c r="D101" s="1"/>
      <c r="E101" s="2"/>
      <c r="F101" s="1"/>
      <c r="H101" s="1"/>
      <c r="I101" s="1"/>
      <c r="J101" s="1"/>
      <c r="K101" s="1"/>
      <c r="M101" s="1"/>
      <c r="N101" s="1"/>
      <c r="O101" s="1"/>
      <c r="P101" s="1"/>
    </row>
    <row r="102" ht="15.75" customHeight="1">
      <c r="C102" s="1"/>
      <c r="D102" s="1"/>
      <c r="E102" s="2"/>
      <c r="F102" s="1"/>
      <c r="H102" s="1"/>
      <c r="I102" s="1"/>
      <c r="J102" s="1"/>
      <c r="K102" s="1"/>
      <c r="M102" s="1"/>
      <c r="N102" s="1"/>
      <c r="O102" s="1"/>
      <c r="P102" s="1"/>
    </row>
    <row r="103" ht="15.75" customHeight="1">
      <c r="C103" s="1"/>
      <c r="D103" s="1"/>
      <c r="E103" s="2"/>
      <c r="F103" s="1"/>
      <c r="H103" s="1"/>
      <c r="I103" s="1"/>
      <c r="J103" s="1"/>
      <c r="K103" s="1"/>
      <c r="M103" s="1"/>
      <c r="N103" s="1"/>
      <c r="O103" s="1"/>
      <c r="P103" s="1"/>
    </row>
    <row r="104" ht="15.75" customHeight="1">
      <c r="C104" s="1"/>
      <c r="D104" s="1"/>
      <c r="E104" s="2"/>
      <c r="F104" s="1"/>
      <c r="H104" s="1"/>
      <c r="I104" s="1"/>
      <c r="J104" s="1"/>
      <c r="K104" s="1"/>
      <c r="M104" s="1"/>
      <c r="N104" s="1"/>
      <c r="O104" s="1"/>
      <c r="P104" s="1"/>
    </row>
    <row r="105" ht="15.75" customHeight="1">
      <c r="C105" s="1"/>
      <c r="D105" s="1"/>
      <c r="E105" s="2"/>
      <c r="F105" s="1"/>
      <c r="H105" s="1"/>
      <c r="I105" s="1"/>
      <c r="J105" s="1"/>
      <c r="K105" s="1"/>
      <c r="M105" s="1"/>
      <c r="N105" s="1"/>
      <c r="O105" s="1"/>
      <c r="P105" s="1"/>
    </row>
    <row r="106" ht="15.75" customHeight="1">
      <c r="C106" s="1"/>
      <c r="D106" s="1"/>
      <c r="E106" s="2"/>
      <c r="F106" s="1"/>
      <c r="H106" s="1"/>
      <c r="I106" s="1"/>
      <c r="J106" s="1"/>
      <c r="K106" s="1"/>
      <c r="M106" s="1"/>
      <c r="N106" s="1"/>
      <c r="O106" s="1"/>
      <c r="P106" s="1"/>
    </row>
    <row r="107" ht="15.75" customHeight="1">
      <c r="C107" s="1"/>
      <c r="D107" s="1"/>
      <c r="E107" s="2"/>
      <c r="F107" s="1"/>
      <c r="H107" s="1"/>
      <c r="I107" s="1"/>
      <c r="J107" s="1"/>
      <c r="K107" s="1"/>
      <c r="M107" s="1"/>
      <c r="N107" s="1"/>
      <c r="O107" s="1"/>
      <c r="P107" s="1"/>
    </row>
    <row r="108" ht="15.75" customHeight="1">
      <c r="C108" s="1"/>
      <c r="D108" s="1"/>
      <c r="E108" s="2"/>
      <c r="F108" s="1"/>
      <c r="H108" s="1"/>
      <c r="I108" s="1"/>
      <c r="J108" s="1"/>
      <c r="K108" s="1"/>
      <c r="M108" s="1"/>
      <c r="N108" s="1"/>
      <c r="O108" s="1"/>
      <c r="P108" s="1"/>
    </row>
    <row r="109" ht="15.75" customHeight="1">
      <c r="C109" s="1"/>
      <c r="D109" s="1"/>
      <c r="E109" s="2"/>
      <c r="F109" s="1"/>
      <c r="H109" s="1"/>
      <c r="I109" s="1"/>
      <c r="J109" s="1"/>
      <c r="K109" s="1"/>
      <c r="M109" s="1"/>
      <c r="N109" s="1"/>
      <c r="O109" s="1"/>
      <c r="P109" s="1"/>
    </row>
    <row r="110" ht="15.75" customHeight="1">
      <c r="C110" s="1"/>
      <c r="D110" s="1"/>
      <c r="E110" s="2"/>
      <c r="F110" s="1"/>
      <c r="H110" s="1"/>
      <c r="I110" s="1"/>
      <c r="J110" s="1"/>
      <c r="K110" s="1"/>
      <c r="M110" s="1"/>
      <c r="N110" s="1"/>
      <c r="O110" s="1"/>
      <c r="P110" s="1"/>
    </row>
    <row r="111" ht="15.75" customHeight="1">
      <c r="C111" s="1"/>
      <c r="D111" s="1"/>
      <c r="E111" s="2"/>
      <c r="F111" s="1"/>
      <c r="H111" s="1"/>
      <c r="I111" s="1"/>
      <c r="J111" s="1"/>
      <c r="K111" s="1"/>
      <c r="M111" s="1"/>
      <c r="N111" s="1"/>
      <c r="O111" s="1"/>
      <c r="P111" s="1"/>
    </row>
    <row r="112" ht="15.75" customHeight="1">
      <c r="C112" s="1"/>
      <c r="D112" s="1"/>
      <c r="E112" s="2"/>
      <c r="F112" s="1"/>
      <c r="H112" s="1"/>
      <c r="I112" s="1"/>
      <c r="J112" s="1"/>
      <c r="K112" s="1"/>
      <c r="M112" s="1"/>
      <c r="N112" s="1"/>
      <c r="O112" s="1"/>
      <c r="P112" s="1"/>
    </row>
    <row r="113" ht="15.75" customHeight="1">
      <c r="C113" s="1"/>
      <c r="D113" s="1"/>
      <c r="E113" s="2"/>
      <c r="F113" s="1"/>
      <c r="H113" s="1"/>
      <c r="I113" s="1"/>
      <c r="J113" s="1"/>
      <c r="K113" s="1"/>
      <c r="M113" s="1"/>
      <c r="N113" s="1"/>
      <c r="O113" s="1"/>
      <c r="P113" s="1"/>
    </row>
    <row r="114" ht="15.75" customHeight="1">
      <c r="C114" s="1"/>
      <c r="D114" s="1"/>
      <c r="E114" s="2"/>
      <c r="F114" s="1"/>
      <c r="H114" s="1"/>
      <c r="I114" s="1"/>
      <c r="J114" s="1"/>
      <c r="K114" s="1"/>
      <c r="M114" s="1"/>
      <c r="N114" s="1"/>
      <c r="O114" s="1"/>
      <c r="P114" s="1"/>
    </row>
    <row r="115" ht="15.75" customHeight="1">
      <c r="C115" s="1"/>
      <c r="D115" s="1"/>
      <c r="E115" s="2"/>
      <c r="F115" s="1"/>
      <c r="H115" s="1"/>
      <c r="I115" s="1"/>
      <c r="J115" s="1"/>
      <c r="K115" s="1"/>
      <c r="M115" s="1"/>
      <c r="N115" s="1"/>
      <c r="O115" s="1"/>
      <c r="P115" s="1"/>
    </row>
    <row r="116" ht="15.75" customHeight="1">
      <c r="C116" s="1"/>
      <c r="D116" s="1"/>
      <c r="E116" s="2"/>
      <c r="F116" s="1"/>
      <c r="H116" s="1"/>
      <c r="I116" s="1"/>
      <c r="J116" s="1"/>
      <c r="K116" s="1"/>
      <c r="M116" s="1"/>
      <c r="N116" s="1"/>
      <c r="O116" s="1"/>
      <c r="P116" s="1"/>
    </row>
    <row r="117" ht="15.75" customHeight="1">
      <c r="C117" s="1"/>
      <c r="D117" s="1"/>
      <c r="E117" s="2"/>
      <c r="F117" s="1"/>
      <c r="H117" s="1"/>
      <c r="I117" s="1"/>
      <c r="J117" s="1"/>
      <c r="K117" s="1"/>
      <c r="M117" s="1"/>
      <c r="N117" s="1"/>
      <c r="O117" s="1"/>
      <c r="P117" s="1"/>
    </row>
    <row r="118" ht="15.75" customHeight="1">
      <c r="C118" s="1"/>
      <c r="D118" s="1"/>
      <c r="E118" s="2"/>
      <c r="F118" s="1"/>
      <c r="H118" s="1"/>
      <c r="I118" s="1"/>
      <c r="J118" s="1"/>
      <c r="K118" s="1"/>
      <c r="M118" s="1"/>
      <c r="N118" s="1"/>
      <c r="O118" s="1"/>
      <c r="P118" s="1"/>
    </row>
    <row r="119" ht="15.75" customHeight="1">
      <c r="C119" s="1"/>
      <c r="D119" s="1"/>
      <c r="E119" s="2"/>
      <c r="F119" s="1"/>
      <c r="H119" s="1"/>
      <c r="I119" s="1"/>
      <c r="J119" s="1"/>
      <c r="K119" s="1"/>
      <c r="M119" s="1"/>
      <c r="N119" s="1"/>
      <c r="O119" s="1"/>
      <c r="P119" s="1"/>
    </row>
    <row r="120" ht="15.75" customHeight="1">
      <c r="C120" s="1"/>
      <c r="D120" s="1"/>
      <c r="E120" s="2"/>
      <c r="F120" s="1"/>
      <c r="H120" s="1"/>
      <c r="I120" s="1"/>
      <c r="J120" s="1"/>
      <c r="K120" s="1"/>
      <c r="M120" s="1"/>
      <c r="N120" s="1"/>
      <c r="O120" s="1"/>
      <c r="P120" s="1"/>
    </row>
    <row r="121" ht="15.75" customHeight="1">
      <c r="C121" s="1"/>
      <c r="D121" s="1"/>
      <c r="E121" s="2"/>
      <c r="F121" s="1"/>
      <c r="H121" s="1"/>
      <c r="I121" s="1"/>
      <c r="J121" s="1"/>
      <c r="K121" s="1"/>
      <c r="M121" s="1"/>
      <c r="N121" s="1"/>
      <c r="O121" s="1"/>
      <c r="P121" s="1"/>
    </row>
    <row r="122" ht="15.75" customHeight="1">
      <c r="C122" s="1"/>
      <c r="D122" s="1"/>
      <c r="E122" s="2"/>
      <c r="F122" s="1"/>
      <c r="H122" s="1"/>
      <c r="I122" s="1"/>
      <c r="J122" s="1"/>
      <c r="K122" s="1"/>
      <c r="M122" s="1"/>
      <c r="N122" s="1"/>
      <c r="O122" s="1"/>
      <c r="P122" s="1"/>
    </row>
    <row r="123" ht="15.75" customHeight="1">
      <c r="C123" s="1"/>
      <c r="D123" s="1"/>
      <c r="E123" s="2"/>
      <c r="F123" s="1"/>
      <c r="H123" s="1"/>
      <c r="I123" s="1"/>
      <c r="J123" s="1"/>
      <c r="K123" s="1"/>
      <c r="M123" s="1"/>
      <c r="N123" s="1"/>
      <c r="O123" s="1"/>
      <c r="P123" s="1"/>
    </row>
    <row r="124" ht="15.75" customHeight="1">
      <c r="C124" s="1"/>
      <c r="D124" s="1"/>
      <c r="E124" s="2"/>
      <c r="F124" s="1"/>
      <c r="H124" s="1"/>
      <c r="I124" s="1"/>
      <c r="J124" s="1"/>
      <c r="K124" s="1"/>
      <c r="M124" s="1"/>
      <c r="N124" s="1"/>
      <c r="O124" s="1"/>
      <c r="P124" s="1"/>
    </row>
    <row r="125" ht="15.75" customHeight="1">
      <c r="C125" s="1"/>
      <c r="D125" s="1"/>
      <c r="E125" s="2"/>
      <c r="F125" s="1"/>
      <c r="H125" s="1"/>
      <c r="I125" s="1"/>
      <c r="J125" s="1"/>
      <c r="K125" s="1"/>
      <c r="M125" s="1"/>
      <c r="N125" s="1"/>
      <c r="O125" s="1"/>
      <c r="P125" s="1"/>
    </row>
    <row r="126" ht="15.75" customHeight="1">
      <c r="C126" s="1"/>
      <c r="D126" s="1"/>
      <c r="E126" s="2"/>
      <c r="F126" s="1"/>
      <c r="H126" s="1"/>
      <c r="I126" s="1"/>
      <c r="J126" s="1"/>
      <c r="K126" s="1"/>
      <c r="M126" s="1"/>
      <c r="N126" s="1"/>
      <c r="O126" s="1"/>
      <c r="P126" s="1"/>
    </row>
    <row r="127" ht="15.75" customHeight="1">
      <c r="C127" s="1"/>
      <c r="D127" s="1"/>
      <c r="E127" s="2"/>
      <c r="F127" s="1"/>
      <c r="H127" s="1"/>
      <c r="I127" s="1"/>
      <c r="J127" s="1"/>
      <c r="K127" s="1"/>
      <c r="M127" s="1"/>
      <c r="N127" s="1"/>
      <c r="O127" s="1"/>
      <c r="P127" s="1"/>
    </row>
    <row r="128" ht="15.75" customHeight="1">
      <c r="C128" s="1"/>
      <c r="D128" s="1"/>
      <c r="E128" s="2"/>
      <c r="F128" s="1"/>
      <c r="H128" s="1"/>
      <c r="I128" s="1"/>
      <c r="J128" s="1"/>
      <c r="K128" s="1"/>
      <c r="M128" s="1"/>
      <c r="N128" s="1"/>
      <c r="O128" s="1"/>
      <c r="P128" s="1"/>
    </row>
    <row r="129" ht="15.75" customHeight="1">
      <c r="C129" s="1"/>
      <c r="D129" s="1"/>
      <c r="E129" s="2"/>
      <c r="F129" s="1"/>
      <c r="H129" s="1"/>
      <c r="I129" s="1"/>
      <c r="J129" s="1"/>
      <c r="K129" s="1"/>
      <c r="M129" s="1"/>
      <c r="N129" s="1"/>
      <c r="O129" s="1"/>
      <c r="P129" s="1"/>
    </row>
    <row r="130" ht="15.75" customHeight="1">
      <c r="C130" s="1"/>
      <c r="D130" s="1"/>
      <c r="E130" s="2"/>
      <c r="F130" s="1"/>
      <c r="H130" s="1"/>
      <c r="I130" s="1"/>
      <c r="J130" s="1"/>
      <c r="K130" s="1"/>
      <c r="M130" s="1"/>
      <c r="N130" s="1"/>
      <c r="O130" s="1"/>
      <c r="P130" s="1"/>
    </row>
    <row r="131" ht="15.75" customHeight="1">
      <c r="C131" s="1"/>
      <c r="D131" s="1"/>
      <c r="E131" s="2"/>
      <c r="F131" s="1"/>
      <c r="H131" s="1"/>
      <c r="I131" s="1"/>
      <c r="J131" s="1"/>
      <c r="K131" s="1"/>
      <c r="M131" s="1"/>
      <c r="N131" s="1"/>
      <c r="O131" s="1"/>
      <c r="P131" s="1"/>
    </row>
    <row r="132" ht="15.75" customHeight="1">
      <c r="C132" s="1"/>
      <c r="D132" s="1"/>
      <c r="E132" s="2"/>
      <c r="F132" s="1"/>
      <c r="H132" s="1"/>
      <c r="I132" s="1"/>
      <c r="J132" s="1"/>
      <c r="K132" s="1"/>
      <c r="M132" s="1"/>
      <c r="N132" s="1"/>
      <c r="O132" s="1"/>
      <c r="P132" s="1"/>
    </row>
    <row r="133" ht="15.75" customHeight="1">
      <c r="C133" s="1"/>
      <c r="D133" s="1"/>
      <c r="E133" s="2"/>
      <c r="F133" s="1"/>
      <c r="H133" s="1"/>
      <c r="I133" s="1"/>
      <c r="J133" s="1"/>
      <c r="K133" s="1"/>
      <c r="M133" s="1"/>
      <c r="N133" s="1"/>
      <c r="O133" s="1"/>
      <c r="P133" s="1"/>
    </row>
    <row r="134" ht="15.75" customHeight="1">
      <c r="C134" s="1"/>
      <c r="D134" s="1"/>
      <c r="E134" s="2"/>
      <c r="F134" s="1"/>
      <c r="H134" s="1"/>
      <c r="I134" s="1"/>
      <c r="J134" s="1"/>
      <c r="K134" s="1"/>
      <c r="M134" s="1"/>
      <c r="N134" s="1"/>
      <c r="O134" s="1"/>
      <c r="P134" s="1"/>
    </row>
    <row r="135" ht="15.75" customHeight="1">
      <c r="C135" s="1"/>
      <c r="D135" s="1"/>
      <c r="E135" s="2"/>
      <c r="F135" s="1"/>
      <c r="H135" s="1"/>
      <c r="I135" s="1"/>
      <c r="J135" s="1"/>
      <c r="K135" s="1"/>
      <c r="M135" s="1"/>
      <c r="N135" s="1"/>
      <c r="O135" s="1"/>
      <c r="P135" s="1"/>
    </row>
    <row r="136" ht="15.75" customHeight="1">
      <c r="C136" s="1"/>
      <c r="D136" s="1"/>
      <c r="E136" s="2"/>
      <c r="F136" s="1"/>
      <c r="H136" s="1"/>
      <c r="I136" s="1"/>
      <c r="J136" s="1"/>
      <c r="K136" s="1"/>
      <c r="M136" s="1"/>
      <c r="N136" s="1"/>
      <c r="O136" s="1"/>
      <c r="P136" s="1"/>
    </row>
    <row r="137" ht="15.75" customHeight="1">
      <c r="C137" s="1"/>
      <c r="D137" s="1"/>
      <c r="E137" s="2"/>
      <c r="F137" s="1"/>
      <c r="H137" s="1"/>
      <c r="I137" s="1"/>
      <c r="J137" s="1"/>
      <c r="K137" s="1"/>
      <c r="M137" s="1"/>
      <c r="N137" s="1"/>
      <c r="O137" s="1"/>
      <c r="P137" s="1"/>
    </row>
    <row r="138" ht="15.75" customHeight="1">
      <c r="C138" s="1"/>
      <c r="D138" s="1"/>
      <c r="E138" s="2"/>
      <c r="F138" s="1"/>
      <c r="H138" s="1"/>
      <c r="I138" s="1"/>
      <c r="J138" s="1"/>
      <c r="K138" s="1"/>
      <c r="M138" s="1"/>
      <c r="N138" s="1"/>
      <c r="O138" s="1"/>
      <c r="P138" s="1"/>
    </row>
    <row r="139" ht="15.75" customHeight="1">
      <c r="C139" s="1"/>
      <c r="D139" s="1"/>
      <c r="E139" s="2"/>
      <c r="F139" s="1"/>
      <c r="H139" s="1"/>
      <c r="I139" s="1"/>
      <c r="J139" s="1"/>
      <c r="K139" s="1"/>
      <c r="M139" s="1"/>
      <c r="N139" s="1"/>
      <c r="O139" s="1"/>
      <c r="P139" s="1"/>
    </row>
    <row r="140" ht="15.75" customHeight="1">
      <c r="C140" s="1"/>
      <c r="D140" s="1"/>
      <c r="E140" s="2"/>
      <c r="F140" s="1"/>
      <c r="H140" s="1"/>
      <c r="I140" s="1"/>
      <c r="J140" s="1"/>
      <c r="K140" s="1"/>
      <c r="M140" s="1"/>
      <c r="N140" s="1"/>
      <c r="O140" s="1"/>
      <c r="P140" s="1"/>
    </row>
    <row r="141" ht="15.75" customHeight="1">
      <c r="C141" s="1"/>
      <c r="D141" s="1"/>
      <c r="E141" s="2"/>
      <c r="F141" s="1"/>
      <c r="H141" s="1"/>
      <c r="I141" s="1"/>
      <c r="J141" s="1"/>
      <c r="K141" s="1"/>
      <c r="M141" s="1"/>
      <c r="N141" s="1"/>
      <c r="O141" s="1"/>
      <c r="P141" s="1"/>
    </row>
    <row r="142" ht="15.75" customHeight="1">
      <c r="C142" s="1"/>
      <c r="D142" s="1"/>
      <c r="E142" s="2"/>
      <c r="F142" s="1"/>
      <c r="H142" s="1"/>
      <c r="I142" s="1"/>
      <c r="J142" s="1"/>
      <c r="K142" s="1"/>
      <c r="M142" s="1"/>
      <c r="N142" s="1"/>
      <c r="O142" s="1"/>
      <c r="P142" s="1"/>
    </row>
    <row r="143" ht="15.75" customHeight="1">
      <c r="C143" s="1"/>
      <c r="D143" s="1"/>
      <c r="E143" s="2"/>
      <c r="F143" s="1"/>
      <c r="H143" s="1"/>
      <c r="I143" s="1"/>
      <c r="J143" s="1"/>
      <c r="K143" s="1"/>
      <c r="M143" s="1"/>
      <c r="N143" s="1"/>
      <c r="O143" s="1"/>
      <c r="P143" s="1"/>
    </row>
    <row r="144" ht="15.75" customHeight="1">
      <c r="C144" s="1"/>
      <c r="D144" s="1"/>
      <c r="E144" s="2"/>
      <c r="F144" s="1"/>
      <c r="H144" s="1"/>
      <c r="I144" s="1"/>
      <c r="J144" s="1"/>
      <c r="K144" s="1"/>
      <c r="M144" s="1"/>
      <c r="N144" s="1"/>
      <c r="O144" s="1"/>
      <c r="P144" s="1"/>
    </row>
    <row r="145" ht="15.75" customHeight="1">
      <c r="C145" s="1"/>
      <c r="D145" s="1"/>
      <c r="E145" s="2"/>
      <c r="F145" s="1"/>
      <c r="H145" s="1"/>
      <c r="I145" s="1"/>
      <c r="J145" s="1"/>
      <c r="K145" s="1"/>
      <c r="M145" s="1"/>
      <c r="N145" s="1"/>
      <c r="O145" s="1"/>
      <c r="P145" s="1"/>
    </row>
    <row r="146" ht="15.75" customHeight="1">
      <c r="C146" s="1"/>
      <c r="D146" s="1"/>
      <c r="E146" s="2"/>
      <c r="F146" s="1"/>
      <c r="H146" s="1"/>
      <c r="I146" s="1"/>
      <c r="J146" s="1"/>
      <c r="K146" s="1"/>
      <c r="M146" s="1"/>
      <c r="N146" s="1"/>
      <c r="O146" s="1"/>
      <c r="P146" s="1"/>
    </row>
    <row r="147" ht="15.75" customHeight="1">
      <c r="C147" s="1"/>
      <c r="D147" s="1"/>
      <c r="E147" s="2"/>
      <c r="F147" s="1"/>
      <c r="H147" s="1"/>
      <c r="I147" s="1"/>
      <c r="J147" s="1"/>
      <c r="K147" s="1"/>
      <c r="M147" s="1"/>
      <c r="N147" s="1"/>
      <c r="O147" s="1"/>
      <c r="P147" s="1"/>
    </row>
    <row r="148" ht="15.75" customHeight="1">
      <c r="C148" s="1"/>
      <c r="D148" s="1"/>
      <c r="E148" s="2"/>
      <c r="F148" s="1"/>
      <c r="H148" s="1"/>
      <c r="I148" s="1"/>
      <c r="J148" s="1"/>
      <c r="K148" s="1"/>
      <c r="M148" s="1"/>
      <c r="N148" s="1"/>
      <c r="O148" s="1"/>
      <c r="P148" s="1"/>
    </row>
    <row r="149" ht="15.75" customHeight="1">
      <c r="C149" s="1"/>
      <c r="D149" s="1"/>
      <c r="E149" s="2"/>
      <c r="F149" s="1"/>
      <c r="H149" s="1"/>
      <c r="I149" s="1"/>
      <c r="J149" s="1"/>
      <c r="K149" s="1"/>
      <c r="M149" s="1"/>
      <c r="N149" s="1"/>
      <c r="O149" s="1"/>
      <c r="P149" s="1"/>
    </row>
    <row r="150" ht="15.75" customHeight="1">
      <c r="C150" s="1"/>
      <c r="D150" s="1"/>
      <c r="E150" s="2"/>
      <c r="F150" s="1"/>
      <c r="H150" s="1"/>
      <c r="I150" s="1"/>
      <c r="J150" s="1"/>
      <c r="K150" s="1"/>
      <c r="M150" s="1"/>
      <c r="N150" s="1"/>
      <c r="O150" s="1"/>
      <c r="P150" s="1"/>
    </row>
    <row r="151" ht="15.75" customHeight="1">
      <c r="C151" s="1"/>
      <c r="D151" s="1"/>
      <c r="E151" s="2"/>
      <c r="F151" s="1"/>
      <c r="H151" s="1"/>
      <c r="I151" s="1"/>
      <c r="J151" s="1"/>
      <c r="K151" s="1"/>
      <c r="M151" s="1"/>
      <c r="N151" s="1"/>
      <c r="O151" s="1"/>
      <c r="P151" s="1"/>
    </row>
    <row r="152" ht="15.75" customHeight="1">
      <c r="C152" s="1"/>
      <c r="D152" s="1"/>
      <c r="E152" s="2"/>
      <c r="F152" s="1"/>
      <c r="H152" s="1"/>
      <c r="I152" s="1"/>
      <c r="J152" s="1"/>
      <c r="K152" s="1"/>
      <c r="M152" s="1"/>
      <c r="N152" s="1"/>
      <c r="O152" s="1"/>
      <c r="P152" s="1"/>
    </row>
    <row r="153" ht="15.75" customHeight="1">
      <c r="C153" s="1"/>
      <c r="D153" s="1"/>
      <c r="E153" s="2"/>
      <c r="F153" s="1"/>
      <c r="H153" s="1"/>
      <c r="I153" s="1"/>
      <c r="J153" s="1"/>
      <c r="K153" s="1"/>
      <c r="M153" s="1"/>
      <c r="N153" s="1"/>
      <c r="O153" s="1"/>
      <c r="P153" s="1"/>
    </row>
    <row r="154" ht="15.75" customHeight="1">
      <c r="C154" s="1"/>
      <c r="D154" s="1"/>
      <c r="E154" s="2"/>
      <c r="F154" s="1"/>
      <c r="H154" s="1"/>
      <c r="I154" s="1"/>
      <c r="J154" s="1"/>
      <c r="K154" s="1"/>
      <c r="M154" s="1"/>
      <c r="N154" s="1"/>
      <c r="O154" s="1"/>
      <c r="P154" s="1"/>
    </row>
    <row r="155" ht="15.75" customHeight="1">
      <c r="C155" s="1"/>
      <c r="D155" s="1"/>
      <c r="E155" s="2"/>
      <c r="F155" s="1"/>
      <c r="H155" s="1"/>
      <c r="I155" s="1"/>
      <c r="J155" s="1"/>
      <c r="K155" s="1"/>
      <c r="M155" s="1"/>
      <c r="N155" s="1"/>
      <c r="O155" s="1"/>
      <c r="P155" s="1"/>
    </row>
    <row r="156" ht="15.75" customHeight="1">
      <c r="C156" s="1"/>
      <c r="D156" s="1"/>
      <c r="E156" s="2"/>
      <c r="F156" s="1"/>
      <c r="H156" s="1"/>
      <c r="I156" s="1"/>
      <c r="J156" s="1"/>
      <c r="K156" s="1"/>
      <c r="M156" s="1"/>
      <c r="N156" s="1"/>
      <c r="O156" s="1"/>
      <c r="P156" s="1"/>
    </row>
    <row r="157" ht="15.75" customHeight="1">
      <c r="C157" s="1"/>
      <c r="D157" s="1"/>
      <c r="E157" s="2"/>
      <c r="F157" s="1"/>
      <c r="H157" s="1"/>
      <c r="I157" s="1"/>
      <c r="J157" s="1"/>
      <c r="K157" s="1"/>
      <c r="M157" s="1"/>
      <c r="N157" s="1"/>
      <c r="O157" s="1"/>
      <c r="P157" s="1"/>
    </row>
    <row r="158" ht="15.75" customHeight="1">
      <c r="C158" s="1"/>
      <c r="D158" s="1"/>
      <c r="E158" s="2"/>
      <c r="F158" s="1"/>
      <c r="H158" s="1"/>
      <c r="I158" s="1"/>
      <c r="J158" s="1"/>
      <c r="K158" s="1"/>
      <c r="M158" s="1"/>
      <c r="N158" s="1"/>
      <c r="O158" s="1"/>
      <c r="P158" s="1"/>
    </row>
    <row r="159" ht="15.75" customHeight="1">
      <c r="C159" s="1"/>
      <c r="D159" s="1"/>
      <c r="E159" s="2"/>
      <c r="F159" s="1"/>
      <c r="H159" s="1"/>
      <c r="I159" s="1"/>
      <c r="J159" s="1"/>
      <c r="K159" s="1"/>
      <c r="M159" s="1"/>
      <c r="N159" s="1"/>
      <c r="O159" s="1"/>
      <c r="P159" s="1"/>
    </row>
    <row r="160" ht="15.75" customHeight="1">
      <c r="C160" s="1"/>
      <c r="D160" s="1"/>
      <c r="E160" s="2"/>
      <c r="F160" s="1"/>
      <c r="H160" s="1"/>
      <c r="I160" s="1"/>
      <c r="J160" s="1"/>
      <c r="K160" s="1"/>
      <c r="M160" s="1"/>
      <c r="N160" s="1"/>
      <c r="O160" s="1"/>
      <c r="P160" s="1"/>
    </row>
    <row r="161" ht="15.75" customHeight="1">
      <c r="C161" s="1"/>
      <c r="D161" s="1"/>
      <c r="E161" s="2"/>
      <c r="F161" s="1"/>
      <c r="H161" s="1"/>
      <c r="I161" s="1"/>
      <c r="J161" s="1"/>
      <c r="K161" s="1"/>
      <c r="M161" s="1"/>
      <c r="N161" s="1"/>
      <c r="O161" s="1"/>
      <c r="P161" s="1"/>
    </row>
    <row r="162" ht="15.75" customHeight="1">
      <c r="C162" s="1"/>
      <c r="D162" s="1"/>
      <c r="E162" s="2"/>
      <c r="F162" s="1"/>
      <c r="H162" s="1"/>
      <c r="I162" s="1"/>
      <c r="J162" s="1"/>
      <c r="K162" s="1"/>
      <c r="M162" s="1"/>
      <c r="N162" s="1"/>
      <c r="O162" s="1"/>
      <c r="P162" s="1"/>
    </row>
    <row r="163" ht="15.75" customHeight="1">
      <c r="C163" s="1"/>
      <c r="D163" s="1"/>
      <c r="E163" s="2"/>
      <c r="F163" s="1"/>
      <c r="H163" s="1"/>
      <c r="I163" s="1"/>
      <c r="J163" s="1"/>
      <c r="K163" s="1"/>
      <c r="M163" s="1"/>
      <c r="N163" s="1"/>
      <c r="O163" s="1"/>
      <c r="P163" s="1"/>
    </row>
    <row r="164" ht="15.75" customHeight="1">
      <c r="C164" s="1"/>
      <c r="D164" s="1"/>
      <c r="E164" s="2"/>
      <c r="F164" s="1"/>
      <c r="H164" s="1"/>
      <c r="I164" s="1"/>
      <c r="J164" s="1"/>
      <c r="K164" s="1"/>
      <c r="M164" s="1"/>
      <c r="N164" s="1"/>
      <c r="O164" s="1"/>
      <c r="P164" s="1"/>
    </row>
    <row r="165" ht="15.75" customHeight="1">
      <c r="C165" s="1"/>
      <c r="D165" s="1"/>
      <c r="E165" s="2"/>
      <c r="F165" s="1"/>
      <c r="H165" s="1"/>
      <c r="I165" s="1"/>
      <c r="J165" s="1"/>
      <c r="K165" s="1"/>
      <c r="M165" s="1"/>
      <c r="N165" s="1"/>
      <c r="O165" s="1"/>
      <c r="P165" s="1"/>
    </row>
    <row r="166" ht="15.75" customHeight="1">
      <c r="C166" s="1"/>
      <c r="D166" s="1"/>
      <c r="E166" s="2"/>
      <c r="F166" s="1"/>
      <c r="H166" s="1"/>
      <c r="I166" s="1"/>
      <c r="J166" s="1"/>
      <c r="K166" s="1"/>
      <c r="M166" s="1"/>
      <c r="N166" s="1"/>
      <c r="O166" s="1"/>
      <c r="P166" s="1"/>
    </row>
    <row r="167" ht="15.75" customHeight="1">
      <c r="C167" s="1"/>
      <c r="D167" s="1"/>
      <c r="E167" s="2"/>
      <c r="F167" s="1"/>
      <c r="H167" s="1"/>
      <c r="I167" s="1"/>
      <c r="J167" s="1"/>
      <c r="K167" s="1"/>
      <c r="M167" s="1"/>
      <c r="N167" s="1"/>
      <c r="O167" s="1"/>
      <c r="P167" s="1"/>
    </row>
    <row r="168" ht="15.75" customHeight="1">
      <c r="C168" s="1"/>
      <c r="D168" s="1"/>
      <c r="E168" s="2"/>
      <c r="F168" s="1"/>
      <c r="H168" s="1"/>
      <c r="I168" s="1"/>
      <c r="J168" s="1"/>
      <c r="K168" s="1"/>
      <c r="M168" s="1"/>
      <c r="N168" s="1"/>
      <c r="O168" s="1"/>
      <c r="P168" s="1"/>
    </row>
    <row r="169" ht="15.75" customHeight="1">
      <c r="C169" s="1"/>
      <c r="D169" s="1"/>
      <c r="E169" s="2"/>
      <c r="F169" s="1"/>
      <c r="H169" s="1"/>
      <c r="I169" s="1"/>
      <c r="J169" s="1"/>
      <c r="K169" s="1"/>
      <c r="M169" s="1"/>
      <c r="N169" s="1"/>
      <c r="O169" s="1"/>
      <c r="P169" s="1"/>
    </row>
    <row r="170" ht="15.75" customHeight="1">
      <c r="C170" s="1"/>
      <c r="D170" s="1"/>
      <c r="E170" s="2"/>
      <c r="F170" s="1"/>
      <c r="H170" s="1"/>
      <c r="I170" s="1"/>
      <c r="J170" s="1"/>
      <c r="K170" s="1"/>
      <c r="M170" s="1"/>
      <c r="N170" s="1"/>
      <c r="O170" s="1"/>
      <c r="P170" s="1"/>
    </row>
    <row r="171" ht="15.75" customHeight="1">
      <c r="C171" s="1"/>
      <c r="D171" s="1"/>
      <c r="E171" s="2"/>
      <c r="F171" s="1"/>
      <c r="H171" s="1"/>
      <c r="I171" s="1"/>
      <c r="J171" s="1"/>
      <c r="K171" s="1"/>
      <c r="M171" s="1"/>
      <c r="N171" s="1"/>
      <c r="O171" s="1"/>
      <c r="P171" s="1"/>
    </row>
    <row r="172" ht="15.75" customHeight="1">
      <c r="C172" s="1"/>
      <c r="D172" s="1"/>
      <c r="E172" s="2"/>
      <c r="F172" s="1"/>
      <c r="H172" s="1"/>
      <c r="I172" s="1"/>
      <c r="J172" s="1"/>
      <c r="K172" s="1"/>
      <c r="M172" s="1"/>
      <c r="N172" s="1"/>
      <c r="O172" s="1"/>
      <c r="P172" s="1"/>
    </row>
    <row r="173" ht="15.75" customHeight="1">
      <c r="C173" s="1"/>
      <c r="D173" s="1"/>
      <c r="E173" s="2"/>
      <c r="F173" s="1"/>
      <c r="H173" s="1"/>
      <c r="I173" s="1"/>
      <c r="J173" s="1"/>
      <c r="K173" s="1"/>
      <c r="M173" s="1"/>
      <c r="N173" s="1"/>
      <c r="O173" s="1"/>
      <c r="P173" s="1"/>
    </row>
    <row r="174" ht="15.75" customHeight="1">
      <c r="C174" s="1"/>
      <c r="D174" s="1"/>
      <c r="E174" s="2"/>
      <c r="F174" s="1"/>
      <c r="H174" s="1"/>
      <c r="I174" s="1"/>
      <c r="J174" s="1"/>
      <c r="K174" s="1"/>
      <c r="M174" s="1"/>
      <c r="N174" s="1"/>
      <c r="O174" s="1"/>
      <c r="P174" s="1"/>
    </row>
    <row r="175" ht="15.75" customHeight="1">
      <c r="C175" s="1"/>
      <c r="D175" s="1"/>
      <c r="E175" s="2"/>
      <c r="F175" s="1"/>
      <c r="H175" s="1"/>
      <c r="I175" s="1"/>
      <c r="J175" s="1"/>
      <c r="K175" s="1"/>
      <c r="M175" s="1"/>
      <c r="N175" s="1"/>
      <c r="O175" s="1"/>
      <c r="P175" s="1"/>
    </row>
    <row r="176" ht="15.75" customHeight="1">
      <c r="C176" s="1"/>
      <c r="D176" s="1"/>
      <c r="E176" s="2"/>
      <c r="F176" s="1"/>
      <c r="H176" s="1"/>
      <c r="I176" s="1"/>
      <c r="J176" s="1"/>
      <c r="K176" s="1"/>
      <c r="M176" s="1"/>
      <c r="N176" s="1"/>
      <c r="O176" s="1"/>
      <c r="P176" s="1"/>
    </row>
    <row r="177" ht="15.75" customHeight="1">
      <c r="C177" s="1"/>
      <c r="D177" s="1"/>
      <c r="E177" s="2"/>
      <c r="F177" s="1"/>
      <c r="H177" s="1"/>
      <c r="I177" s="1"/>
      <c r="J177" s="1"/>
      <c r="K177" s="1"/>
      <c r="M177" s="1"/>
      <c r="N177" s="1"/>
      <c r="O177" s="1"/>
      <c r="P177" s="1"/>
    </row>
    <row r="178" ht="15.75" customHeight="1">
      <c r="C178" s="1"/>
      <c r="D178" s="1"/>
      <c r="E178" s="2"/>
      <c r="F178" s="1"/>
      <c r="H178" s="1"/>
      <c r="I178" s="1"/>
      <c r="J178" s="1"/>
      <c r="K178" s="1"/>
      <c r="M178" s="1"/>
      <c r="N178" s="1"/>
      <c r="O178" s="1"/>
      <c r="P178" s="1"/>
    </row>
    <row r="179" ht="15.75" customHeight="1">
      <c r="C179" s="1"/>
      <c r="D179" s="1"/>
      <c r="E179" s="2"/>
      <c r="F179" s="1"/>
      <c r="H179" s="1"/>
      <c r="I179" s="1"/>
      <c r="J179" s="1"/>
      <c r="K179" s="1"/>
      <c r="M179" s="1"/>
      <c r="N179" s="1"/>
      <c r="O179" s="1"/>
      <c r="P179" s="1"/>
    </row>
    <row r="180" ht="15.75" customHeight="1">
      <c r="C180" s="1"/>
      <c r="D180" s="1"/>
      <c r="E180" s="2"/>
      <c r="F180" s="1"/>
      <c r="H180" s="1"/>
      <c r="I180" s="1"/>
      <c r="J180" s="1"/>
      <c r="K180" s="1"/>
      <c r="M180" s="1"/>
      <c r="N180" s="1"/>
      <c r="O180" s="1"/>
      <c r="P180" s="1"/>
    </row>
    <row r="181" ht="15.75" customHeight="1">
      <c r="C181" s="1"/>
      <c r="D181" s="1"/>
      <c r="E181" s="2"/>
      <c r="F181" s="1"/>
      <c r="H181" s="1"/>
      <c r="I181" s="1"/>
      <c r="J181" s="1"/>
      <c r="K181" s="1"/>
      <c r="M181" s="1"/>
      <c r="N181" s="1"/>
      <c r="O181" s="1"/>
      <c r="P181" s="1"/>
    </row>
    <row r="182" ht="15.75" customHeight="1">
      <c r="C182" s="1"/>
      <c r="D182" s="1"/>
      <c r="E182" s="2"/>
      <c r="F182" s="1"/>
      <c r="H182" s="1"/>
      <c r="I182" s="1"/>
      <c r="J182" s="1"/>
      <c r="K182" s="1"/>
      <c r="M182" s="1"/>
      <c r="N182" s="1"/>
      <c r="O182" s="1"/>
      <c r="P182" s="1"/>
    </row>
    <row r="183" ht="15.75" customHeight="1">
      <c r="C183" s="1"/>
      <c r="D183" s="1"/>
      <c r="E183" s="2"/>
      <c r="F183" s="1"/>
      <c r="H183" s="1"/>
      <c r="I183" s="1"/>
      <c r="J183" s="1"/>
      <c r="K183" s="1"/>
      <c r="M183" s="1"/>
      <c r="N183" s="1"/>
      <c r="O183" s="1"/>
      <c r="P183" s="1"/>
    </row>
    <row r="184" ht="15.75" customHeight="1">
      <c r="C184" s="1"/>
      <c r="D184" s="1"/>
      <c r="E184" s="2"/>
      <c r="F184" s="1"/>
      <c r="H184" s="1"/>
      <c r="I184" s="1"/>
      <c r="J184" s="1"/>
      <c r="K184" s="1"/>
      <c r="M184" s="1"/>
      <c r="N184" s="1"/>
      <c r="O184" s="1"/>
      <c r="P184" s="1"/>
    </row>
    <row r="185" ht="15.75" customHeight="1">
      <c r="C185" s="1"/>
      <c r="D185" s="1"/>
      <c r="E185" s="2"/>
      <c r="F185" s="1"/>
      <c r="H185" s="1"/>
      <c r="I185" s="1"/>
      <c r="J185" s="1"/>
      <c r="K185" s="1"/>
      <c r="M185" s="1"/>
      <c r="N185" s="1"/>
      <c r="O185" s="1"/>
      <c r="P185" s="1"/>
    </row>
    <row r="186" ht="15.75" customHeight="1">
      <c r="C186" s="1"/>
      <c r="D186" s="1"/>
      <c r="E186" s="2"/>
      <c r="F186" s="1"/>
      <c r="H186" s="1"/>
      <c r="I186" s="1"/>
      <c r="J186" s="1"/>
      <c r="K186" s="1"/>
      <c r="M186" s="1"/>
      <c r="N186" s="1"/>
      <c r="O186" s="1"/>
      <c r="P186" s="1"/>
    </row>
    <row r="187" ht="15.75" customHeight="1">
      <c r="C187" s="1"/>
      <c r="D187" s="1"/>
      <c r="E187" s="2"/>
      <c r="F187" s="1"/>
      <c r="H187" s="1"/>
      <c r="I187" s="1"/>
      <c r="J187" s="1"/>
      <c r="K187" s="1"/>
      <c r="M187" s="1"/>
      <c r="N187" s="1"/>
      <c r="O187" s="1"/>
      <c r="P187" s="1"/>
    </row>
    <row r="188" ht="15.75" customHeight="1">
      <c r="C188" s="1"/>
      <c r="D188" s="1"/>
      <c r="E188" s="2"/>
      <c r="F188" s="1"/>
      <c r="H188" s="1"/>
      <c r="I188" s="1"/>
      <c r="J188" s="1"/>
      <c r="K188" s="1"/>
      <c r="M188" s="1"/>
      <c r="N188" s="1"/>
      <c r="O188" s="1"/>
      <c r="P188" s="1"/>
    </row>
    <row r="189" ht="15.75" customHeight="1">
      <c r="C189" s="1"/>
      <c r="D189" s="1"/>
      <c r="E189" s="2"/>
      <c r="F189" s="1"/>
      <c r="H189" s="1"/>
      <c r="I189" s="1"/>
      <c r="J189" s="1"/>
      <c r="K189" s="1"/>
      <c r="M189" s="1"/>
      <c r="N189" s="1"/>
      <c r="O189" s="1"/>
      <c r="P189" s="1"/>
    </row>
    <row r="190" ht="15.75" customHeight="1">
      <c r="C190" s="1"/>
      <c r="D190" s="1"/>
      <c r="E190" s="2"/>
      <c r="F190" s="1"/>
      <c r="H190" s="1"/>
      <c r="I190" s="1"/>
      <c r="J190" s="1"/>
      <c r="K190" s="1"/>
      <c r="M190" s="1"/>
      <c r="N190" s="1"/>
      <c r="O190" s="1"/>
      <c r="P190" s="1"/>
    </row>
    <row r="191" ht="15.75" customHeight="1">
      <c r="C191" s="1"/>
      <c r="D191" s="1"/>
      <c r="E191" s="2"/>
      <c r="F191" s="1"/>
      <c r="H191" s="1"/>
      <c r="I191" s="1"/>
      <c r="J191" s="1"/>
      <c r="K191" s="1"/>
      <c r="M191" s="1"/>
      <c r="N191" s="1"/>
      <c r="O191" s="1"/>
      <c r="P191" s="1"/>
    </row>
    <row r="192" ht="15.75" customHeight="1">
      <c r="C192" s="1"/>
      <c r="D192" s="1"/>
      <c r="E192" s="2"/>
      <c r="F192" s="1"/>
      <c r="H192" s="1"/>
      <c r="I192" s="1"/>
      <c r="J192" s="1"/>
      <c r="K192" s="1"/>
      <c r="M192" s="1"/>
      <c r="N192" s="1"/>
      <c r="O192" s="1"/>
      <c r="P192" s="1"/>
    </row>
    <row r="193" ht="15.75" customHeight="1">
      <c r="C193" s="1"/>
      <c r="D193" s="1"/>
      <c r="E193" s="2"/>
      <c r="F193" s="1"/>
      <c r="H193" s="1"/>
      <c r="I193" s="1"/>
      <c r="J193" s="1"/>
      <c r="K193" s="1"/>
      <c r="M193" s="1"/>
      <c r="N193" s="1"/>
      <c r="O193" s="1"/>
      <c r="P193" s="1"/>
    </row>
    <row r="194" ht="15.75" customHeight="1">
      <c r="C194" s="1"/>
      <c r="D194" s="1"/>
      <c r="E194" s="2"/>
      <c r="F194" s="1"/>
      <c r="H194" s="1"/>
      <c r="I194" s="1"/>
      <c r="J194" s="1"/>
      <c r="K194" s="1"/>
      <c r="M194" s="1"/>
      <c r="N194" s="1"/>
      <c r="O194" s="1"/>
      <c r="P194" s="1"/>
    </row>
    <row r="195" ht="15.75" customHeight="1">
      <c r="C195" s="1"/>
      <c r="D195" s="1"/>
      <c r="E195" s="2"/>
      <c r="F195" s="1"/>
      <c r="H195" s="1"/>
      <c r="I195" s="1"/>
      <c r="J195" s="1"/>
      <c r="K195" s="1"/>
      <c r="M195" s="1"/>
      <c r="N195" s="1"/>
      <c r="O195" s="1"/>
      <c r="P195" s="1"/>
    </row>
    <row r="196" ht="15.75" customHeight="1">
      <c r="C196" s="1"/>
      <c r="D196" s="1"/>
      <c r="E196" s="2"/>
      <c r="F196" s="1"/>
      <c r="H196" s="1"/>
      <c r="I196" s="1"/>
      <c r="J196" s="1"/>
      <c r="K196" s="1"/>
      <c r="M196" s="1"/>
      <c r="N196" s="1"/>
      <c r="O196" s="1"/>
      <c r="P196" s="1"/>
    </row>
    <row r="197" ht="15.75" customHeight="1">
      <c r="C197" s="1"/>
      <c r="D197" s="1"/>
      <c r="E197" s="2"/>
      <c r="F197" s="1"/>
      <c r="H197" s="1"/>
      <c r="I197" s="1"/>
      <c r="J197" s="1"/>
      <c r="K197" s="1"/>
      <c r="M197" s="1"/>
      <c r="N197" s="1"/>
      <c r="O197" s="1"/>
      <c r="P197" s="1"/>
    </row>
    <row r="198" ht="15.75" customHeight="1">
      <c r="C198" s="1"/>
      <c r="D198" s="1"/>
      <c r="E198" s="2"/>
      <c r="F198" s="1"/>
      <c r="H198" s="1"/>
      <c r="I198" s="1"/>
      <c r="J198" s="1"/>
      <c r="K198" s="1"/>
      <c r="M198" s="1"/>
      <c r="N198" s="1"/>
      <c r="O198" s="1"/>
      <c r="P198" s="1"/>
    </row>
    <row r="199" ht="15.75" customHeight="1">
      <c r="C199" s="1"/>
      <c r="D199" s="1"/>
      <c r="E199" s="2"/>
      <c r="F199" s="1"/>
      <c r="H199" s="1"/>
      <c r="I199" s="1"/>
      <c r="J199" s="1"/>
      <c r="K199" s="1"/>
      <c r="M199" s="1"/>
      <c r="N199" s="1"/>
      <c r="O199" s="1"/>
      <c r="P199" s="1"/>
    </row>
    <row r="200" ht="15.75" customHeight="1">
      <c r="C200" s="1"/>
      <c r="D200" s="1"/>
      <c r="E200" s="2"/>
      <c r="F200" s="1"/>
      <c r="H200" s="1"/>
      <c r="I200" s="1"/>
      <c r="J200" s="1"/>
      <c r="K200" s="1"/>
      <c r="M200" s="1"/>
      <c r="N200" s="1"/>
      <c r="O200" s="1"/>
      <c r="P200" s="1"/>
    </row>
    <row r="201" ht="15.75" customHeight="1">
      <c r="C201" s="1"/>
      <c r="D201" s="1"/>
      <c r="E201" s="2"/>
      <c r="F201" s="1"/>
      <c r="H201" s="1"/>
      <c r="I201" s="1"/>
      <c r="J201" s="1"/>
      <c r="K201" s="1"/>
      <c r="M201" s="1"/>
      <c r="N201" s="1"/>
      <c r="O201" s="1"/>
      <c r="P201" s="1"/>
    </row>
    <row r="202" ht="15.75" customHeight="1">
      <c r="C202" s="1"/>
      <c r="D202" s="1"/>
      <c r="E202" s="2"/>
      <c r="F202" s="1"/>
      <c r="H202" s="1"/>
      <c r="I202" s="1"/>
      <c r="J202" s="1"/>
      <c r="K202" s="1"/>
      <c r="M202" s="1"/>
      <c r="N202" s="1"/>
      <c r="O202" s="1"/>
      <c r="P202" s="1"/>
    </row>
    <row r="203" ht="15.75" customHeight="1">
      <c r="C203" s="1"/>
      <c r="D203" s="1"/>
      <c r="E203" s="2"/>
      <c r="F203" s="1"/>
      <c r="H203" s="1"/>
      <c r="I203" s="1"/>
      <c r="J203" s="1"/>
      <c r="K203" s="1"/>
      <c r="M203" s="1"/>
      <c r="N203" s="1"/>
      <c r="O203" s="1"/>
      <c r="P203" s="1"/>
    </row>
    <row r="204" ht="15.75" customHeight="1">
      <c r="C204" s="1"/>
      <c r="D204" s="1"/>
      <c r="E204" s="2"/>
      <c r="F204" s="1"/>
      <c r="H204" s="1"/>
      <c r="I204" s="1"/>
      <c r="J204" s="1"/>
      <c r="K204" s="1"/>
      <c r="M204" s="1"/>
      <c r="N204" s="1"/>
      <c r="O204" s="1"/>
      <c r="P204" s="1"/>
    </row>
    <row r="205" ht="15.75" customHeight="1">
      <c r="C205" s="1"/>
      <c r="D205" s="1"/>
      <c r="E205" s="2"/>
      <c r="F205" s="1"/>
      <c r="H205" s="1"/>
      <c r="I205" s="1"/>
      <c r="J205" s="1"/>
      <c r="K205" s="1"/>
      <c r="M205" s="1"/>
      <c r="N205" s="1"/>
      <c r="O205" s="1"/>
      <c r="P205" s="1"/>
    </row>
    <row r="206" ht="15.75" customHeight="1">
      <c r="C206" s="1"/>
      <c r="D206" s="1"/>
      <c r="E206" s="2"/>
      <c r="F206" s="1"/>
      <c r="H206" s="1"/>
      <c r="I206" s="1"/>
      <c r="J206" s="1"/>
      <c r="K206" s="1"/>
      <c r="M206" s="1"/>
      <c r="N206" s="1"/>
      <c r="O206" s="1"/>
      <c r="P206" s="1"/>
    </row>
    <row r="207" ht="15.75" customHeight="1">
      <c r="C207" s="1"/>
      <c r="D207" s="1"/>
      <c r="E207" s="2"/>
      <c r="F207" s="1"/>
      <c r="H207" s="1"/>
      <c r="I207" s="1"/>
      <c r="J207" s="1"/>
      <c r="K207" s="1"/>
      <c r="M207" s="1"/>
      <c r="N207" s="1"/>
      <c r="O207" s="1"/>
      <c r="P207" s="1"/>
    </row>
    <row r="208" ht="15.75" customHeight="1">
      <c r="C208" s="1"/>
      <c r="D208" s="1"/>
      <c r="E208" s="2"/>
      <c r="F208" s="1"/>
      <c r="H208" s="1"/>
      <c r="I208" s="1"/>
      <c r="J208" s="1"/>
      <c r="K208" s="1"/>
      <c r="M208" s="1"/>
      <c r="N208" s="1"/>
      <c r="O208" s="1"/>
      <c r="P208" s="1"/>
    </row>
    <row r="209" ht="15.75" customHeight="1">
      <c r="C209" s="1"/>
      <c r="D209" s="1"/>
      <c r="E209" s="2"/>
      <c r="F209" s="1"/>
      <c r="H209" s="1"/>
      <c r="I209" s="1"/>
      <c r="J209" s="1"/>
      <c r="K209" s="1"/>
      <c r="M209" s="1"/>
      <c r="N209" s="1"/>
      <c r="O209" s="1"/>
      <c r="P209" s="1"/>
    </row>
    <row r="210" ht="15.75" customHeight="1">
      <c r="C210" s="1"/>
      <c r="D210" s="1"/>
      <c r="E210" s="2"/>
      <c r="F210" s="1"/>
      <c r="H210" s="1"/>
      <c r="I210" s="1"/>
      <c r="J210" s="1"/>
      <c r="K210" s="1"/>
      <c r="M210" s="1"/>
      <c r="N210" s="1"/>
      <c r="O210" s="1"/>
      <c r="P210" s="1"/>
    </row>
    <row r="211" ht="15.75" customHeight="1">
      <c r="C211" s="1"/>
      <c r="D211" s="1"/>
      <c r="E211" s="2"/>
      <c r="F211" s="1"/>
      <c r="H211" s="1"/>
      <c r="I211" s="1"/>
      <c r="J211" s="1"/>
      <c r="K211" s="1"/>
      <c r="M211" s="1"/>
      <c r="N211" s="1"/>
      <c r="O211" s="1"/>
      <c r="P211" s="1"/>
    </row>
    <row r="212" ht="15.75" customHeight="1">
      <c r="C212" s="1"/>
      <c r="D212" s="1"/>
      <c r="E212" s="2"/>
      <c r="F212" s="1"/>
      <c r="H212" s="1"/>
      <c r="I212" s="1"/>
      <c r="J212" s="1"/>
      <c r="K212" s="1"/>
      <c r="M212" s="1"/>
      <c r="N212" s="1"/>
      <c r="O212" s="1"/>
      <c r="P212" s="1"/>
    </row>
    <row r="213" ht="15.75" customHeight="1">
      <c r="C213" s="1"/>
      <c r="D213" s="1"/>
      <c r="E213" s="2"/>
      <c r="F213" s="1"/>
      <c r="H213" s="1"/>
      <c r="I213" s="1"/>
      <c r="J213" s="1"/>
      <c r="K213" s="1"/>
      <c r="M213" s="1"/>
      <c r="N213" s="1"/>
      <c r="O213" s="1"/>
      <c r="P213" s="1"/>
    </row>
    <row r="214" ht="15.75" customHeight="1">
      <c r="C214" s="1"/>
      <c r="D214" s="1"/>
      <c r="E214" s="2"/>
      <c r="F214" s="1"/>
      <c r="H214" s="1"/>
      <c r="I214" s="1"/>
      <c r="J214" s="1"/>
      <c r="K214" s="1"/>
      <c r="M214" s="1"/>
      <c r="N214" s="1"/>
      <c r="O214" s="1"/>
      <c r="P214" s="1"/>
    </row>
    <row r="215" ht="15.75" customHeight="1">
      <c r="C215" s="1"/>
      <c r="D215" s="1"/>
      <c r="E215" s="2"/>
      <c r="F215" s="1"/>
      <c r="H215" s="1"/>
      <c r="I215" s="1"/>
      <c r="J215" s="1"/>
      <c r="K215" s="1"/>
      <c r="M215" s="1"/>
      <c r="N215" s="1"/>
      <c r="O215" s="1"/>
      <c r="P215" s="1"/>
    </row>
    <row r="216" ht="15.75" customHeight="1">
      <c r="C216" s="1"/>
      <c r="D216" s="1"/>
      <c r="E216" s="2"/>
      <c r="F216" s="1"/>
      <c r="H216" s="1"/>
      <c r="I216" s="1"/>
      <c r="J216" s="1"/>
      <c r="K216" s="1"/>
      <c r="M216" s="1"/>
      <c r="N216" s="1"/>
      <c r="O216" s="1"/>
      <c r="P216" s="1"/>
    </row>
    <row r="217" ht="15.75" customHeight="1">
      <c r="C217" s="1"/>
      <c r="D217" s="1"/>
      <c r="E217" s="2"/>
      <c r="F217" s="1"/>
      <c r="H217" s="1"/>
      <c r="I217" s="1"/>
      <c r="J217" s="1"/>
      <c r="K217" s="1"/>
      <c r="M217" s="1"/>
      <c r="N217" s="1"/>
      <c r="O217" s="1"/>
      <c r="P217" s="1"/>
    </row>
    <row r="218" ht="15.75" customHeight="1">
      <c r="C218" s="1"/>
      <c r="D218" s="1"/>
      <c r="E218" s="2"/>
      <c r="F218" s="1"/>
      <c r="H218" s="1"/>
      <c r="I218" s="1"/>
      <c r="J218" s="1"/>
      <c r="K218" s="1"/>
      <c r="M218" s="1"/>
      <c r="N218" s="1"/>
      <c r="O218" s="1"/>
      <c r="P218" s="1"/>
    </row>
    <row r="219" ht="15.75" customHeight="1">
      <c r="C219" s="1"/>
      <c r="D219" s="1"/>
      <c r="E219" s="2"/>
      <c r="F219" s="1"/>
      <c r="H219" s="1"/>
      <c r="I219" s="1"/>
      <c r="J219" s="1"/>
      <c r="K219" s="1"/>
      <c r="M219" s="1"/>
      <c r="N219" s="1"/>
      <c r="O219" s="1"/>
      <c r="P219" s="1"/>
    </row>
    <row r="220" ht="15.75" customHeight="1">
      <c r="C220" s="1"/>
      <c r="D220" s="1"/>
      <c r="E220" s="2"/>
      <c r="F220" s="1"/>
      <c r="H220" s="1"/>
      <c r="I220" s="1"/>
      <c r="J220" s="1"/>
      <c r="K220" s="1"/>
      <c r="M220" s="1"/>
      <c r="N220" s="1"/>
      <c r="O220" s="1"/>
      <c r="P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2:J2"/>
    <mergeCell ref="I3:J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43"/>
    <col customWidth="1" min="2" max="2" width="1.86"/>
    <col customWidth="1" min="3" max="3" width="1.71"/>
    <col customWidth="1" min="4" max="4" width="1.57"/>
    <col customWidth="1" min="5" max="5" width="2.0"/>
    <col customWidth="1" min="6" max="6" width="3.43"/>
    <col customWidth="1" min="7" max="7" width="3.14"/>
    <col customWidth="1" hidden="1" min="8" max="8" width="3.14"/>
    <col customWidth="1" min="9" max="9" width="3.14"/>
    <col customWidth="1" hidden="1" min="10" max="10" width="3.14"/>
    <col customWidth="1" min="11" max="11" width="26.86"/>
    <col customWidth="1" min="12" max="12" width="2.29"/>
    <col customWidth="1" min="13" max="13" width="3.43"/>
    <col customWidth="1" min="14" max="14" width="3.14"/>
    <col customWidth="1" hidden="1" min="15" max="15" width="3.14"/>
    <col customWidth="1" min="16" max="16" width="3.14"/>
    <col customWidth="1" hidden="1" min="17" max="17" width="3.14"/>
    <col customWidth="1" min="18" max="18" width="27.86"/>
    <col customWidth="1" min="19" max="19" width="2.29"/>
    <col customWidth="1" min="20" max="20" width="3.43"/>
    <col customWidth="1" min="21" max="21" width="3.14"/>
    <col customWidth="1" hidden="1" min="22" max="22" width="3.14"/>
    <col customWidth="1" min="23" max="23" width="3.14"/>
    <col customWidth="1" hidden="1" min="24" max="24" width="3.14"/>
    <col customWidth="1" min="25" max="25" width="26.0"/>
    <col customWidth="1" min="26" max="26" width="7.86"/>
    <col customWidth="1" hidden="1" min="27" max="27" width="7.86"/>
    <col customWidth="1" min="28" max="37" width="7.86"/>
  </cols>
  <sheetData>
    <row r="1" ht="34.5" customHeight="1">
      <c r="A1" s="44"/>
      <c r="B1" s="44"/>
      <c r="C1" s="44"/>
      <c r="D1" s="44"/>
      <c r="E1" s="44"/>
      <c r="F1" s="44" t="s">
        <v>13</v>
      </c>
      <c r="Z1" s="45"/>
      <c r="AA1" s="45"/>
      <c r="AB1" s="45"/>
      <c r="AC1" s="45"/>
      <c r="AD1" s="45"/>
      <c r="AE1" s="45"/>
      <c r="AF1" s="45"/>
      <c r="AG1" s="45"/>
      <c r="AH1" s="45"/>
      <c r="AI1" s="45"/>
      <c r="AJ1" s="45"/>
      <c r="AK1" s="45"/>
    </row>
    <row r="2" ht="15.0" customHeight="1">
      <c r="A2" s="46"/>
      <c r="B2" s="46"/>
      <c r="C2" s="46"/>
      <c r="D2" s="46"/>
      <c r="E2" s="46"/>
      <c r="F2" s="46" t="s">
        <v>14</v>
      </c>
      <c r="J2" s="46"/>
      <c r="K2" s="47" t="s">
        <v>15</v>
      </c>
      <c r="L2" s="45"/>
      <c r="M2" s="48" t="s">
        <v>16</v>
      </c>
      <c r="N2" s="49"/>
      <c r="O2" s="49"/>
      <c r="P2" s="49"/>
      <c r="Q2" s="49"/>
      <c r="R2" s="49"/>
      <c r="S2" s="49"/>
      <c r="T2" s="49"/>
      <c r="U2" s="49"/>
      <c r="V2" s="49"/>
      <c r="W2" s="49"/>
      <c r="X2" s="49"/>
      <c r="Y2" s="50"/>
      <c r="Z2" s="45"/>
      <c r="AA2" s="45"/>
      <c r="AB2" s="45"/>
      <c r="AC2" s="45"/>
      <c r="AD2" s="45"/>
      <c r="AE2" s="45"/>
      <c r="AF2" s="45"/>
      <c r="AG2" s="45"/>
      <c r="AH2" s="45"/>
      <c r="AI2" s="45"/>
      <c r="AJ2" s="45"/>
      <c r="AK2" s="45"/>
    </row>
    <row r="3" ht="12.0" customHeight="1">
      <c r="A3" s="46"/>
      <c r="B3" s="46"/>
      <c r="C3" s="46"/>
      <c r="D3" s="46"/>
      <c r="E3" s="46"/>
      <c r="F3" s="46" t="s">
        <v>17</v>
      </c>
      <c r="J3" s="46"/>
      <c r="K3" s="51" t="s">
        <v>18</v>
      </c>
      <c r="L3" s="45"/>
      <c r="M3" s="52"/>
      <c r="Y3" s="53"/>
      <c r="Z3" s="45"/>
      <c r="AA3" s="45"/>
      <c r="AB3" s="45"/>
      <c r="AC3" s="45"/>
      <c r="AD3" s="45"/>
      <c r="AE3" s="45"/>
      <c r="AF3" s="45"/>
      <c r="AG3" s="45"/>
      <c r="AH3" s="45"/>
      <c r="AI3" s="45"/>
      <c r="AJ3" s="45"/>
      <c r="AK3" s="45"/>
    </row>
    <row r="4" ht="14.25" customHeight="1">
      <c r="A4" s="46"/>
      <c r="B4" s="46"/>
      <c r="C4" s="46"/>
      <c r="D4" s="46"/>
      <c r="E4" s="46"/>
      <c r="F4" s="46" t="s">
        <v>19</v>
      </c>
      <c r="J4" s="46"/>
      <c r="K4" s="47" t="s">
        <v>20</v>
      </c>
      <c r="L4" s="45"/>
      <c r="M4" s="52"/>
      <c r="Y4" s="53"/>
      <c r="Z4" s="45"/>
      <c r="AA4" s="45"/>
      <c r="AB4" s="45"/>
      <c r="AC4" s="45"/>
      <c r="AD4" s="45"/>
      <c r="AE4" s="45"/>
      <c r="AF4" s="45"/>
      <c r="AG4" s="45"/>
      <c r="AH4" s="45"/>
      <c r="AI4" s="45"/>
      <c r="AJ4" s="45"/>
      <c r="AK4" s="45"/>
    </row>
    <row r="5" ht="18.0" customHeight="1">
      <c r="A5" s="46"/>
      <c r="B5" s="46"/>
      <c r="C5" s="46"/>
      <c r="D5" s="46"/>
      <c r="E5" s="46"/>
      <c r="F5" s="46" t="s">
        <v>21</v>
      </c>
      <c r="J5" s="46"/>
      <c r="K5" s="54"/>
      <c r="L5" s="45"/>
      <c r="M5" s="55"/>
      <c r="N5" s="56"/>
      <c r="O5" s="56"/>
      <c r="P5" s="56"/>
      <c r="Q5" s="56"/>
      <c r="R5" s="56"/>
      <c r="S5" s="56"/>
      <c r="T5" s="56"/>
      <c r="U5" s="56"/>
      <c r="V5" s="56"/>
      <c r="W5" s="56"/>
      <c r="X5" s="56"/>
      <c r="Y5" s="57"/>
      <c r="Z5" s="45"/>
      <c r="AA5" s="45"/>
      <c r="AB5" s="45"/>
      <c r="AC5" s="45"/>
      <c r="AD5" s="45"/>
      <c r="AE5" s="45"/>
      <c r="AF5" s="45"/>
      <c r="AG5" s="45"/>
      <c r="AH5" s="45"/>
      <c r="AI5" s="45"/>
      <c r="AJ5" s="45"/>
      <c r="AK5" s="45"/>
    </row>
    <row r="6" ht="12.75" customHeight="1">
      <c r="A6" s="58"/>
      <c r="B6" s="58"/>
      <c r="C6" s="58"/>
      <c r="D6" s="58"/>
      <c r="E6" s="58"/>
      <c r="F6" s="58"/>
      <c r="G6" s="59"/>
      <c r="H6" s="59"/>
      <c r="I6" s="59"/>
      <c r="J6" s="59"/>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row>
    <row r="7" ht="12.75" customHeight="1">
      <c r="A7" s="58"/>
      <c r="B7" s="58"/>
      <c r="C7" s="58"/>
      <c r="D7" s="58"/>
      <c r="E7" s="58"/>
      <c r="F7" s="60" t="s">
        <v>22</v>
      </c>
      <c r="G7" s="61" t="s">
        <v>5</v>
      </c>
      <c r="H7" s="62"/>
      <c r="I7" s="63" t="s">
        <v>6</v>
      </c>
      <c r="J7" s="64"/>
      <c r="K7" s="65" t="s">
        <v>23</v>
      </c>
      <c r="L7" s="58"/>
      <c r="M7" s="60" t="s">
        <v>22</v>
      </c>
      <c r="N7" s="61" t="s">
        <v>5</v>
      </c>
      <c r="O7" s="62"/>
      <c r="P7" s="63" t="s">
        <v>6</v>
      </c>
      <c r="Q7" s="66"/>
      <c r="R7" s="65" t="s">
        <v>23</v>
      </c>
      <c r="S7" s="58"/>
      <c r="T7" s="60" t="s">
        <v>22</v>
      </c>
      <c r="U7" s="61" t="s">
        <v>5</v>
      </c>
      <c r="V7" s="62"/>
      <c r="W7" s="63" t="s">
        <v>6</v>
      </c>
      <c r="X7" s="66"/>
      <c r="Y7" s="65" t="s">
        <v>23</v>
      </c>
      <c r="Z7" s="58"/>
      <c r="AA7" s="67"/>
      <c r="AB7" s="58"/>
      <c r="AC7" s="58"/>
      <c r="AD7" s="58"/>
      <c r="AE7" s="58"/>
      <c r="AF7" s="58"/>
      <c r="AG7" s="58"/>
      <c r="AH7" s="58"/>
      <c r="AI7" s="58"/>
      <c r="AJ7" s="58"/>
      <c r="AK7" s="58"/>
    </row>
    <row r="8" ht="12.0" customHeight="1">
      <c r="A8" s="68"/>
      <c r="B8" s="68"/>
      <c r="C8" s="68"/>
      <c r="D8" s="68"/>
      <c r="E8" s="68"/>
      <c r="F8" s="69">
        <v>1.0</v>
      </c>
      <c r="G8" s="70"/>
      <c r="H8" s="71">
        <f>IF(G8="",0,1)</f>
        <v>0</v>
      </c>
      <c r="I8" s="72"/>
      <c r="J8" s="71">
        <f>IF(I8="",0,1)</f>
        <v>0</v>
      </c>
      <c r="K8" s="73" t="s">
        <v>24</v>
      </c>
      <c r="L8" s="45"/>
      <c r="M8" s="69">
        <v>9.0</v>
      </c>
      <c r="N8" s="70"/>
      <c r="O8" s="71">
        <f>IF(N8="",0,1)</f>
        <v>0</v>
      </c>
      <c r="P8" s="74" t="s">
        <v>25</v>
      </c>
      <c r="Q8" s="71">
        <f>IF(P8="",0,1)</f>
        <v>1</v>
      </c>
      <c r="R8" s="75" t="s">
        <v>26</v>
      </c>
      <c r="S8" s="45"/>
      <c r="T8" s="69">
        <v>17.0</v>
      </c>
      <c r="U8" s="70"/>
      <c r="V8" s="71">
        <f>IF(U8="",0,1)</f>
        <v>0</v>
      </c>
      <c r="W8" s="74"/>
      <c r="X8" s="71">
        <f>IF(W8="",0,1)</f>
        <v>0</v>
      </c>
      <c r="Y8" s="75" t="s">
        <v>27</v>
      </c>
      <c r="Z8" s="45"/>
      <c r="AA8" s="76"/>
      <c r="AB8" s="45"/>
      <c r="AC8" s="45"/>
      <c r="AD8" s="45"/>
      <c r="AE8" s="45"/>
      <c r="AF8" s="45"/>
      <c r="AG8" s="45"/>
      <c r="AH8" s="45"/>
      <c r="AI8" s="45"/>
      <c r="AJ8" s="45"/>
      <c r="AK8" s="45"/>
    </row>
    <row r="9" ht="12.0" customHeight="1">
      <c r="A9" s="68"/>
      <c r="B9" s="68"/>
      <c r="C9" s="68"/>
      <c r="D9" s="68"/>
      <c r="E9" s="68"/>
      <c r="F9" s="77"/>
      <c r="G9" s="78" t="s">
        <v>25</v>
      </c>
      <c r="H9" s="79">
        <f>IF(G9="",0,2)</f>
        <v>2</v>
      </c>
      <c r="I9" s="72"/>
      <c r="J9" s="79">
        <f>IF(I9="",0,2)</f>
        <v>0</v>
      </c>
      <c r="K9" s="80" t="s">
        <v>28</v>
      </c>
      <c r="L9" s="45"/>
      <c r="M9" s="77"/>
      <c r="N9" s="78"/>
      <c r="O9" s="79">
        <f>IF(N9="",0,2)</f>
        <v>0</v>
      </c>
      <c r="P9" s="72"/>
      <c r="Q9" s="79">
        <f>IF(P9="",0,2)</f>
        <v>0</v>
      </c>
      <c r="R9" s="75" t="s">
        <v>29</v>
      </c>
      <c r="S9" s="45"/>
      <c r="T9" s="77"/>
      <c r="U9" s="78"/>
      <c r="V9" s="79">
        <f>IF(U9="",0,2)</f>
        <v>0</v>
      </c>
      <c r="W9" s="72"/>
      <c r="X9" s="79">
        <f>IF(W9="",0,2)</f>
        <v>0</v>
      </c>
      <c r="Y9" s="75" t="s">
        <v>30</v>
      </c>
      <c r="Z9" s="45"/>
      <c r="AA9" s="76"/>
      <c r="AB9" s="45"/>
      <c r="AC9" s="45"/>
      <c r="AD9" s="45"/>
      <c r="AE9" s="45"/>
      <c r="AF9" s="45"/>
      <c r="AG9" s="45"/>
      <c r="AH9" s="45"/>
      <c r="AI9" s="45"/>
      <c r="AJ9" s="45"/>
      <c r="AK9" s="45"/>
    </row>
    <row r="10" ht="12.0" customHeight="1">
      <c r="A10" s="68"/>
      <c r="B10" s="68"/>
      <c r="C10" s="68"/>
      <c r="D10" s="68"/>
      <c r="E10" s="68"/>
      <c r="F10" s="77"/>
      <c r="G10" s="78"/>
      <c r="H10" s="79">
        <f>IF(G10="",0,3)</f>
        <v>0</v>
      </c>
      <c r="I10" s="81" t="s">
        <v>25</v>
      </c>
      <c r="J10" s="79">
        <f>IF(I10="",0,3)</f>
        <v>3</v>
      </c>
      <c r="K10" s="80" t="s">
        <v>31</v>
      </c>
      <c r="L10" s="45"/>
      <c r="M10" s="77"/>
      <c r="N10" s="78" t="s">
        <v>25</v>
      </c>
      <c r="O10" s="79">
        <f>IF(N10="",0,3)</f>
        <v>3</v>
      </c>
      <c r="P10" s="72"/>
      <c r="Q10" s="79">
        <f>IF(P10="",0,3)</f>
        <v>0</v>
      </c>
      <c r="R10" s="75" t="s">
        <v>32</v>
      </c>
      <c r="S10" s="45"/>
      <c r="T10" s="77"/>
      <c r="U10" s="78"/>
      <c r="V10" s="79">
        <f>IF(U10="",0,3)</f>
        <v>0</v>
      </c>
      <c r="W10" s="72" t="s">
        <v>33</v>
      </c>
      <c r="X10" s="79">
        <f>IF(W10="",0,3)</f>
        <v>3</v>
      </c>
      <c r="Y10" s="75" t="s">
        <v>34</v>
      </c>
      <c r="Z10" s="45"/>
      <c r="AA10" s="76"/>
      <c r="AB10" s="45"/>
      <c r="AC10" s="45"/>
      <c r="AD10" s="45"/>
      <c r="AE10" s="45"/>
      <c r="AF10" s="45"/>
      <c r="AG10" s="45"/>
      <c r="AH10" s="45"/>
      <c r="AI10" s="45"/>
      <c r="AJ10" s="45"/>
      <c r="AK10" s="45"/>
    </row>
    <row r="11" ht="12.75" customHeight="1">
      <c r="A11" s="68"/>
      <c r="B11" s="68"/>
      <c r="C11" s="68"/>
      <c r="D11" s="68"/>
      <c r="E11" s="68"/>
      <c r="F11" s="82"/>
      <c r="G11" s="83"/>
      <c r="H11" s="84">
        <f>IF(G11="",0,4)</f>
        <v>0</v>
      </c>
      <c r="I11" s="85"/>
      <c r="J11" s="84">
        <f>IF(I11="",0,4)</f>
        <v>0</v>
      </c>
      <c r="K11" s="86" t="s">
        <v>35</v>
      </c>
      <c r="L11" s="45"/>
      <c r="M11" s="82"/>
      <c r="N11" s="83"/>
      <c r="O11" s="84">
        <f>IF(N11="",0,4)</f>
        <v>0</v>
      </c>
      <c r="P11" s="85"/>
      <c r="Q11" s="84">
        <f>IF(P11="",0,4)</f>
        <v>0</v>
      </c>
      <c r="R11" s="87" t="s">
        <v>36</v>
      </c>
      <c r="S11" s="45"/>
      <c r="T11" s="82"/>
      <c r="U11" s="83" t="s">
        <v>33</v>
      </c>
      <c r="V11" s="84">
        <f>IF(U11="",0,4)</f>
        <v>4</v>
      </c>
      <c r="W11" s="85"/>
      <c r="X11" s="84">
        <f>IF(W11="",0,4)</f>
        <v>0</v>
      </c>
      <c r="Y11" s="87" t="s">
        <v>37</v>
      </c>
      <c r="Z11" s="45"/>
      <c r="AA11" s="76"/>
      <c r="AB11" s="45"/>
      <c r="AC11" s="45"/>
      <c r="AD11" s="45"/>
      <c r="AE11" s="45"/>
      <c r="AF11" s="45"/>
      <c r="AG11" s="45"/>
      <c r="AH11" s="45"/>
      <c r="AI11" s="45"/>
      <c r="AJ11" s="45"/>
      <c r="AK11" s="45"/>
    </row>
    <row r="12" ht="6.0" customHeight="1">
      <c r="A12" s="67"/>
      <c r="B12" s="67"/>
      <c r="C12" s="67"/>
      <c r="D12" s="67"/>
      <c r="E12" s="67"/>
      <c r="F12" s="67"/>
      <c r="G12" s="88">
        <f>(COUNTIF(G8:G11,"x"))</f>
        <v>1</v>
      </c>
      <c r="H12" s="88">
        <f>SUM(H8:H11)</f>
        <v>2</v>
      </c>
      <c r="I12" s="88">
        <f>(COUNTIF(I8:I11,"x"))</f>
        <v>1</v>
      </c>
      <c r="J12" s="88">
        <f>SUM(J8:J11)</f>
        <v>3</v>
      </c>
      <c r="K12" s="89"/>
      <c r="L12" s="76"/>
      <c r="M12" s="67"/>
      <c r="N12" s="88">
        <f>(COUNTIF(N8:N11,"x"))</f>
        <v>1</v>
      </c>
      <c r="O12" s="88">
        <f>SUM(O8:O11)</f>
        <v>3</v>
      </c>
      <c r="P12" s="88">
        <f>(COUNTIF(P8:P11,"x"))</f>
        <v>1</v>
      </c>
      <c r="Q12" s="88">
        <f>SUM(Q8:Q11)</f>
        <v>1</v>
      </c>
      <c r="R12" s="76"/>
      <c r="S12" s="76"/>
      <c r="T12" s="67"/>
      <c r="U12" s="88">
        <f>(COUNTIF(U8:U11,"x"))</f>
        <v>1</v>
      </c>
      <c r="V12" s="88">
        <f>SUM(V8:V11)</f>
        <v>4</v>
      </c>
      <c r="W12" s="88">
        <f>(COUNTIF(W8:W11,"x"))</f>
        <v>1</v>
      </c>
      <c r="X12" s="88">
        <f>SUM(X8:X11)</f>
        <v>3</v>
      </c>
      <c r="Y12" s="76"/>
      <c r="Z12" s="76"/>
      <c r="AA12" s="76">
        <f>SUM(G12,I12,N12,P12,U12,W12)</f>
        <v>6</v>
      </c>
      <c r="AB12" s="76"/>
      <c r="AC12" s="76"/>
      <c r="AD12" s="76"/>
      <c r="AE12" s="76"/>
      <c r="AF12" s="76"/>
      <c r="AG12" s="76"/>
      <c r="AH12" s="76"/>
      <c r="AI12" s="76"/>
      <c r="AJ12" s="76"/>
      <c r="AK12" s="76"/>
    </row>
    <row r="13" ht="12.75" customHeight="1">
      <c r="A13" s="58"/>
      <c r="B13" s="58"/>
      <c r="C13" s="58"/>
      <c r="D13" s="58"/>
      <c r="E13" s="58"/>
      <c r="F13" s="60" t="s">
        <v>22</v>
      </c>
      <c r="G13" s="61" t="s">
        <v>5</v>
      </c>
      <c r="H13" s="62"/>
      <c r="I13" s="63" t="s">
        <v>6</v>
      </c>
      <c r="J13" s="62"/>
      <c r="K13" s="65" t="s">
        <v>23</v>
      </c>
      <c r="L13" s="58"/>
      <c r="M13" s="60" t="s">
        <v>22</v>
      </c>
      <c r="N13" s="61" t="s">
        <v>5</v>
      </c>
      <c r="O13" s="62"/>
      <c r="P13" s="63" t="s">
        <v>6</v>
      </c>
      <c r="Q13" s="62"/>
      <c r="R13" s="65" t="s">
        <v>23</v>
      </c>
      <c r="S13" s="58"/>
      <c r="T13" s="60" t="s">
        <v>22</v>
      </c>
      <c r="U13" s="61" t="s">
        <v>5</v>
      </c>
      <c r="V13" s="62"/>
      <c r="W13" s="63" t="s">
        <v>6</v>
      </c>
      <c r="X13" s="62"/>
      <c r="Y13" s="65" t="s">
        <v>23</v>
      </c>
      <c r="Z13" s="58"/>
      <c r="AA13" s="67"/>
      <c r="AB13" s="58"/>
      <c r="AC13" s="58"/>
      <c r="AD13" s="58"/>
      <c r="AE13" s="58"/>
      <c r="AF13" s="58"/>
      <c r="AG13" s="58"/>
      <c r="AH13" s="58"/>
      <c r="AI13" s="58"/>
      <c r="AJ13" s="58"/>
      <c r="AK13" s="58"/>
    </row>
    <row r="14" ht="12.0" customHeight="1">
      <c r="A14" s="68"/>
      <c r="B14" s="68"/>
      <c r="C14" s="68"/>
      <c r="D14" s="68"/>
      <c r="E14" s="68"/>
      <c r="F14" s="69">
        <v>2.0</v>
      </c>
      <c r="G14" s="70"/>
      <c r="H14" s="71">
        <f>IF(G14="",0,1)</f>
        <v>0</v>
      </c>
      <c r="I14" s="74" t="s">
        <v>25</v>
      </c>
      <c r="J14" s="71">
        <f>IF(I14="",0,1)</f>
        <v>1</v>
      </c>
      <c r="K14" s="73" t="s">
        <v>38</v>
      </c>
      <c r="L14" s="45"/>
      <c r="M14" s="69">
        <f>M8+1</f>
        <v>10</v>
      </c>
      <c r="N14" s="70"/>
      <c r="O14" s="71">
        <f>IF(N14="",0,1)</f>
        <v>0</v>
      </c>
      <c r="P14" s="74"/>
      <c r="Q14" s="71">
        <f>IF(P14="",0,1)</f>
        <v>0</v>
      </c>
      <c r="R14" s="75" t="s">
        <v>39</v>
      </c>
      <c r="S14" s="45"/>
      <c r="T14" s="69">
        <f>T8+1</f>
        <v>18</v>
      </c>
      <c r="U14" s="70" t="s">
        <v>33</v>
      </c>
      <c r="V14" s="71">
        <f>IF(U14="",0,1)</f>
        <v>1</v>
      </c>
      <c r="W14" s="74"/>
      <c r="X14" s="71">
        <f>IF(W14="",0,1)</f>
        <v>0</v>
      </c>
      <c r="Y14" s="75" t="s">
        <v>40</v>
      </c>
      <c r="Z14" s="45"/>
      <c r="AA14" s="76"/>
      <c r="AB14" s="45"/>
      <c r="AC14" s="45"/>
      <c r="AD14" s="45"/>
      <c r="AE14" s="45"/>
      <c r="AF14" s="45"/>
      <c r="AG14" s="45"/>
      <c r="AH14" s="45"/>
      <c r="AI14" s="45"/>
      <c r="AJ14" s="45"/>
      <c r="AK14" s="45"/>
    </row>
    <row r="15" ht="12.0" customHeight="1">
      <c r="A15" s="68"/>
      <c r="B15" s="68"/>
      <c r="C15" s="68"/>
      <c r="D15" s="68"/>
      <c r="E15" s="68"/>
      <c r="F15" s="77"/>
      <c r="G15" s="78"/>
      <c r="H15" s="79">
        <f>IF(G15="",0,2)</f>
        <v>0</v>
      </c>
      <c r="I15" s="72"/>
      <c r="J15" s="79">
        <f>IF(I15="",0,2)</f>
        <v>0</v>
      </c>
      <c r="K15" s="80" t="s">
        <v>41</v>
      </c>
      <c r="L15" s="45"/>
      <c r="M15" s="77"/>
      <c r="N15" s="78"/>
      <c r="O15" s="79">
        <f>IF(N15="",0,2)</f>
        <v>0</v>
      </c>
      <c r="P15" s="72"/>
      <c r="Q15" s="79">
        <f>IF(P15="",0,2)</f>
        <v>0</v>
      </c>
      <c r="R15" s="75" t="s">
        <v>42</v>
      </c>
      <c r="S15" s="45"/>
      <c r="T15" s="77"/>
      <c r="U15" s="78"/>
      <c r="V15" s="79">
        <f>IF(U15="",0,2)</f>
        <v>0</v>
      </c>
      <c r="W15" s="72"/>
      <c r="X15" s="79">
        <f>IF(W15="",0,2)</f>
        <v>0</v>
      </c>
      <c r="Y15" s="75" t="s">
        <v>43</v>
      </c>
      <c r="Z15" s="45"/>
      <c r="AA15" s="76"/>
      <c r="AB15" s="45"/>
      <c r="AC15" s="45"/>
      <c r="AD15" s="45"/>
      <c r="AE15" s="45"/>
      <c r="AF15" s="45"/>
      <c r="AG15" s="45"/>
      <c r="AH15" s="45"/>
      <c r="AI15" s="45"/>
      <c r="AJ15" s="45"/>
      <c r="AK15" s="45"/>
    </row>
    <row r="16" ht="12.0" customHeight="1">
      <c r="A16" s="68"/>
      <c r="B16" s="68"/>
      <c r="C16" s="68"/>
      <c r="D16" s="68"/>
      <c r="E16" s="68"/>
      <c r="F16" s="77"/>
      <c r="G16" s="78" t="s">
        <v>25</v>
      </c>
      <c r="H16" s="79">
        <f>IF(G16="",0,3)</f>
        <v>3</v>
      </c>
      <c r="I16" s="72"/>
      <c r="J16" s="79">
        <f>IF(I16="",0,3)</f>
        <v>0</v>
      </c>
      <c r="K16" s="80" t="s">
        <v>44</v>
      </c>
      <c r="L16" s="45"/>
      <c r="M16" s="77"/>
      <c r="N16" s="78"/>
      <c r="O16" s="79">
        <f>IF(N16="",0,3)</f>
        <v>0</v>
      </c>
      <c r="P16" s="72" t="s">
        <v>25</v>
      </c>
      <c r="Q16" s="79">
        <f>IF(P16="",0,3)</f>
        <v>3</v>
      </c>
      <c r="R16" s="75" t="s">
        <v>45</v>
      </c>
      <c r="S16" s="45"/>
      <c r="T16" s="77"/>
      <c r="U16" s="78"/>
      <c r="V16" s="79">
        <f>IF(U16="",0,3)</f>
        <v>0</v>
      </c>
      <c r="W16" s="72"/>
      <c r="X16" s="79">
        <f>IF(W16="",0,3)</f>
        <v>0</v>
      </c>
      <c r="Y16" s="75" t="s">
        <v>46</v>
      </c>
      <c r="Z16" s="45"/>
      <c r="AA16" s="76"/>
      <c r="AB16" s="45"/>
      <c r="AC16" s="45"/>
      <c r="AD16" s="45"/>
      <c r="AE16" s="45"/>
      <c r="AF16" s="45"/>
      <c r="AG16" s="45"/>
      <c r="AH16" s="45"/>
      <c r="AI16" s="45"/>
      <c r="AJ16" s="45"/>
      <c r="AK16" s="45"/>
    </row>
    <row r="17" ht="12.75" customHeight="1">
      <c r="A17" s="68"/>
      <c r="B17" s="68"/>
      <c r="C17" s="68"/>
      <c r="D17" s="68"/>
      <c r="E17" s="68"/>
      <c r="F17" s="82"/>
      <c r="G17" s="83"/>
      <c r="H17" s="84">
        <f>IF(G17="",0,4)</f>
        <v>0</v>
      </c>
      <c r="I17" s="85"/>
      <c r="J17" s="84">
        <f>IF(I17="",0,4)</f>
        <v>0</v>
      </c>
      <c r="K17" s="86" t="s">
        <v>47</v>
      </c>
      <c r="L17" s="45"/>
      <c r="M17" s="82"/>
      <c r="N17" s="83" t="s">
        <v>25</v>
      </c>
      <c r="O17" s="84">
        <f>IF(N17="",0,4)</f>
        <v>4</v>
      </c>
      <c r="P17" s="85"/>
      <c r="Q17" s="84">
        <f>IF(P17="",0,4)</f>
        <v>0</v>
      </c>
      <c r="R17" s="87" t="s">
        <v>48</v>
      </c>
      <c r="S17" s="45"/>
      <c r="T17" s="82"/>
      <c r="U17" s="83"/>
      <c r="V17" s="84">
        <f>IF(U17="",0,4)</f>
        <v>0</v>
      </c>
      <c r="W17" s="85" t="s">
        <v>33</v>
      </c>
      <c r="X17" s="84">
        <f>IF(W17="",0,4)</f>
        <v>4</v>
      </c>
      <c r="Y17" s="87" t="s">
        <v>49</v>
      </c>
      <c r="Z17" s="45"/>
      <c r="AA17" s="76"/>
      <c r="AB17" s="45"/>
      <c r="AC17" s="45"/>
      <c r="AD17" s="45"/>
      <c r="AE17" s="45"/>
      <c r="AF17" s="45"/>
      <c r="AG17" s="45"/>
      <c r="AH17" s="45"/>
      <c r="AI17" s="45"/>
      <c r="AJ17" s="45"/>
      <c r="AK17" s="45"/>
    </row>
    <row r="18" ht="6.0" customHeight="1">
      <c r="A18" s="67"/>
      <c r="B18" s="67"/>
      <c r="C18" s="67"/>
      <c r="D18" s="67"/>
      <c r="E18" s="67"/>
      <c r="F18" s="67"/>
      <c r="G18" s="88">
        <f>(COUNTIF(G14:G17,"x"))</f>
        <v>1</v>
      </c>
      <c r="H18" s="88">
        <f>SUM(H14:H17)</f>
        <v>3</v>
      </c>
      <c r="I18" s="88">
        <f>(COUNTIF(I14:I17,"x"))</f>
        <v>1</v>
      </c>
      <c r="J18" s="88">
        <f>SUM(J14:J17)</f>
        <v>1</v>
      </c>
      <c r="K18" s="76"/>
      <c r="L18" s="76"/>
      <c r="M18" s="67"/>
      <c r="N18" s="88">
        <f>(COUNTIF(N14:N17,"x"))</f>
        <v>1</v>
      </c>
      <c r="O18" s="88">
        <f>SUM(O14:O17)</f>
        <v>4</v>
      </c>
      <c r="P18" s="88">
        <f>(COUNTIF(P14:P17,"x"))</f>
        <v>1</v>
      </c>
      <c r="Q18" s="88">
        <f>SUM(Q14:Q17)</f>
        <v>3</v>
      </c>
      <c r="R18" s="76"/>
      <c r="S18" s="76"/>
      <c r="T18" s="67"/>
      <c r="U18" s="88">
        <f>(COUNTIF(U14:U17,"x"))</f>
        <v>1</v>
      </c>
      <c r="V18" s="88">
        <f>SUM(V14:V17)</f>
        <v>1</v>
      </c>
      <c r="W18" s="88">
        <f>(COUNTIF(W14:W17,"x"))</f>
        <v>1</v>
      </c>
      <c r="X18" s="88">
        <f>SUM(X14:X17)</f>
        <v>4</v>
      </c>
      <c r="Y18" s="76"/>
      <c r="Z18" s="45"/>
      <c r="AA18" s="76">
        <f>SUM(G18,I18,N18,P18,U18,W18)</f>
        <v>6</v>
      </c>
      <c r="AB18" s="45"/>
      <c r="AC18" s="45"/>
      <c r="AD18" s="45"/>
      <c r="AE18" s="45"/>
      <c r="AF18" s="45"/>
      <c r="AG18" s="45"/>
      <c r="AH18" s="45"/>
      <c r="AI18" s="45"/>
      <c r="AJ18" s="45"/>
      <c r="AK18" s="45"/>
    </row>
    <row r="19" ht="12.75" customHeight="1">
      <c r="A19" s="58"/>
      <c r="B19" s="58"/>
      <c r="C19" s="58"/>
      <c r="D19" s="58"/>
      <c r="E19" s="58"/>
      <c r="F19" s="60" t="s">
        <v>22</v>
      </c>
      <c r="G19" s="61" t="s">
        <v>5</v>
      </c>
      <c r="H19" s="62"/>
      <c r="I19" s="63" t="s">
        <v>6</v>
      </c>
      <c r="J19" s="62"/>
      <c r="K19" s="65" t="s">
        <v>23</v>
      </c>
      <c r="L19" s="58"/>
      <c r="M19" s="60" t="s">
        <v>22</v>
      </c>
      <c r="N19" s="61" t="s">
        <v>5</v>
      </c>
      <c r="O19" s="62"/>
      <c r="P19" s="63" t="s">
        <v>6</v>
      </c>
      <c r="Q19" s="62"/>
      <c r="R19" s="65" t="s">
        <v>23</v>
      </c>
      <c r="S19" s="58"/>
      <c r="T19" s="60" t="s">
        <v>22</v>
      </c>
      <c r="U19" s="61" t="s">
        <v>5</v>
      </c>
      <c r="V19" s="62"/>
      <c r="W19" s="63" t="s">
        <v>6</v>
      </c>
      <c r="X19" s="62"/>
      <c r="Y19" s="65" t="s">
        <v>23</v>
      </c>
      <c r="Z19" s="58"/>
      <c r="AA19" s="67"/>
      <c r="AB19" s="58"/>
      <c r="AC19" s="58"/>
      <c r="AD19" s="58"/>
      <c r="AE19" s="58"/>
      <c r="AF19" s="58"/>
      <c r="AG19" s="58"/>
      <c r="AH19" s="58"/>
      <c r="AI19" s="58"/>
      <c r="AJ19" s="58"/>
      <c r="AK19" s="58"/>
    </row>
    <row r="20" ht="12.0" customHeight="1">
      <c r="A20" s="68"/>
      <c r="B20" s="68"/>
      <c r="C20" s="68"/>
      <c r="D20" s="68"/>
      <c r="E20" s="68"/>
      <c r="F20" s="69">
        <v>3.0</v>
      </c>
      <c r="G20" s="70" t="s">
        <v>25</v>
      </c>
      <c r="H20" s="71">
        <f>IF(G20="",0,1)</f>
        <v>1</v>
      </c>
      <c r="I20" s="74"/>
      <c r="J20" s="71">
        <f>IF(I20="",0,1)</f>
        <v>0</v>
      </c>
      <c r="K20" s="73" t="s">
        <v>50</v>
      </c>
      <c r="L20" s="45"/>
      <c r="M20" s="69">
        <f>M14+1</f>
        <v>11</v>
      </c>
      <c r="N20" s="70" t="s">
        <v>25</v>
      </c>
      <c r="O20" s="71">
        <f>IF(N20="",0,1)</f>
        <v>1</v>
      </c>
      <c r="P20" s="74"/>
      <c r="Q20" s="71">
        <f>IF(P20="",0,1)</f>
        <v>0</v>
      </c>
      <c r="R20" s="75" t="s">
        <v>51</v>
      </c>
      <c r="S20" s="45"/>
      <c r="T20" s="69">
        <f>T14+1</f>
        <v>19</v>
      </c>
      <c r="U20" s="70" t="s">
        <v>33</v>
      </c>
      <c r="V20" s="71">
        <f>IF(U20="",0,1)</f>
        <v>1</v>
      </c>
      <c r="W20" s="74"/>
      <c r="X20" s="71">
        <f>IF(W20="",0,1)</f>
        <v>0</v>
      </c>
      <c r="Y20" s="75" t="s">
        <v>52</v>
      </c>
      <c r="Z20" s="45"/>
      <c r="AA20" s="76"/>
      <c r="AB20" s="45"/>
      <c r="AC20" s="45"/>
      <c r="AD20" s="45"/>
      <c r="AE20" s="45"/>
      <c r="AF20" s="45"/>
      <c r="AG20" s="45"/>
      <c r="AH20" s="45"/>
      <c r="AI20" s="45"/>
      <c r="AJ20" s="45"/>
      <c r="AK20" s="45"/>
    </row>
    <row r="21" ht="12.0" customHeight="1">
      <c r="A21" s="68"/>
      <c r="B21" s="68"/>
      <c r="C21" s="68"/>
      <c r="D21" s="68"/>
      <c r="E21" s="68"/>
      <c r="F21" s="77"/>
      <c r="G21" s="78"/>
      <c r="H21" s="79">
        <f>IF(G21="",0,2)</f>
        <v>0</v>
      </c>
      <c r="I21" s="72"/>
      <c r="J21" s="79">
        <f>IF(I21="",0,2)</f>
        <v>0</v>
      </c>
      <c r="K21" s="80" t="s">
        <v>53</v>
      </c>
      <c r="L21" s="45"/>
      <c r="M21" s="77"/>
      <c r="N21" s="78"/>
      <c r="O21" s="79">
        <f>IF(N21="",0,2)</f>
        <v>0</v>
      </c>
      <c r="P21" s="72"/>
      <c r="Q21" s="79">
        <f>IF(P21="",0,2)</f>
        <v>0</v>
      </c>
      <c r="R21" s="75" t="s">
        <v>54</v>
      </c>
      <c r="S21" s="45"/>
      <c r="T21" s="77"/>
      <c r="U21" s="78"/>
      <c r="V21" s="79">
        <f>IF(U21="",0,2)</f>
        <v>0</v>
      </c>
      <c r="W21" s="72"/>
      <c r="X21" s="79">
        <f>IF(W21="",0,2)</f>
        <v>0</v>
      </c>
      <c r="Y21" s="90" t="s">
        <v>55</v>
      </c>
      <c r="Z21" s="45"/>
      <c r="AA21" s="76"/>
      <c r="AB21" s="45"/>
      <c r="AC21" s="45"/>
      <c r="AD21" s="45"/>
      <c r="AE21" s="45"/>
      <c r="AF21" s="45"/>
      <c r="AG21" s="45"/>
      <c r="AH21" s="45"/>
      <c r="AI21" s="45"/>
      <c r="AJ21" s="45"/>
      <c r="AK21" s="45"/>
    </row>
    <row r="22" ht="12.0" customHeight="1">
      <c r="A22" s="68"/>
      <c r="B22" s="68"/>
      <c r="C22" s="68"/>
      <c r="D22" s="68"/>
      <c r="E22" s="68"/>
      <c r="F22" s="77"/>
      <c r="G22" s="78"/>
      <c r="H22" s="79">
        <f>IF(G22="",0,3)</f>
        <v>0</v>
      </c>
      <c r="I22" s="81" t="s">
        <v>25</v>
      </c>
      <c r="J22" s="79">
        <f>IF(I22="",0,3)</f>
        <v>3</v>
      </c>
      <c r="K22" s="80" t="s">
        <v>56</v>
      </c>
      <c r="L22" s="45"/>
      <c r="M22" s="77"/>
      <c r="N22" s="78"/>
      <c r="O22" s="79">
        <f>IF(N22="",0,3)</f>
        <v>0</v>
      </c>
      <c r="P22" s="72"/>
      <c r="Q22" s="79">
        <f>IF(P22="",0,3)</f>
        <v>0</v>
      </c>
      <c r="R22" s="75" t="s">
        <v>57</v>
      </c>
      <c r="S22" s="45"/>
      <c r="T22" s="77"/>
      <c r="U22" s="78"/>
      <c r="V22" s="79">
        <f>IF(U22="",0,3)</f>
        <v>0</v>
      </c>
      <c r="W22" s="72"/>
      <c r="X22" s="79">
        <f>IF(W22="",0,3)</f>
        <v>0</v>
      </c>
      <c r="Y22" s="75" t="s">
        <v>58</v>
      </c>
      <c r="Z22" s="45"/>
      <c r="AA22" s="76"/>
      <c r="AB22" s="45"/>
      <c r="AC22" s="45"/>
      <c r="AD22" s="45"/>
      <c r="AE22" s="45"/>
      <c r="AF22" s="45"/>
      <c r="AG22" s="45"/>
      <c r="AH22" s="45"/>
      <c r="AI22" s="45"/>
      <c r="AJ22" s="45"/>
      <c r="AK22" s="45"/>
    </row>
    <row r="23" ht="12.75" customHeight="1">
      <c r="A23" s="68"/>
      <c r="B23" s="68"/>
      <c r="C23" s="68"/>
      <c r="D23" s="68"/>
      <c r="E23" s="68"/>
      <c r="F23" s="82"/>
      <c r="G23" s="83"/>
      <c r="H23" s="84">
        <f>IF(G23="",0,4)</f>
        <v>0</v>
      </c>
      <c r="I23" s="85"/>
      <c r="J23" s="84">
        <f>IF(I23="",0,4)</f>
        <v>0</v>
      </c>
      <c r="K23" s="86" t="s">
        <v>59</v>
      </c>
      <c r="L23" s="45"/>
      <c r="M23" s="82"/>
      <c r="N23" s="83"/>
      <c r="O23" s="84">
        <f>IF(N23="",0,4)</f>
        <v>0</v>
      </c>
      <c r="P23" s="85" t="s">
        <v>25</v>
      </c>
      <c r="Q23" s="84">
        <f>IF(P23="",0,4)</f>
        <v>4</v>
      </c>
      <c r="R23" s="87" t="s">
        <v>60</v>
      </c>
      <c r="S23" s="45"/>
      <c r="T23" s="82"/>
      <c r="U23" s="83"/>
      <c r="V23" s="84">
        <f>IF(U23="",0,4)</f>
        <v>0</v>
      </c>
      <c r="W23" s="85" t="s">
        <v>33</v>
      </c>
      <c r="X23" s="84">
        <f>IF(W23="",0,4)</f>
        <v>4</v>
      </c>
      <c r="Y23" s="87" t="s">
        <v>61</v>
      </c>
      <c r="Z23" s="45"/>
      <c r="AA23" s="76"/>
      <c r="AB23" s="45"/>
      <c r="AC23" s="45"/>
      <c r="AD23" s="45"/>
      <c r="AE23" s="45"/>
      <c r="AF23" s="45"/>
      <c r="AG23" s="45"/>
      <c r="AH23" s="45"/>
      <c r="AI23" s="45"/>
      <c r="AJ23" s="45"/>
      <c r="AK23" s="45"/>
    </row>
    <row r="24" ht="6.0" customHeight="1">
      <c r="A24" s="67"/>
      <c r="B24" s="67"/>
      <c r="C24" s="67"/>
      <c r="D24" s="67"/>
      <c r="E24" s="67"/>
      <c r="F24" s="67"/>
      <c r="G24" s="88">
        <f>(COUNTIF(G20:G23,"x"))</f>
        <v>1</v>
      </c>
      <c r="H24" s="88">
        <f>SUM(H20:H23)</f>
        <v>1</v>
      </c>
      <c r="I24" s="88">
        <f>(COUNTIF(I20:I23,"x"))</f>
        <v>1</v>
      </c>
      <c r="J24" s="88">
        <f>SUM(J20:J23)</f>
        <v>3</v>
      </c>
      <c r="K24" s="76"/>
      <c r="L24" s="76"/>
      <c r="M24" s="67"/>
      <c r="N24" s="88">
        <f>(COUNTIF(N20:N23,"x"))</f>
        <v>1</v>
      </c>
      <c r="O24" s="88">
        <f>SUM(O20:O23)</f>
        <v>1</v>
      </c>
      <c r="P24" s="88">
        <f>(COUNTIF(P20:P23,"x"))</f>
        <v>1</v>
      </c>
      <c r="Q24" s="88">
        <f>SUM(Q20:Q23)</f>
        <v>4</v>
      </c>
      <c r="R24" s="76"/>
      <c r="S24" s="76"/>
      <c r="T24" s="67"/>
      <c r="U24" s="88">
        <f>(COUNTIF(U20:U23,"x"))</f>
        <v>1</v>
      </c>
      <c r="V24" s="88">
        <f>SUM(V20:V23)</f>
        <v>1</v>
      </c>
      <c r="W24" s="88">
        <f>(COUNTIF(W20:W23,"x"))</f>
        <v>1</v>
      </c>
      <c r="X24" s="88">
        <f>SUM(X20:X23)</f>
        <v>4</v>
      </c>
      <c r="Y24" s="76"/>
      <c r="Z24" s="45"/>
      <c r="AA24" s="76">
        <f>SUM(G24,I24,N24,P24,U24,W24)</f>
        <v>6</v>
      </c>
      <c r="AB24" s="45"/>
      <c r="AC24" s="45"/>
      <c r="AD24" s="45"/>
      <c r="AE24" s="45"/>
      <c r="AF24" s="45"/>
      <c r="AG24" s="45"/>
      <c r="AH24" s="45"/>
      <c r="AI24" s="45"/>
      <c r="AJ24" s="45"/>
      <c r="AK24" s="45"/>
    </row>
    <row r="25" ht="12.75" customHeight="1">
      <c r="A25" s="58"/>
      <c r="B25" s="58"/>
      <c r="C25" s="58"/>
      <c r="D25" s="58"/>
      <c r="E25" s="58"/>
      <c r="F25" s="60" t="s">
        <v>22</v>
      </c>
      <c r="G25" s="61" t="s">
        <v>5</v>
      </c>
      <c r="H25" s="62"/>
      <c r="I25" s="63" t="s">
        <v>6</v>
      </c>
      <c r="J25" s="62"/>
      <c r="K25" s="65" t="s">
        <v>23</v>
      </c>
      <c r="L25" s="58"/>
      <c r="M25" s="60" t="s">
        <v>22</v>
      </c>
      <c r="N25" s="61" t="s">
        <v>5</v>
      </c>
      <c r="O25" s="62"/>
      <c r="P25" s="63" t="s">
        <v>6</v>
      </c>
      <c r="Q25" s="62"/>
      <c r="R25" s="65" t="s">
        <v>23</v>
      </c>
      <c r="S25" s="58"/>
      <c r="T25" s="60" t="s">
        <v>22</v>
      </c>
      <c r="U25" s="61" t="s">
        <v>5</v>
      </c>
      <c r="V25" s="62"/>
      <c r="W25" s="63" t="s">
        <v>6</v>
      </c>
      <c r="X25" s="62"/>
      <c r="Y25" s="65" t="s">
        <v>23</v>
      </c>
      <c r="Z25" s="58"/>
      <c r="AA25" s="67"/>
      <c r="AB25" s="58"/>
      <c r="AC25" s="58"/>
      <c r="AD25" s="58"/>
      <c r="AE25" s="58"/>
      <c r="AF25" s="58"/>
      <c r="AG25" s="58"/>
      <c r="AH25" s="58"/>
      <c r="AI25" s="58"/>
      <c r="AJ25" s="58"/>
      <c r="AK25" s="58"/>
    </row>
    <row r="26" ht="12.0" customHeight="1">
      <c r="A26" s="68"/>
      <c r="B26" s="68"/>
      <c r="C26" s="68"/>
      <c r="D26" s="68"/>
      <c r="E26" s="68"/>
      <c r="F26" s="69">
        <f>F20+1</f>
        <v>4</v>
      </c>
      <c r="G26" s="70"/>
      <c r="H26" s="71">
        <f>IF(G26="",0,1)</f>
        <v>0</v>
      </c>
      <c r="I26" s="74" t="s">
        <v>25</v>
      </c>
      <c r="J26" s="71">
        <f>IF(I26="",0,1)</f>
        <v>1</v>
      </c>
      <c r="K26" s="73" t="s">
        <v>62</v>
      </c>
      <c r="L26" s="45"/>
      <c r="M26" s="69">
        <f>M20+1</f>
        <v>12</v>
      </c>
      <c r="N26" s="70"/>
      <c r="O26" s="71">
        <f>IF(N26="",0,1)</f>
        <v>0</v>
      </c>
      <c r="P26" s="74" t="s">
        <v>25</v>
      </c>
      <c r="Q26" s="71">
        <f>IF(P26="",0,1)</f>
        <v>1</v>
      </c>
      <c r="R26" s="75" t="s">
        <v>63</v>
      </c>
      <c r="S26" s="45"/>
      <c r="T26" s="69">
        <f>T20+1</f>
        <v>20</v>
      </c>
      <c r="U26" s="70" t="s">
        <v>33</v>
      </c>
      <c r="V26" s="71">
        <f>IF(U26="",0,1)</f>
        <v>1</v>
      </c>
      <c r="W26" s="74"/>
      <c r="X26" s="71">
        <f>IF(W26="",0,1)</f>
        <v>0</v>
      </c>
      <c r="Y26" s="75" t="s">
        <v>64</v>
      </c>
      <c r="Z26" s="45"/>
      <c r="AA26" s="76"/>
      <c r="AB26" s="45"/>
      <c r="AC26" s="45"/>
      <c r="AD26" s="45"/>
      <c r="AE26" s="45"/>
      <c r="AF26" s="45"/>
      <c r="AG26" s="45"/>
      <c r="AH26" s="45"/>
      <c r="AI26" s="45"/>
      <c r="AJ26" s="45"/>
      <c r="AK26" s="45"/>
    </row>
    <row r="27" ht="12.0" customHeight="1">
      <c r="A27" s="68"/>
      <c r="B27" s="68"/>
      <c r="C27" s="68"/>
      <c r="D27" s="68"/>
      <c r="E27" s="68"/>
      <c r="F27" s="77"/>
      <c r="G27" s="78"/>
      <c r="H27" s="79">
        <f>IF(G27="",0,2)</f>
        <v>0</v>
      </c>
      <c r="I27" s="72"/>
      <c r="J27" s="79">
        <f>IF(I27="",0,2)</f>
        <v>0</v>
      </c>
      <c r="K27" s="80" t="s">
        <v>65</v>
      </c>
      <c r="L27" s="45"/>
      <c r="M27" s="77"/>
      <c r="N27" s="78"/>
      <c r="O27" s="79">
        <f>IF(N27="",0,2)</f>
        <v>0</v>
      </c>
      <c r="P27" s="72"/>
      <c r="Q27" s="79">
        <f>IF(P27="",0,2)</f>
        <v>0</v>
      </c>
      <c r="R27" s="75" t="s">
        <v>66</v>
      </c>
      <c r="S27" s="45"/>
      <c r="T27" s="77"/>
      <c r="U27" s="78"/>
      <c r="V27" s="79">
        <f>IF(U27="",0,2)</f>
        <v>0</v>
      </c>
      <c r="W27" s="72"/>
      <c r="X27" s="79">
        <f>IF(W27="",0,2)</f>
        <v>0</v>
      </c>
      <c r="Y27" s="75" t="s">
        <v>67</v>
      </c>
      <c r="Z27" s="45"/>
      <c r="AA27" s="76"/>
      <c r="AB27" s="45"/>
      <c r="AC27" s="45"/>
      <c r="AD27" s="45"/>
      <c r="AE27" s="45"/>
      <c r="AF27" s="45"/>
      <c r="AG27" s="45"/>
      <c r="AH27" s="45"/>
      <c r="AI27" s="45"/>
      <c r="AJ27" s="45"/>
      <c r="AK27" s="45"/>
    </row>
    <row r="28" ht="12.0" customHeight="1">
      <c r="A28" s="68"/>
      <c r="B28" s="68"/>
      <c r="C28" s="68"/>
      <c r="D28" s="68"/>
      <c r="E28" s="68"/>
      <c r="F28" s="77"/>
      <c r="G28" s="78" t="s">
        <v>25</v>
      </c>
      <c r="H28" s="79">
        <f>IF(G28="",0,3)</f>
        <v>3</v>
      </c>
      <c r="I28" s="72"/>
      <c r="J28" s="79">
        <f>IF(I28="",0,3)</f>
        <v>0</v>
      </c>
      <c r="K28" s="80" t="s">
        <v>68</v>
      </c>
      <c r="L28" s="45"/>
      <c r="M28" s="77"/>
      <c r="N28" s="78"/>
      <c r="O28" s="79">
        <f>IF(N28="",0,3)</f>
        <v>0</v>
      </c>
      <c r="P28" s="72"/>
      <c r="Q28" s="79">
        <f>IF(P28="",0,3)</f>
        <v>0</v>
      </c>
      <c r="R28" s="75" t="s">
        <v>69</v>
      </c>
      <c r="S28" s="45"/>
      <c r="T28" s="77"/>
      <c r="U28" s="78"/>
      <c r="V28" s="79">
        <f>IF(U28="",0,3)</f>
        <v>0</v>
      </c>
      <c r="W28" s="72"/>
      <c r="X28" s="79">
        <f>IF(W28="",0,3)</f>
        <v>0</v>
      </c>
      <c r="Y28" s="75" t="s">
        <v>70</v>
      </c>
      <c r="Z28" s="45"/>
      <c r="AA28" s="76"/>
      <c r="AB28" s="45"/>
      <c r="AC28" s="45"/>
      <c r="AD28" s="45"/>
      <c r="AE28" s="45"/>
      <c r="AF28" s="45"/>
      <c r="AG28" s="45"/>
      <c r="AH28" s="45"/>
      <c r="AI28" s="45"/>
      <c r="AJ28" s="45"/>
      <c r="AK28" s="45"/>
    </row>
    <row r="29" ht="12.75" customHeight="1">
      <c r="A29" s="68"/>
      <c r="B29" s="68"/>
      <c r="C29" s="68"/>
      <c r="D29" s="68"/>
      <c r="E29" s="68"/>
      <c r="F29" s="82"/>
      <c r="G29" s="83"/>
      <c r="H29" s="84">
        <f>IF(G29="",0,4)</f>
        <v>0</v>
      </c>
      <c r="I29" s="85"/>
      <c r="J29" s="84">
        <f>IF(I29="",0,4)</f>
        <v>0</v>
      </c>
      <c r="K29" s="86" t="s">
        <v>71</v>
      </c>
      <c r="L29" s="45"/>
      <c r="M29" s="82"/>
      <c r="N29" s="83" t="s">
        <v>25</v>
      </c>
      <c r="O29" s="84">
        <f>IF(N29="",0,4)</f>
        <v>4</v>
      </c>
      <c r="P29" s="85"/>
      <c r="Q29" s="84">
        <f>IF(P29="",0,4)</f>
        <v>0</v>
      </c>
      <c r="R29" s="87" t="s">
        <v>72</v>
      </c>
      <c r="S29" s="45"/>
      <c r="T29" s="82"/>
      <c r="U29" s="83"/>
      <c r="V29" s="84">
        <f>IF(U29="",0,4)</f>
        <v>0</v>
      </c>
      <c r="W29" s="85" t="s">
        <v>33</v>
      </c>
      <c r="X29" s="84">
        <f>IF(W29="",0,4)</f>
        <v>4</v>
      </c>
      <c r="Y29" s="87" t="s">
        <v>73</v>
      </c>
      <c r="Z29" s="45"/>
      <c r="AA29" s="76"/>
      <c r="AB29" s="45"/>
      <c r="AC29" s="45"/>
      <c r="AD29" s="45"/>
      <c r="AE29" s="45"/>
      <c r="AF29" s="45"/>
      <c r="AG29" s="45"/>
      <c r="AH29" s="45"/>
      <c r="AI29" s="45"/>
      <c r="AJ29" s="45"/>
      <c r="AK29" s="45"/>
    </row>
    <row r="30" ht="6.0" customHeight="1">
      <c r="A30" s="67"/>
      <c r="B30" s="67"/>
      <c r="C30" s="67"/>
      <c r="D30" s="67"/>
      <c r="E30" s="67"/>
      <c r="F30" s="67"/>
      <c r="G30" s="88">
        <f>(COUNTIF(G26:G29,"x"))</f>
        <v>1</v>
      </c>
      <c r="H30" s="88">
        <f>SUM(H26:H29)</f>
        <v>3</v>
      </c>
      <c r="I30" s="88">
        <f>(COUNTIF(I26:I29,"x"))</f>
        <v>1</v>
      </c>
      <c r="J30" s="88">
        <f>SUM(J26:J29)</f>
        <v>1</v>
      </c>
      <c r="K30" s="76"/>
      <c r="L30" s="76"/>
      <c r="M30" s="67"/>
      <c r="N30" s="88">
        <f>(COUNTIF(N26:N29,"x"))</f>
        <v>1</v>
      </c>
      <c r="O30" s="88">
        <f>SUM(O26:O29)</f>
        <v>4</v>
      </c>
      <c r="P30" s="88">
        <f>(COUNTIF(P26:P29,"x"))</f>
        <v>1</v>
      </c>
      <c r="Q30" s="88">
        <f>SUM(Q26:Q29)</f>
        <v>1</v>
      </c>
      <c r="R30" s="76"/>
      <c r="S30" s="76"/>
      <c r="T30" s="67"/>
      <c r="U30" s="88">
        <f>(COUNTIF(U26:U29,"x"))</f>
        <v>1</v>
      </c>
      <c r="V30" s="88">
        <f>SUM(V26:V29)</f>
        <v>1</v>
      </c>
      <c r="W30" s="88">
        <f>(COUNTIF(W26:W29,"x"))</f>
        <v>1</v>
      </c>
      <c r="X30" s="88">
        <f>SUM(X26:X29)</f>
        <v>4</v>
      </c>
      <c r="Y30" s="76"/>
      <c r="Z30" s="45"/>
      <c r="AA30" s="76">
        <f>SUM(G30,I30,N30,P30,U30,W30)</f>
        <v>6</v>
      </c>
      <c r="AB30" s="45"/>
      <c r="AC30" s="45"/>
      <c r="AD30" s="45"/>
      <c r="AE30" s="45"/>
      <c r="AF30" s="45"/>
      <c r="AG30" s="45"/>
      <c r="AH30" s="45"/>
      <c r="AI30" s="45"/>
      <c r="AJ30" s="45"/>
      <c r="AK30" s="45"/>
    </row>
    <row r="31" ht="12.75" customHeight="1">
      <c r="A31" s="58"/>
      <c r="B31" s="58"/>
      <c r="C31" s="58"/>
      <c r="D31" s="58"/>
      <c r="E31" s="58"/>
      <c r="F31" s="60" t="s">
        <v>22</v>
      </c>
      <c r="G31" s="61" t="s">
        <v>5</v>
      </c>
      <c r="H31" s="62"/>
      <c r="I31" s="63" t="s">
        <v>6</v>
      </c>
      <c r="J31" s="62"/>
      <c r="K31" s="65" t="s">
        <v>23</v>
      </c>
      <c r="L31" s="58"/>
      <c r="M31" s="60" t="s">
        <v>22</v>
      </c>
      <c r="N31" s="61" t="s">
        <v>5</v>
      </c>
      <c r="O31" s="62"/>
      <c r="P31" s="63" t="s">
        <v>6</v>
      </c>
      <c r="Q31" s="62"/>
      <c r="R31" s="65" t="s">
        <v>23</v>
      </c>
      <c r="S31" s="58"/>
      <c r="T31" s="60" t="s">
        <v>22</v>
      </c>
      <c r="U31" s="61" t="s">
        <v>5</v>
      </c>
      <c r="V31" s="62"/>
      <c r="W31" s="63" t="s">
        <v>6</v>
      </c>
      <c r="X31" s="62"/>
      <c r="Y31" s="65" t="s">
        <v>23</v>
      </c>
      <c r="Z31" s="58"/>
      <c r="AA31" s="67"/>
      <c r="AB31" s="58"/>
      <c r="AC31" s="58"/>
      <c r="AD31" s="58"/>
      <c r="AE31" s="58"/>
      <c r="AF31" s="58"/>
      <c r="AG31" s="58"/>
      <c r="AH31" s="58"/>
      <c r="AI31" s="58"/>
      <c r="AJ31" s="58"/>
      <c r="AK31" s="58"/>
    </row>
    <row r="32" ht="12.0" customHeight="1">
      <c r="A32" s="68"/>
      <c r="B32" s="68"/>
      <c r="C32" s="68"/>
      <c r="D32" s="68"/>
      <c r="E32" s="68"/>
      <c r="F32" s="69">
        <f>F26+1</f>
        <v>5</v>
      </c>
      <c r="G32" s="70" t="s">
        <v>25</v>
      </c>
      <c r="H32" s="71">
        <f>IF(G32="",0,1)</f>
        <v>1</v>
      </c>
      <c r="I32" s="74"/>
      <c r="J32" s="71">
        <f>IF(I32="",0,1)</f>
        <v>0</v>
      </c>
      <c r="K32" s="73" t="s">
        <v>74</v>
      </c>
      <c r="L32" s="45"/>
      <c r="M32" s="69">
        <f>M26+1</f>
        <v>13</v>
      </c>
      <c r="N32" s="70"/>
      <c r="O32" s="71">
        <f>IF(N32="",0,1)</f>
        <v>0</v>
      </c>
      <c r="P32" s="74"/>
      <c r="Q32" s="71">
        <f>IF(P32="",0,1)</f>
        <v>0</v>
      </c>
      <c r="R32" s="75" t="s">
        <v>75</v>
      </c>
      <c r="S32" s="45"/>
      <c r="T32" s="69">
        <f>T26+1</f>
        <v>21</v>
      </c>
      <c r="U32" s="70"/>
      <c r="V32" s="71">
        <f>IF(U32="",0,1)</f>
        <v>0</v>
      </c>
      <c r="W32" s="74"/>
      <c r="X32" s="71">
        <f>IF(W32="",0,1)</f>
        <v>0</v>
      </c>
      <c r="Y32" s="75" t="s">
        <v>76</v>
      </c>
      <c r="Z32" s="45"/>
      <c r="AA32" s="76"/>
      <c r="AB32" s="45"/>
      <c r="AC32" s="45"/>
      <c r="AD32" s="45"/>
      <c r="AE32" s="45"/>
      <c r="AF32" s="45"/>
      <c r="AG32" s="45"/>
      <c r="AH32" s="45"/>
      <c r="AI32" s="45"/>
      <c r="AJ32" s="45"/>
      <c r="AK32" s="45"/>
    </row>
    <row r="33" ht="12.0" customHeight="1">
      <c r="A33" s="68"/>
      <c r="B33" s="68"/>
      <c r="C33" s="68"/>
      <c r="D33" s="68"/>
      <c r="E33" s="68"/>
      <c r="F33" s="77"/>
      <c r="G33" s="78"/>
      <c r="H33" s="79">
        <f>IF(G33="",0,2)</f>
        <v>0</v>
      </c>
      <c r="I33" s="72" t="s">
        <v>25</v>
      </c>
      <c r="J33" s="79">
        <f>IF(I33="",0,2)</f>
        <v>2</v>
      </c>
      <c r="K33" s="80" t="s">
        <v>77</v>
      </c>
      <c r="L33" s="45"/>
      <c r="M33" s="77"/>
      <c r="N33" s="78"/>
      <c r="O33" s="79">
        <f>IF(N33="",0,2)</f>
        <v>0</v>
      </c>
      <c r="P33" s="72"/>
      <c r="Q33" s="79">
        <f>IF(P33="",0,2)</f>
        <v>0</v>
      </c>
      <c r="R33" s="75" t="s">
        <v>78</v>
      </c>
      <c r="S33" s="45"/>
      <c r="T33" s="77"/>
      <c r="U33" s="78"/>
      <c r="V33" s="79">
        <f>IF(U33="",0,2)</f>
        <v>0</v>
      </c>
      <c r="W33" s="72"/>
      <c r="X33" s="79">
        <f>IF(W33="",0,2)</f>
        <v>0</v>
      </c>
      <c r="Y33" s="75" t="s">
        <v>79</v>
      </c>
      <c r="Z33" s="45"/>
      <c r="AA33" s="76"/>
      <c r="AB33" s="45"/>
      <c r="AC33" s="45"/>
      <c r="AD33" s="45"/>
      <c r="AE33" s="45"/>
      <c r="AF33" s="45"/>
      <c r="AG33" s="45"/>
      <c r="AH33" s="45"/>
      <c r="AI33" s="45"/>
      <c r="AJ33" s="45"/>
      <c r="AK33" s="45"/>
    </row>
    <row r="34" ht="12.0" customHeight="1">
      <c r="A34" s="68"/>
      <c r="B34" s="68"/>
      <c r="C34" s="68"/>
      <c r="D34" s="68"/>
      <c r="E34" s="68"/>
      <c r="F34" s="77"/>
      <c r="G34" s="78"/>
      <c r="H34" s="79">
        <f>IF(G34="",0,3)</f>
        <v>0</v>
      </c>
      <c r="I34" s="72"/>
      <c r="J34" s="79">
        <f>IF(I34="",0,3)</f>
        <v>0</v>
      </c>
      <c r="K34" s="80" t="s">
        <v>80</v>
      </c>
      <c r="L34" s="45"/>
      <c r="M34" s="77"/>
      <c r="N34" s="78" t="s">
        <v>25</v>
      </c>
      <c r="O34" s="79">
        <f>IF(N34="",0,3)</f>
        <v>3</v>
      </c>
      <c r="P34" s="72"/>
      <c r="Q34" s="79">
        <f>IF(P34="",0,3)</f>
        <v>0</v>
      </c>
      <c r="R34" s="75" t="s">
        <v>81</v>
      </c>
      <c r="S34" s="45"/>
      <c r="T34" s="77"/>
      <c r="U34" s="78" t="s">
        <v>25</v>
      </c>
      <c r="V34" s="79">
        <f>IF(U34="",0,3)</f>
        <v>3</v>
      </c>
      <c r="W34" s="72"/>
      <c r="X34" s="79">
        <f>IF(W34="",0,3)</f>
        <v>0</v>
      </c>
      <c r="Y34" s="75" t="s">
        <v>82</v>
      </c>
      <c r="Z34" s="45"/>
      <c r="AA34" s="76"/>
      <c r="AB34" s="45"/>
      <c r="AC34" s="45"/>
      <c r="AD34" s="45"/>
      <c r="AE34" s="45"/>
      <c r="AF34" s="45"/>
      <c r="AG34" s="45"/>
      <c r="AH34" s="45"/>
      <c r="AI34" s="45"/>
      <c r="AJ34" s="45"/>
      <c r="AK34" s="45"/>
    </row>
    <row r="35" ht="12.75" customHeight="1">
      <c r="A35" s="68"/>
      <c r="B35" s="68"/>
      <c r="C35" s="68"/>
      <c r="D35" s="68"/>
      <c r="E35" s="68"/>
      <c r="F35" s="82"/>
      <c r="G35" s="83"/>
      <c r="H35" s="84">
        <f>IF(G35="",0,4)</f>
        <v>0</v>
      </c>
      <c r="I35" s="85"/>
      <c r="J35" s="84">
        <f>IF(I35="",0,4)</f>
        <v>0</v>
      </c>
      <c r="K35" s="86" t="s">
        <v>83</v>
      </c>
      <c r="L35" s="45"/>
      <c r="M35" s="82"/>
      <c r="N35" s="83"/>
      <c r="O35" s="84">
        <f>IF(N35="",0,4)</f>
        <v>0</v>
      </c>
      <c r="P35" s="85" t="s">
        <v>33</v>
      </c>
      <c r="Q35" s="84">
        <f>IF(P35="",0,4)</f>
        <v>4</v>
      </c>
      <c r="R35" s="87" t="s">
        <v>84</v>
      </c>
      <c r="S35" s="45"/>
      <c r="T35" s="82"/>
      <c r="U35" s="83"/>
      <c r="V35" s="84">
        <f>IF(U35="",0,4)</f>
        <v>0</v>
      </c>
      <c r="W35" s="85" t="s">
        <v>25</v>
      </c>
      <c r="X35" s="84">
        <f>IF(W35="",0,4)</f>
        <v>4</v>
      </c>
      <c r="Y35" s="87" t="s">
        <v>85</v>
      </c>
      <c r="Z35" s="45"/>
      <c r="AA35" s="76"/>
      <c r="AB35" s="45"/>
      <c r="AC35" s="45"/>
      <c r="AD35" s="45"/>
      <c r="AE35" s="45"/>
      <c r="AF35" s="45"/>
      <c r="AG35" s="45"/>
      <c r="AH35" s="45"/>
      <c r="AI35" s="45"/>
      <c r="AJ35" s="45"/>
      <c r="AK35" s="45"/>
    </row>
    <row r="36" ht="6.0" customHeight="1">
      <c r="A36" s="67"/>
      <c r="B36" s="67"/>
      <c r="C36" s="67"/>
      <c r="D36" s="67"/>
      <c r="E36" s="67"/>
      <c r="F36" s="67"/>
      <c r="G36" s="88">
        <f>(COUNTIF(G32:G35,"x"))</f>
        <v>1</v>
      </c>
      <c r="H36" s="88">
        <f>SUM(H32:H35)</f>
        <v>1</v>
      </c>
      <c r="I36" s="88">
        <f>(COUNTIF(I32:I35,"x"))</f>
        <v>1</v>
      </c>
      <c r="J36" s="88">
        <f>SUM(J32:J35)</f>
        <v>2</v>
      </c>
      <c r="K36" s="76"/>
      <c r="L36" s="76"/>
      <c r="M36" s="67"/>
      <c r="N36" s="88">
        <f>(COUNTIF(N32:N35,"x"))</f>
        <v>1</v>
      </c>
      <c r="O36" s="88">
        <f>SUM(O32:O35)</f>
        <v>3</v>
      </c>
      <c r="P36" s="88">
        <f>(COUNTIF(P32:P35,"x"))</f>
        <v>1</v>
      </c>
      <c r="Q36" s="88">
        <f>SUM(Q32:Q35)</f>
        <v>4</v>
      </c>
      <c r="R36" s="76"/>
      <c r="S36" s="76"/>
      <c r="T36" s="67"/>
      <c r="U36" s="88">
        <f>(COUNTIF(U32:U35,"x"))</f>
        <v>1</v>
      </c>
      <c r="V36" s="88">
        <f>SUM(V32:V35)</f>
        <v>3</v>
      </c>
      <c r="W36" s="88">
        <f>(COUNTIF(W32:W35,"x"))</f>
        <v>1</v>
      </c>
      <c r="X36" s="88">
        <f>SUM(X32:X35)</f>
        <v>4</v>
      </c>
      <c r="Y36" s="76"/>
      <c r="Z36" s="45"/>
      <c r="AA36" s="76">
        <f>SUM(G36,I36,N36,P36,U36,W36)</f>
        <v>6</v>
      </c>
      <c r="AB36" s="45"/>
      <c r="AC36" s="45"/>
      <c r="AD36" s="45"/>
      <c r="AE36" s="45"/>
      <c r="AF36" s="45"/>
      <c r="AG36" s="45"/>
      <c r="AH36" s="45"/>
      <c r="AI36" s="45"/>
      <c r="AJ36" s="45"/>
      <c r="AK36" s="45"/>
    </row>
    <row r="37" ht="12.75" customHeight="1">
      <c r="A37" s="58"/>
      <c r="B37" s="58"/>
      <c r="C37" s="58"/>
      <c r="D37" s="58"/>
      <c r="E37" s="58"/>
      <c r="F37" s="60" t="s">
        <v>22</v>
      </c>
      <c r="G37" s="61" t="s">
        <v>5</v>
      </c>
      <c r="H37" s="62"/>
      <c r="I37" s="63" t="s">
        <v>6</v>
      </c>
      <c r="J37" s="62"/>
      <c r="K37" s="65" t="s">
        <v>23</v>
      </c>
      <c r="L37" s="58"/>
      <c r="M37" s="60" t="s">
        <v>22</v>
      </c>
      <c r="N37" s="61" t="s">
        <v>5</v>
      </c>
      <c r="O37" s="62"/>
      <c r="P37" s="63" t="s">
        <v>6</v>
      </c>
      <c r="Q37" s="62"/>
      <c r="R37" s="65" t="s">
        <v>23</v>
      </c>
      <c r="S37" s="58"/>
      <c r="T37" s="60" t="s">
        <v>22</v>
      </c>
      <c r="U37" s="61" t="s">
        <v>5</v>
      </c>
      <c r="V37" s="62"/>
      <c r="W37" s="63" t="s">
        <v>6</v>
      </c>
      <c r="X37" s="62"/>
      <c r="Y37" s="65" t="s">
        <v>23</v>
      </c>
      <c r="Z37" s="58"/>
      <c r="AA37" s="67"/>
      <c r="AB37" s="58"/>
      <c r="AC37" s="58"/>
      <c r="AD37" s="58"/>
      <c r="AE37" s="58"/>
      <c r="AF37" s="58"/>
      <c r="AG37" s="58"/>
      <c r="AH37" s="58"/>
      <c r="AI37" s="58"/>
      <c r="AJ37" s="58"/>
      <c r="AK37" s="58"/>
    </row>
    <row r="38" ht="12.0" customHeight="1">
      <c r="A38" s="68"/>
      <c r="B38" s="68"/>
      <c r="C38" s="68"/>
      <c r="D38" s="68"/>
      <c r="E38" s="68"/>
      <c r="F38" s="69">
        <f>F32+1</f>
        <v>6</v>
      </c>
      <c r="G38" s="70"/>
      <c r="H38" s="71">
        <f>IF(G38="",0,1)</f>
        <v>0</v>
      </c>
      <c r="I38" s="74" t="s">
        <v>25</v>
      </c>
      <c r="J38" s="71">
        <f>IF(I38="",0,1)</f>
        <v>1</v>
      </c>
      <c r="K38" s="73" t="s">
        <v>86</v>
      </c>
      <c r="L38" s="45"/>
      <c r="M38" s="69">
        <f>M32+1</f>
        <v>14</v>
      </c>
      <c r="N38" s="70"/>
      <c r="O38" s="71">
        <f>IF(N38="",0,1)</f>
        <v>0</v>
      </c>
      <c r="P38" s="74" t="s">
        <v>25</v>
      </c>
      <c r="Q38" s="71">
        <f>IF(P38="",0,1)</f>
        <v>1</v>
      </c>
      <c r="R38" s="75" t="s">
        <v>87</v>
      </c>
      <c r="S38" s="45"/>
      <c r="T38" s="69">
        <f>T32+1</f>
        <v>22</v>
      </c>
      <c r="U38" s="70"/>
      <c r="V38" s="71">
        <f>IF(U38="",0,1)</f>
        <v>0</v>
      </c>
      <c r="W38" s="74"/>
      <c r="X38" s="71">
        <f>IF(W38="",0,1)</f>
        <v>0</v>
      </c>
      <c r="Y38" s="75" t="s">
        <v>88</v>
      </c>
      <c r="Z38" s="45"/>
      <c r="AA38" s="76"/>
      <c r="AB38" s="45"/>
      <c r="AC38" s="45"/>
      <c r="AD38" s="45"/>
      <c r="AE38" s="45"/>
      <c r="AF38" s="45"/>
      <c r="AG38" s="45"/>
      <c r="AH38" s="45"/>
      <c r="AI38" s="45"/>
      <c r="AJ38" s="45"/>
      <c r="AK38" s="45"/>
    </row>
    <row r="39" ht="12.0" customHeight="1">
      <c r="A39" s="68"/>
      <c r="B39" s="68"/>
      <c r="C39" s="68"/>
      <c r="D39" s="68"/>
      <c r="E39" s="68"/>
      <c r="F39" s="77"/>
      <c r="G39" s="78" t="s">
        <v>25</v>
      </c>
      <c r="H39" s="79">
        <f>IF(G39="",0,2)</f>
        <v>2</v>
      </c>
      <c r="I39" s="72"/>
      <c r="J39" s="79">
        <f>IF(I39="",0,2)</f>
        <v>0</v>
      </c>
      <c r="K39" s="80" t="s">
        <v>89</v>
      </c>
      <c r="L39" s="45"/>
      <c r="M39" s="77"/>
      <c r="N39" s="78"/>
      <c r="O39" s="79">
        <f>IF(N39="",0,2)</f>
        <v>0</v>
      </c>
      <c r="P39" s="72"/>
      <c r="Q39" s="79">
        <f>IF(P39="",0,2)</f>
        <v>0</v>
      </c>
      <c r="R39" s="75" t="s">
        <v>90</v>
      </c>
      <c r="S39" s="45"/>
      <c r="T39" s="77"/>
      <c r="U39" s="78"/>
      <c r="V39" s="79">
        <f>IF(U39="",0,2)</f>
        <v>0</v>
      </c>
      <c r="W39" s="72"/>
      <c r="X39" s="79">
        <f>IF(W39="",0,2)</f>
        <v>0</v>
      </c>
      <c r="Y39" s="75" t="s">
        <v>91</v>
      </c>
      <c r="Z39" s="45"/>
      <c r="AA39" s="76"/>
      <c r="AB39" s="45"/>
      <c r="AC39" s="45"/>
      <c r="AD39" s="45"/>
      <c r="AE39" s="45"/>
      <c r="AF39" s="45"/>
      <c r="AG39" s="45"/>
      <c r="AH39" s="45"/>
      <c r="AI39" s="45"/>
      <c r="AJ39" s="45"/>
      <c r="AK39" s="45"/>
    </row>
    <row r="40" ht="12.0" customHeight="1">
      <c r="A40" s="68"/>
      <c r="B40" s="68"/>
      <c r="C40" s="68"/>
      <c r="D40" s="68"/>
      <c r="E40" s="68"/>
      <c r="F40" s="77"/>
      <c r="G40" s="78"/>
      <c r="H40" s="79">
        <f>IF(G40="",0,3)</f>
        <v>0</v>
      </c>
      <c r="I40" s="72"/>
      <c r="J40" s="79">
        <f>IF(I40="",0,3)</f>
        <v>0</v>
      </c>
      <c r="K40" s="80" t="s">
        <v>92</v>
      </c>
      <c r="L40" s="45"/>
      <c r="M40" s="77"/>
      <c r="N40" s="78"/>
      <c r="O40" s="79">
        <f>IF(N40="",0,3)</f>
        <v>0</v>
      </c>
      <c r="P40" s="72"/>
      <c r="Q40" s="79">
        <f>IF(P40="",0,3)</f>
        <v>0</v>
      </c>
      <c r="R40" s="75" t="s">
        <v>93</v>
      </c>
      <c r="S40" s="45"/>
      <c r="T40" s="77"/>
      <c r="U40" s="78" t="s">
        <v>25</v>
      </c>
      <c r="V40" s="79">
        <f>IF(U40="",0,3)</f>
        <v>3</v>
      </c>
      <c r="W40" s="72"/>
      <c r="X40" s="79">
        <f>IF(W40="",0,3)</f>
        <v>0</v>
      </c>
      <c r="Y40" s="75" t="s">
        <v>94</v>
      </c>
      <c r="Z40" s="45"/>
      <c r="AA40" s="76"/>
      <c r="AB40" s="45"/>
      <c r="AC40" s="45"/>
      <c r="AD40" s="45"/>
      <c r="AE40" s="45"/>
      <c r="AF40" s="45"/>
      <c r="AG40" s="45"/>
      <c r="AH40" s="45"/>
      <c r="AI40" s="45"/>
      <c r="AJ40" s="45"/>
      <c r="AK40" s="45"/>
    </row>
    <row r="41" ht="12.75" customHeight="1">
      <c r="A41" s="68"/>
      <c r="B41" s="68"/>
      <c r="C41" s="68"/>
      <c r="D41" s="68"/>
      <c r="E41" s="68"/>
      <c r="F41" s="82"/>
      <c r="G41" s="83"/>
      <c r="H41" s="84">
        <f>IF(G41="",0,4)</f>
        <v>0</v>
      </c>
      <c r="I41" s="85"/>
      <c r="J41" s="84">
        <f>IF(I41="",0,4)</f>
        <v>0</v>
      </c>
      <c r="K41" s="86" t="s">
        <v>95</v>
      </c>
      <c r="L41" s="45"/>
      <c r="M41" s="82"/>
      <c r="N41" s="83" t="s">
        <v>25</v>
      </c>
      <c r="O41" s="84">
        <f>IF(N41="",0,4)</f>
        <v>4</v>
      </c>
      <c r="P41" s="85"/>
      <c r="Q41" s="84">
        <f>IF(P41="",0,4)</f>
        <v>0</v>
      </c>
      <c r="R41" s="87" t="s">
        <v>96</v>
      </c>
      <c r="S41" s="45"/>
      <c r="T41" s="82"/>
      <c r="U41" s="83"/>
      <c r="V41" s="84">
        <f>IF(U41="",0,4)</f>
        <v>0</v>
      </c>
      <c r="W41" s="85" t="s">
        <v>25</v>
      </c>
      <c r="X41" s="84">
        <f>IF(W41="",0,4)</f>
        <v>4</v>
      </c>
      <c r="Y41" s="87" t="s">
        <v>87</v>
      </c>
      <c r="Z41" s="45"/>
      <c r="AA41" s="76"/>
      <c r="AB41" s="45"/>
      <c r="AC41" s="45"/>
      <c r="AD41" s="45"/>
      <c r="AE41" s="45"/>
      <c r="AF41" s="45"/>
      <c r="AG41" s="45"/>
      <c r="AH41" s="45"/>
      <c r="AI41" s="45"/>
      <c r="AJ41" s="45"/>
      <c r="AK41" s="45"/>
    </row>
    <row r="42" ht="6.0" customHeight="1">
      <c r="A42" s="67"/>
      <c r="B42" s="67"/>
      <c r="C42" s="67"/>
      <c r="D42" s="67"/>
      <c r="E42" s="67"/>
      <c r="F42" s="67"/>
      <c r="G42" s="88">
        <f>(COUNTIF(G38:G41,"x"))</f>
        <v>1</v>
      </c>
      <c r="H42" s="88">
        <f>SUM(H38:H41)</f>
        <v>2</v>
      </c>
      <c r="I42" s="88">
        <f>(COUNTIF(I38:I41,"x"))</f>
        <v>1</v>
      </c>
      <c r="J42" s="88">
        <f>SUM(J38:J41)</f>
        <v>1</v>
      </c>
      <c r="K42" s="76"/>
      <c r="L42" s="76"/>
      <c r="M42" s="67"/>
      <c r="N42" s="88">
        <f>(COUNTIF(N38:N41,"x"))</f>
        <v>1</v>
      </c>
      <c r="O42" s="88">
        <f>SUM(O38:O41)</f>
        <v>4</v>
      </c>
      <c r="P42" s="88">
        <f>(COUNTIF(P38:P41,"x"))</f>
        <v>1</v>
      </c>
      <c r="Q42" s="88">
        <f>SUM(Q38:Q41)</f>
        <v>1</v>
      </c>
      <c r="R42" s="76"/>
      <c r="S42" s="76"/>
      <c r="T42" s="67"/>
      <c r="U42" s="88">
        <f>(COUNTIF(U38:U41,"x"))</f>
        <v>1</v>
      </c>
      <c r="V42" s="88">
        <f>SUM(V38:V41)</f>
        <v>3</v>
      </c>
      <c r="W42" s="88">
        <f>(COUNTIF(W38:W41,"x"))</f>
        <v>1</v>
      </c>
      <c r="X42" s="88">
        <f>SUM(X38:X41)</f>
        <v>4</v>
      </c>
      <c r="Y42" s="76"/>
      <c r="Z42" s="45"/>
      <c r="AA42" s="76">
        <f>SUM(G42,I42,N42,P42,U42,W42)</f>
        <v>6</v>
      </c>
      <c r="AB42" s="45"/>
      <c r="AC42" s="45"/>
      <c r="AD42" s="45"/>
      <c r="AE42" s="45"/>
      <c r="AF42" s="45"/>
      <c r="AG42" s="45"/>
      <c r="AH42" s="45"/>
      <c r="AI42" s="45"/>
      <c r="AJ42" s="45"/>
      <c r="AK42" s="45"/>
    </row>
    <row r="43" ht="12.75" customHeight="1">
      <c r="A43" s="58"/>
      <c r="B43" s="58"/>
      <c r="C43" s="58"/>
      <c r="D43" s="58"/>
      <c r="E43" s="58"/>
      <c r="F43" s="60" t="s">
        <v>22</v>
      </c>
      <c r="G43" s="61" t="s">
        <v>5</v>
      </c>
      <c r="H43" s="62"/>
      <c r="I43" s="63" t="s">
        <v>6</v>
      </c>
      <c r="J43" s="62"/>
      <c r="K43" s="65" t="s">
        <v>23</v>
      </c>
      <c r="L43" s="58"/>
      <c r="M43" s="60" t="s">
        <v>22</v>
      </c>
      <c r="N43" s="61" t="s">
        <v>5</v>
      </c>
      <c r="O43" s="62"/>
      <c r="P43" s="63" t="s">
        <v>6</v>
      </c>
      <c r="Q43" s="62"/>
      <c r="R43" s="65" t="s">
        <v>23</v>
      </c>
      <c r="S43" s="58"/>
      <c r="T43" s="60" t="s">
        <v>22</v>
      </c>
      <c r="U43" s="61" t="s">
        <v>5</v>
      </c>
      <c r="V43" s="62"/>
      <c r="W43" s="63" t="s">
        <v>6</v>
      </c>
      <c r="X43" s="62"/>
      <c r="Y43" s="65" t="s">
        <v>23</v>
      </c>
      <c r="Z43" s="58"/>
      <c r="AA43" s="67"/>
      <c r="AB43" s="58"/>
      <c r="AC43" s="58"/>
      <c r="AD43" s="58"/>
      <c r="AE43" s="58"/>
      <c r="AF43" s="58"/>
      <c r="AG43" s="58"/>
      <c r="AH43" s="58"/>
      <c r="AI43" s="58"/>
      <c r="AJ43" s="58"/>
      <c r="AK43" s="58"/>
    </row>
    <row r="44" ht="12.0" customHeight="1">
      <c r="A44" s="68"/>
      <c r="B44" s="68"/>
      <c r="C44" s="68"/>
      <c r="D44" s="68"/>
      <c r="E44" s="68"/>
      <c r="F44" s="69">
        <f>F38+1</f>
        <v>7</v>
      </c>
      <c r="G44" s="70"/>
      <c r="H44" s="71">
        <f>IF(G44="",0,1)</f>
        <v>0</v>
      </c>
      <c r="I44" s="74" t="s">
        <v>25</v>
      </c>
      <c r="J44" s="71">
        <f>IF(I44="",0,1)</f>
        <v>1</v>
      </c>
      <c r="K44" s="73" t="s">
        <v>97</v>
      </c>
      <c r="L44" s="45"/>
      <c r="M44" s="69">
        <f>M38+1</f>
        <v>15</v>
      </c>
      <c r="N44" s="70"/>
      <c r="O44" s="71">
        <f>IF(N44="",0,1)</f>
        <v>0</v>
      </c>
      <c r="P44" s="74"/>
      <c r="Q44" s="71">
        <f>IF(P44="",0,1)</f>
        <v>0</v>
      </c>
      <c r="R44" s="90" t="s">
        <v>98</v>
      </c>
      <c r="S44" s="45"/>
      <c r="T44" s="69">
        <f>T38+1</f>
        <v>23</v>
      </c>
      <c r="U44" s="70"/>
      <c r="V44" s="71">
        <f>IF(U44="",0,1)</f>
        <v>0</v>
      </c>
      <c r="W44" s="74"/>
      <c r="X44" s="71">
        <f>IF(W44="",0,1)</f>
        <v>0</v>
      </c>
      <c r="Y44" s="75" t="s">
        <v>99</v>
      </c>
      <c r="Z44" s="45"/>
      <c r="AA44" s="76"/>
      <c r="AB44" s="45"/>
      <c r="AC44" s="45"/>
      <c r="AD44" s="45"/>
      <c r="AE44" s="45"/>
      <c r="AF44" s="45"/>
      <c r="AG44" s="45"/>
      <c r="AH44" s="45"/>
      <c r="AI44" s="45"/>
      <c r="AJ44" s="45"/>
      <c r="AK44" s="45"/>
    </row>
    <row r="45" ht="12.0" customHeight="1">
      <c r="A45" s="68"/>
      <c r="B45" s="68"/>
      <c r="C45" s="68"/>
      <c r="D45" s="68"/>
      <c r="E45" s="68"/>
      <c r="F45" s="77"/>
      <c r="G45" s="78" t="s">
        <v>25</v>
      </c>
      <c r="H45" s="79">
        <f>IF(G45="",0,2)</f>
        <v>2</v>
      </c>
      <c r="I45" s="72"/>
      <c r="J45" s="79">
        <f>IF(I45="",0,2)</f>
        <v>0</v>
      </c>
      <c r="K45" s="80" t="s">
        <v>100</v>
      </c>
      <c r="L45" s="45"/>
      <c r="M45" s="77"/>
      <c r="N45" s="78" t="s">
        <v>25</v>
      </c>
      <c r="O45" s="79">
        <f>IF(N45="",0,2)</f>
        <v>2</v>
      </c>
      <c r="P45" s="72"/>
      <c r="Q45" s="79">
        <f>IF(P45="",0,2)</f>
        <v>0</v>
      </c>
      <c r="R45" s="75" t="s">
        <v>101</v>
      </c>
      <c r="S45" s="45"/>
      <c r="T45" s="77"/>
      <c r="U45" s="78" t="s">
        <v>25</v>
      </c>
      <c r="V45" s="79">
        <f>IF(U45="",0,2)</f>
        <v>2</v>
      </c>
      <c r="W45" s="72"/>
      <c r="X45" s="79">
        <f>IF(W45="",0,2)</f>
        <v>0</v>
      </c>
      <c r="Y45" s="75" t="s">
        <v>102</v>
      </c>
      <c r="Z45" s="45"/>
      <c r="AA45" s="76"/>
      <c r="AB45" s="45"/>
      <c r="AC45" s="45"/>
      <c r="AD45" s="45"/>
      <c r="AE45" s="45"/>
      <c r="AF45" s="45"/>
      <c r="AG45" s="45"/>
      <c r="AH45" s="45"/>
      <c r="AI45" s="45"/>
      <c r="AJ45" s="45"/>
      <c r="AK45" s="45"/>
    </row>
    <row r="46" ht="12.0" customHeight="1">
      <c r="A46" s="68"/>
      <c r="B46" s="68"/>
      <c r="C46" s="68"/>
      <c r="D46" s="68"/>
      <c r="E46" s="68"/>
      <c r="F46" s="77"/>
      <c r="G46" s="78"/>
      <c r="H46" s="79">
        <f>IF(G46="",0,3)</f>
        <v>0</v>
      </c>
      <c r="I46" s="72"/>
      <c r="J46" s="79">
        <f>IF(I46="",0,3)</f>
        <v>0</v>
      </c>
      <c r="K46" s="80" t="s">
        <v>103</v>
      </c>
      <c r="L46" s="45"/>
      <c r="M46" s="77"/>
      <c r="N46" s="78"/>
      <c r="O46" s="79">
        <f>IF(N46="",0,3)</f>
        <v>0</v>
      </c>
      <c r="P46" s="72"/>
      <c r="Q46" s="79">
        <f>IF(P46="",0,3)</f>
        <v>0</v>
      </c>
      <c r="R46" s="75" t="s">
        <v>104</v>
      </c>
      <c r="S46" s="45"/>
      <c r="T46" s="77"/>
      <c r="U46" s="78"/>
      <c r="V46" s="79">
        <f>IF(U46="",0,3)</f>
        <v>0</v>
      </c>
      <c r="W46" s="72" t="s">
        <v>25</v>
      </c>
      <c r="X46" s="79">
        <f>IF(W46="",0,3)</f>
        <v>3</v>
      </c>
      <c r="Y46" s="75" t="s">
        <v>105</v>
      </c>
      <c r="Z46" s="45"/>
      <c r="AA46" s="76"/>
      <c r="AB46" s="45"/>
      <c r="AC46" s="45"/>
      <c r="AD46" s="45"/>
      <c r="AE46" s="45"/>
      <c r="AF46" s="45"/>
      <c r="AG46" s="45"/>
      <c r="AH46" s="45"/>
      <c r="AI46" s="45"/>
      <c r="AJ46" s="45"/>
      <c r="AK46" s="45"/>
    </row>
    <row r="47" ht="12.75" customHeight="1">
      <c r="A47" s="68"/>
      <c r="B47" s="68"/>
      <c r="C47" s="68"/>
      <c r="D47" s="68"/>
      <c r="E47" s="68"/>
      <c r="F47" s="82"/>
      <c r="G47" s="83"/>
      <c r="H47" s="84">
        <f>IF(G47="",0,4)</f>
        <v>0</v>
      </c>
      <c r="I47" s="85"/>
      <c r="J47" s="84">
        <f>IF(I47="",0,4)</f>
        <v>0</v>
      </c>
      <c r="K47" s="86" t="s">
        <v>106</v>
      </c>
      <c r="L47" s="45"/>
      <c r="M47" s="82"/>
      <c r="N47" s="83"/>
      <c r="O47" s="84">
        <f>IF(N47="",0,4)</f>
        <v>0</v>
      </c>
      <c r="P47" s="85" t="s">
        <v>25</v>
      </c>
      <c r="Q47" s="84">
        <f>IF(P47="",0,4)</f>
        <v>4</v>
      </c>
      <c r="R47" s="91" t="s">
        <v>107</v>
      </c>
      <c r="S47" s="45"/>
      <c r="T47" s="82"/>
      <c r="U47" s="83"/>
      <c r="V47" s="84">
        <f>IF(U47="",0,4)</f>
        <v>0</v>
      </c>
      <c r="W47" s="85"/>
      <c r="X47" s="84">
        <f>IF(W47="",0,4)</f>
        <v>0</v>
      </c>
      <c r="Y47" s="87" t="s">
        <v>108</v>
      </c>
      <c r="Z47" s="45"/>
      <c r="AA47" s="76"/>
      <c r="AB47" s="45"/>
      <c r="AC47" s="45"/>
      <c r="AD47" s="45"/>
      <c r="AE47" s="45"/>
      <c r="AF47" s="45"/>
      <c r="AG47" s="45"/>
      <c r="AH47" s="45"/>
      <c r="AI47" s="45"/>
      <c r="AJ47" s="45"/>
      <c r="AK47" s="45"/>
    </row>
    <row r="48" ht="6.0" customHeight="1">
      <c r="A48" s="67"/>
      <c r="B48" s="67"/>
      <c r="C48" s="67"/>
      <c r="D48" s="67"/>
      <c r="E48" s="67"/>
      <c r="F48" s="67"/>
      <c r="G48" s="88">
        <f>(COUNTIF(G44:G47,"x"))</f>
        <v>1</v>
      </c>
      <c r="H48" s="88">
        <f>SUM(H44:H47)</f>
        <v>2</v>
      </c>
      <c r="I48" s="88">
        <f>(COUNTIF(I44:I47,"x"))</f>
        <v>1</v>
      </c>
      <c r="J48" s="88">
        <f>SUM(J44:J47)</f>
        <v>1</v>
      </c>
      <c r="K48" s="76"/>
      <c r="L48" s="76"/>
      <c r="M48" s="67"/>
      <c r="N48" s="88">
        <f>(COUNTIF(N44:N47,"x"))</f>
        <v>1</v>
      </c>
      <c r="O48" s="88">
        <f>SUM(O44:O47)</f>
        <v>2</v>
      </c>
      <c r="P48" s="88">
        <f>(COUNTIF(P44:P47,"x"))</f>
        <v>1</v>
      </c>
      <c r="Q48" s="88">
        <f>SUM(Q44:Q47)</f>
        <v>4</v>
      </c>
      <c r="R48" s="76"/>
      <c r="S48" s="76"/>
      <c r="T48" s="67"/>
      <c r="U48" s="88">
        <f>(COUNTIF(U44:U47,"x"))</f>
        <v>1</v>
      </c>
      <c r="V48" s="88">
        <f>SUM(V44:V47)</f>
        <v>2</v>
      </c>
      <c r="W48" s="88">
        <f>(COUNTIF(W44:W47,"x"))</f>
        <v>1</v>
      </c>
      <c r="X48" s="88">
        <f>SUM(X44:X47)</f>
        <v>3</v>
      </c>
      <c r="Y48" s="76"/>
      <c r="Z48" s="45"/>
      <c r="AA48" s="76">
        <f>SUM(G48,I48,N48,P48,U48,W48)</f>
        <v>6</v>
      </c>
      <c r="AB48" s="45"/>
      <c r="AC48" s="45"/>
      <c r="AD48" s="45"/>
      <c r="AE48" s="45"/>
      <c r="AF48" s="45"/>
      <c r="AG48" s="45"/>
      <c r="AH48" s="45"/>
      <c r="AI48" s="45"/>
      <c r="AJ48" s="45"/>
      <c r="AK48" s="45"/>
    </row>
    <row r="49" ht="12.75" customHeight="1">
      <c r="A49" s="58"/>
      <c r="B49" s="58"/>
      <c r="C49" s="58"/>
      <c r="D49" s="58"/>
      <c r="E49" s="58"/>
      <c r="F49" s="60" t="s">
        <v>22</v>
      </c>
      <c r="G49" s="61" t="s">
        <v>5</v>
      </c>
      <c r="H49" s="62"/>
      <c r="I49" s="63" t="s">
        <v>6</v>
      </c>
      <c r="J49" s="62"/>
      <c r="K49" s="65" t="s">
        <v>23</v>
      </c>
      <c r="L49" s="58"/>
      <c r="M49" s="60" t="s">
        <v>22</v>
      </c>
      <c r="N49" s="61" t="s">
        <v>5</v>
      </c>
      <c r="O49" s="62"/>
      <c r="P49" s="63" t="s">
        <v>6</v>
      </c>
      <c r="Q49" s="62"/>
      <c r="R49" s="65" t="s">
        <v>23</v>
      </c>
      <c r="S49" s="58"/>
      <c r="T49" s="60" t="s">
        <v>22</v>
      </c>
      <c r="U49" s="61" t="s">
        <v>5</v>
      </c>
      <c r="V49" s="62"/>
      <c r="W49" s="63" t="s">
        <v>6</v>
      </c>
      <c r="X49" s="62"/>
      <c r="Y49" s="65" t="s">
        <v>23</v>
      </c>
      <c r="Z49" s="58"/>
      <c r="AA49" s="67"/>
      <c r="AB49" s="58"/>
      <c r="AC49" s="58"/>
      <c r="AD49" s="58"/>
      <c r="AE49" s="58"/>
      <c r="AF49" s="58"/>
      <c r="AG49" s="58"/>
      <c r="AH49" s="58"/>
      <c r="AI49" s="58"/>
      <c r="AJ49" s="58"/>
      <c r="AK49" s="58"/>
    </row>
    <row r="50" ht="12.0" customHeight="1">
      <c r="A50" s="68"/>
      <c r="B50" s="68"/>
      <c r="C50" s="68"/>
      <c r="D50" s="68"/>
      <c r="E50" s="68"/>
      <c r="F50" s="69">
        <f>F44+1</f>
        <v>8</v>
      </c>
      <c r="G50" s="70" t="s">
        <v>25</v>
      </c>
      <c r="H50" s="71">
        <f>IF(G50="",0,1)</f>
        <v>1</v>
      </c>
      <c r="I50" s="74"/>
      <c r="J50" s="71">
        <f>IF(I50="",0,1)</f>
        <v>0</v>
      </c>
      <c r="K50" s="73" t="s">
        <v>109</v>
      </c>
      <c r="L50" s="45"/>
      <c r="M50" s="69">
        <f>M44+1</f>
        <v>16</v>
      </c>
      <c r="N50" s="70"/>
      <c r="O50" s="71">
        <f>IF(N50="",0,1)</f>
        <v>0</v>
      </c>
      <c r="P50" s="74" t="s">
        <v>25</v>
      </c>
      <c r="Q50" s="71">
        <f>IF(P50="",0,1)</f>
        <v>1</v>
      </c>
      <c r="R50" s="75" t="s">
        <v>110</v>
      </c>
      <c r="S50" s="45"/>
      <c r="T50" s="69">
        <f>T44+1</f>
        <v>24</v>
      </c>
      <c r="U50" s="70" t="s">
        <v>25</v>
      </c>
      <c r="V50" s="71">
        <f>IF(U50="",0,1)</f>
        <v>1</v>
      </c>
      <c r="W50" s="74"/>
      <c r="X50" s="71">
        <f>IF(W50="",0,1)</f>
        <v>0</v>
      </c>
      <c r="Y50" s="75" t="s">
        <v>111</v>
      </c>
      <c r="Z50" s="45"/>
      <c r="AA50" s="76"/>
      <c r="AB50" s="45"/>
      <c r="AC50" s="45"/>
      <c r="AD50" s="45"/>
      <c r="AE50" s="45"/>
      <c r="AF50" s="45"/>
      <c r="AG50" s="45"/>
      <c r="AH50" s="45"/>
      <c r="AI50" s="45"/>
      <c r="AJ50" s="45"/>
      <c r="AK50" s="45"/>
    </row>
    <row r="51" ht="12.0" customHeight="1">
      <c r="A51" s="68"/>
      <c r="B51" s="68"/>
      <c r="C51" s="68"/>
      <c r="D51" s="68"/>
      <c r="E51" s="68"/>
      <c r="F51" s="77"/>
      <c r="G51" s="78"/>
      <c r="H51" s="79">
        <f>IF(G51="",0,2)</f>
        <v>0</v>
      </c>
      <c r="I51" s="72" t="s">
        <v>25</v>
      </c>
      <c r="J51" s="79">
        <f>IF(I51="",0,2)</f>
        <v>2</v>
      </c>
      <c r="K51" s="80" t="s">
        <v>112</v>
      </c>
      <c r="L51" s="45"/>
      <c r="M51" s="77"/>
      <c r="N51" s="78" t="s">
        <v>25</v>
      </c>
      <c r="O51" s="79">
        <f>IF(N51="",0,2)</f>
        <v>2</v>
      </c>
      <c r="P51" s="72"/>
      <c r="Q51" s="79">
        <f>IF(P51="",0,2)</f>
        <v>0</v>
      </c>
      <c r="R51" s="75" t="s">
        <v>113</v>
      </c>
      <c r="S51" s="45"/>
      <c r="T51" s="77"/>
      <c r="U51" s="78"/>
      <c r="V51" s="79">
        <f>IF(U51="",0,2)</f>
        <v>0</v>
      </c>
      <c r="W51" s="72"/>
      <c r="X51" s="79">
        <f>IF(W51="",0,2)</f>
        <v>0</v>
      </c>
      <c r="Y51" s="75" t="s">
        <v>114</v>
      </c>
      <c r="Z51" s="45"/>
      <c r="AA51" s="76"/>
      <c r="AB51" s="45"/>
      <c r="AC51" s="45"/>
      <c r="AD51" s="45"/>
      <c r="AE51" s="45"/>
      <c r="AF51" s="45"/>
      <c r="AG51" s="45"/>
      <c r="AH51" s="45"/>
      <c r="AI51" s="45"/>
      <c r="AJ51" s="45"/>
      <c r="AK51" s="45"/>
    </row>
    <row r="52" ht="12.0" customHeight="1">
      <c r="A52" s="68"/>
      <c r="B52" s="68"/>
      <c r="C52" s="68"/>
      <c r="D52" s="68"/>
      <c r="E52" s="68"/>
      <c r="F52" s="77"/>
      <c r="G52" s="78"/>
      <c r="H52" s="79">
        <f>IF(G52="",0,3)</f>
        <v>0</v>
      </c>
      <c r="I52" s="72"/>
      <c r="J52" s="79">
        <f>IF(I52="",0,3)</f>
        <v>0</v>
      </c>
      <c r="K52" s="80" t="s">
        <v>115</v>
      </c>
      <c r="L52" s="45"/>
      <c r="M52" s="77"/>
      <c r="N52" s="78"/>
      <c r="O52" s="79">
        <f>IF(N52="",0,3)</f>
        <v>0</v>
      </c>
      <c r="P52" s="72"/>
      <c r="Q52" s="79">
        <f>IF(P52="",0,3)</f>
        <v>0</v>
      </c>
      <c r="R52" s="75" t="s">
        <v>116</v>
      </c>
      <c r="S52" s="45"/>
      <c r="T52" s="77"/>
      <c r="U52" s="78"/>
      <c r="V52" s="79">
        <f>IF(U52="",0,3)</f>
        <v>0</v>
      </c>
      <c r="W52" s="72"/>
      <c r="X52" s="79">
        <f>IF(W52="",0,3)</f>
        <v>0</v>
      </c>
      <c r="Y52" s="75" t="s">
        <v>117</v>
      </c>
      <c r="Z52" s="45"/>
      <c r="AA52" s="76"/>
      <c r="AB52" s="45"/>
      <c r="AC52" s="45"/>
      <c r="AD52" s="45"/>
      <c r="AE52" s="45"/>
      <c r="AF52" s="45"/>
      <c r="AG52" s="45"/>
      <c r="AH52" s="45"/>
      <c r="AI52" s="45"/>
      <c r="AJ52" s="45"/>
      <c r="AK52" s="45"/>
    </row>
    <row r="53" ht="12.75" customHeight="1">
      <c r="A53" s="68"/>
      <c r="B53" s="68"/>
      <c r="C53" s="68"/>
      <c r="D53" s="68"/>
      <c r="E53" s="68"/>
      <c r="F53" s="82"/>
      <c r="G53" s="83"/>
      <c r="H53" s="84">
        <f>IF(G53="",0,4)</f>
        <v>0</v>
      </c>
      <c r="I53" s="85"/>
      <c r="J53" s="84">
        <f>IF(I53="",0,4)</f>
        <v>0</v>
      </c>
      <c r="K53" s="86" t="s">
        <v>118</v>
      </c>
      <c r="L53" s="45"/>
      <c r="M53" s="82"/>
      <c r="N53" s="83"/>
      <c r="O53" s="84">
        <f>IF(N53="",0,4)</f>
        <v>0</v>
      </c>
      <c r="P53" s="85"/>
      <c r="Q53" s="84">
        <f>IF(P53="",0,4)</f>
        <v>0</v>
      </c>
      <c r="R53" s="87" t="s">
        <v>119</v>
      </c>
      <c r="S53" s="45"/>
      <c r="T53" s="82"/>
      <c r="U53" s="83"/>
      <c r="V53" s="84">
        <f>IF(U53="",0,4)</f>
        <v>0</v>
      </c>
      <c r="W53" s="85" t="s">
        <v>25</v>
      </c>
      <c r="X53" s="84">
        <f>IF(W53="",0,4)</f>
        <v>4</v>
      </c>
      <c r="Y53" s="87" t="s">
        <v>120</v>
      </c>
      <c r="Z53" s="45"/>
      <c r="AA53" s="76"/>
      <c r="AB53" s="45"/>
      <c r="AC53" s="45"/>
      <c r="AD53" s="45"/>
      <c r="AE53" s="45"/>
      <c r="AF53" s="45"/>
      <c r="AG53" s="45"/>
      <c r="AH53" s="45"/>
      <c r="AI53" s="45"/>
      <c r="AJ53" s="45"/>
      <c r="AK53" s="45"/>
    </row>
    <row r="54" ht="6.0" customHeight="1">
      <c r="A54" s="67"/>
      <c r="B54" s="67"/>
      <c r="C54" s="67"/>
      <c r="D54" s="67"/>
      <c r="E54" s="67"/>
      <c r="F54" s="67"/>
      <c r="G54" s="88">
        <f>(COUNTIF(G50:G53,"x"))</f>
        <v>1</v>
      </c>
      <c r="H54" s="88">
        <f>SUM(H50:H53)</f>
        <v>1</v>
      </c>
      <c r="I54" s="88">
        <f>(COUNTIF(I50:I53,"x"))</f>
        <v>1</v>
      </c>
      <c r="J54" s="88">
        <f>SUM(J50:J53)</f>
        <v>2</v>
      </c>
      <c r="K54" s="76"/>
      <c r="L54" s="76"/>
      <c r="M54" s="67"/>
      <c r="N54" s="88">
        <f>(COUNTIF(N50:N53,"x"))</f>
        <v>1</v>
      </c>
      <c r="O54" s="88">
        <f>SUM(O50:O53)</f>
        <v>2</v>
      </c>
      <c r="P54" s="88">
        <f>(COUNTIF(P50:P53,"x"))</f>
        <v>1</v>
      </c>
      <c r="Q54" s="88">
        <f>SUM(Q50:Q53)</f>
        <v>1</v>
      </c>
      <c r="R54" s="76"/>
      <c r="S54" s="76"/>
      <c r="T54" s="67"/>
      <c r="U54" s="88">
        <f>(COUNTIF(U50:U53,"x"))</f>
        <v>1</v>
      </c>
      <c r="V54" s="88">
        <f>SUM(V50:V53)</f>
        <v>1</v>
      </c>
      <c r="W54" s="88">
        <f>(COUNTIF(W50:W53,"x"))</f>
        <v>1</v>
      </c>
      <c r="X54" s="88">
        <f>SUM(X50:X53)</f>
        <v>4</v>
      </c>
      <c r="Y54" s="76"/>
      <c r="Z54" s="45"/>
      <c r="AA54" s="76">
        <f>SUM(G54,I54,N54,P54,U54,W54)</f>
        <v>6</v>
      </c>
      <c r="AB54" s="45"/>
      <c r="AC54" s="45"/>
      <c r="AD54" s="45"/>
      <c r="AE54" s="45"/>
      <c r="AF54" s="45"/>
      <c r="AG54" s="45"/>
      <c r="AH54" s="45"/>
      <c r="AI54" s="45"/>
      <c r="AJ54" s="45"/>
      <c r="AK54" s="45"/>
    </row>
    <row r="55" ht="12.0" customHeight="1">
      <c r="A55" s="92"/>
      <c r="B55" s="92"/>
      <c r="C55" s="92"/>
      <c r="D55" s="92"/>
      <c r="E55" s="92"/>
      <c r="F55" s="92" t="str">
        <f>IF(SUM(AA12,AA18,AA24,AA30,AA36,AA42,AA48,AA54)=0,"",IF(SUM(AA12,AA18,AA24,AA30,AA36,AA42,AA48,AA54)=48,"","PERIKSA LAGI! ADA KESALAHAN PENGISIAN!"))</f>
        <v/>
      </c>
      <c r="Z55" s="45"/>
      <c r="AA55" s="45"/>
      <c r="AB55" s="45"/>
      <c r="AC55" s="45"/>
      <c r="AD55" s="45"/>
      <c r="AE55" s="45"/>
      <c r="AF55" s="45"/>
      <c r="AG55" s="45"/>
      <c r="AH55" s="45"/>
      <c r="AI55" s="45"/>
      <c r="AJ55" s="45"/>
      <c r="AK55" s="45"/>
    </row>
    <row r="56" ht="21.0" customHeight="1">
      <c r="A56" s="93"/>
      <c r="B56" s="93"/>
      <c r="C56" s="93"/>
      <c r="D56" s="93"/>
      <c r="E56" s="93"/>
      <c r="F56" s="93" t="str">
        <f>IF(SUM(AA12,AA18,AA24,AA30,AA36,AA42,AA48,AA54)=48,"OK!!!!!","")</f>
        <v>OK!!!!!</v>
      </c>
      <c r="Z56" s="45"/>
      <c r="AA56" s="45"/>
      <c r="AB56" s="45"/>
      <c r="AC56" s="45"/>
      <c r="AD56" s="45"/>
      <c r="AE56" s="45"/>
      <c r="AF56" s="45"/>
      <c r="AG56" s="45"/>
      <c r="AH56" s="45"/>
      <c r="AI56" s="45"/>
      <c r="AJ56" s="45"/>
      <c r="AK56" s="45"/>
    </row>
    <row r="57" ht="12.0" customHeight="1">
      <c r="A57" s="58"/>
      <c r="B57" s="58"/>
      <c r="C57" s="58"/>
      <c r="D57" s="58"/>
      <c r="E57" s="58"/>
      <c r="F57" s="58"/>
      <c r="G57" s="59"/>
      <c r="H57" s="59"/>
      <c r="I57" s="59"/>
      <c r="J57" s="59"/>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row>
    <row r="58" ht="12.0" customHeight="1">
      <c r="A58" s="58"/>
      <c r="B58" s="58"/>
      <c r="C58" s="58"/>
      <c r="D58" s="58"/>
      <c r="E58" s="58"/>
      <c r="F58" s="58"/>
      <c r="G58" s="59"/>
      <c r="H58" s="59"/>
      <c r="I58" s="59"/>
      <c r="J58" s="59"/>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row>
    <row r="59" ht="12.0" customHeight="1">
      <c r="A59" s="58"/>
      <c r="B59" s="58"/>
      <c r="C59" s="58"/>
      <c r="D59" s="58"/>
      <c r="E59" s="58"/>
      <c r="F59" s="58"/>
      <c r="G59" s="59"/>
      <c r="H59" s="59"/>
      <c r="I59" s="59"/>
      <c r="J59" s="59"/>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row>
    <row r="60" ht="12.0" customHeight="1">
      <c r="A60" s="58"/>
      <c r="B60" s="58"/>
      <c r="C60" s="58"/>
      <c r="D60" s="58"/>
      <c r="E60" s="58"/>
      <c r="F60" s="58"/>
      <c r="G60" s="59"/>
      <c r="H60" s="59"/>
      <c r="I60" s="59"/>
      <c r="J60" s="59"/>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row>
    <row r="61" ht="12.0" customHeight="1">
      <c r="A61" s="58"/>
      <c r="B61" s="58"/>
      <c r="C61" s="58"/>
      <c r="D61" s="58"/>
      <c r="E61" s="58"/>
      <c r="F61" s="58"/>
      <c r="G61" s="59"/>
      <c r="H61" s="59"/>
      <c r="I61" s="59"/>
      <c r="J61" s="59"/>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row>
    <row r="62" ht="12.0" customHeight="1">
      <c r="A62" s="58"/>
      <c r="B62" s="58"/>
      <c r="C62" s="58"/>
      <c r="D62" s="58"/>
      <c r="E62" s="58"/>
      <c r="F62" s="58"/>
      <c r="G62" s="59"/>
      <c r="H62" s="59"/>
      <c r="I62" s="59"/>
      <c r="J62" s="59"/>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row>
    <row r="63" ht="12.0" customHeight="1">
      <c r="A63" s="58"/>
      <c r="B63" s="58"/>
      <c r="C63" s="58"/>
      <c r="D63" s="58"/>
      <c r="E63" s="58"/>
      <c r="F63" s="58"/>
      <c r="G63" s="59"/>
      <c r="H63" s="59"/>
      <c r="I63" s="59"/>
      <c r="J63" s="59"/>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row>
    <row r="64" ht="12.0" customHeight="1">
      <c r="A64" s="58"/>
      <c r="B64" s="58"/>
      <c r="C64" s="58"/>
      <c r="D64" s="58"/>
      <c r="E64" s="58"/>
      <c r="F64" s="58"/>
      <c r="G64" s="59"/>
      <c r="H64" s="59"/>
      <c r="I64" s="59"/>
      <c r="J64" s="59"/>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row>
    <row r="65" ht="12.0" customHeight="1">
      <c r="A65" s="58"/>
      <c r="B65" s="58"/>
      <c r="C65" s="58"/>
      <c r="D65" s="58"/>
      <c r="E65" s="58"/>
      <c r="F65" s="58"/>
      <c r="G65" s="59"/>
      <c r="H65" s="59"/>
      <c r="I65" s="59"/>
      <c r="J65" s="59"/>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row>
    <row r="66" ht="12.0" customHeight="1">
      <c r="A66" s="58"/>
      <c r="B66" s="58"/>
      <c r="C66" s="58"/>
      <c r="D66" s="58"/>
      <c r="E66" s="58"/>
      <c r="F66" s="58"/>
      <c r="G66" s="59"/>
      <c r="H66" s="59"/>
      <c r="I66" s="59"/>
      <c r="J66" s="59"/>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row>
    <row r="67" ht="12.0" customHeight="1">
      <c r="A67" s="58"/>
      <c r="B67" s="58"/>
      <c r="C67" s="58"/>
      <c r="D67" s="58"/>
      <c r="E67" s="58"/>
      <c r="F67" s="58"/>
      <c r="G67" s="59"/>
      <c r="H67" s="59"/>
      <c r="I67" s="59"/>
      <c r="J67" s="59"/>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row>
    <row r="68" ht="12.0" customHeight="1">
      <c r="A68" s="58"/>
      <c r="B68" s="58"/>
      <c r="C68" s="58"/>
      <c r="D68" s="58"/>
      <c r="E68" s="58"/>
      <c r="F68" s="58"/>
      <c r="G68" s="59"/>
      <c r="H68" s="59"/>
      <c r="I68" s="59"/>
      <c r="J68" s="59"/>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row>
    <row r="69" ht="12.0" customHeight="1">
      <c r="A69" s="58"/>
      <c r="B69" s="58"/>
      <c r="C69" s="58"/>
      <c r="D69" s="58"/>
      <c r="E69" s="58"/>
      <c r="F69" s="58"/>
      <c r="G69" s="59"/>
      <c r="H69" s="59"/>
      <c r="I69" s="59"/>
      <c r="J69" s="59"/>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row>
    <row r="70" ht="12.0" customHeight="1">
      <c r="A70" s="58"/>
      <c r="B70" s="58"/>
      <c r="C70" s="58"/>
      <c r="D70" s="58"/>
      <c r="E70" s="58"/>
      <c r="F70" s="58"/>
      <c r="G70" s="59"/>
      <c r="H70" s="59"/>
      <c r="I70" s="59"/>
      <c r="J70" s="59"/>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row>
    <row r="71" ht="12.0" customHeight="1">
      <c r="A71" s="58"/>
      <c r="B71" s="58"/>
      <c r="C71" s="58"/>
      <c r="D71" s="58"/>
      <c r="E71" s="58"/>
      <c r="F71" s="58"/>
      <c r="G71" s="59"/>
      <c r="H71" s="59"/>
      <c r="I71" s="59"/>
      <c r="J71" s="59"/>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row>
    <row r="72" ht="12.0" customHeight="1">
      <c r="A72" s="58"/>
      <c r="B72" s="58"/>
      <c r="C72" s="58"/>
      <c r="D72" s="58"/>
      <c r="E72" s="58"/>
      <c r="F72" s="58"/>
      <c r="G72" s="59"/>
      <c r="H72" s="59"/>
      <c r="I72" s="59"/>
      <c r="J72" s="59"/>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row>
    <row r="73" ht="12.0" customHeight="1">
      <c r="A73" s="58"/>
      <c r="B73" s="58"/>
      <c r="C73" s="58"/>
      <c r="D73" s="58"/>
      <c r="E73" s="58"/>
      <c r="F73" s="58"/>
      <c r="G73" s="59"/>
      <c r="H73" s="59"/>
      <c r="I73" s="59"/>
      <c r="J73" s="59"/>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row>
    <row r="74" ht="12.0" customHeight="1">
      <c r="A74" s="58"/>
      <c r="B74" s="58"/>
      <c r="C74" s="58"/>
      <c r="D74" s="58"/>
      <c r="E74" s="58"/>
      <c r="F74" s="58"/>
      <c r="G74" s="59"/>
      <c r="H74" s="59"/>
      <c r="I74" s="59"/>
      <c r="J74" s="59"/>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row>
    <row r="75" ht="12.0" customHeight="1">
      <c r="A75" s="58"/>
      <c r="B75" s="58"/>
      <c r="C75" s="58"/>
      <c r="D75" s="58"/>
      <c r="E75" s="58"/>
      <c r="F75" s="58"/>
      <c r="G75" s="59"/>
      <c r="H75" s="59"/>
      <c r="I75" s="59"/>
      <c r="J75" s="59"/>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row>
    <row r="76" ht="12.0" customHeight="1">
      <c r="A76" s="58"/>
      <c r="B76" s="58"/>
      <c r="C76" s="58"/>
      <c r="D76" s="58"/>
      <c r="E76" s="58"/>
      <c r="F76" s="58"/>
      <c r="G76" s="59"/>
      <c r="H76" s="59"/>
      <c r="I76" s="59"/>
      <c r="J76" s="59"/>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row>
    <row r="77" ht="12.0" customHeight="1">
      <c r="A77" s="58"/>
      <c r="B77" s="58"/>
      <c r="C77" s="58"/>
      <c r="D77" s="58"/>
      <c r="E77" s="58"/>
      <c r="F77" s="58"/>
      <c r="G77" s="59"/>
      <c r="H77" s="59"/>
      <c r="I77" s="59"/>
      <c r="J77" s="59"/>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row>
    <row r="78" ht="12.0" customHeight="1">
      <c r="A78" s="58"/>
      <c r="B78" s="58"/>
      <c r="C78" s="58"/>
      <c r="D78" s="58"/>
      <c r="E78" s="58"/>
      <c r="F78" s="58"/>
      <c r="G78" s="59"/>
      <c r="H78" s="59"/>
      <c r="I78" s="59"/>
      <c r="J78" s="59"/>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row>
    <row r="79" ht="12.0" customHeight="1">
      <c r="A79" s="58"/>
      <c r="B79" s="58"/>
      <c r="C79" s="58"/>
      <c r="D79" s="58"/>
      <c r="E79" s="58"/>
      <c r="F79" s="58"/>
      <c r="G79" s="59"/>
      <c r="H79" s="59"/>
      <c r="I79" s="59"/>
      <c r="J79" s="59"/>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row>
    <row r="80" ht="12.0" customHeight="1">
      <c r="A80" s="58"/>
      <c r="B80" s="58"/>
      <c r="C80" s="58"/>
      <c r="D80" s="58"/>
      <c r="E80" s="58"/>
      <c r="F80" s="58"/>
      <c r="G80" s="59"/>
      <c r="H80" s="59"/>
      <c r="I80" s="59"/>
      <c r="J80" s="59"/>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row>
    <row r="81" ht="12.0" customHeight="1">
      <c r="A81" s="58"/>
      <c r="B81" s="58"/>
      <c r="C81" s="58"/>
      <c r="D81" s="58"/>
      <c r="E81" s="58"/>
      <c r="F81" s="58"/>
      <c r="G81" s="59"/>
      <c r="H81" s="59"/>
      <c r="I81" s="59"/>
      <c r="J81" s="59"/>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row>
    <row r="82" ht="12.0" customHeight="1">
      <c r="A82" s="58"/>
      <c r="B82" s="58"/>
      <c r="C82" s="58"/>
      <c r="D82" s="58"/>
      <c r="E82" s="58"/>
      <c r="F82" s="58"/>
      <c r="G82" s="59"/>
      <c r="H82" s="59"/>
      <c r="I82" s="59"/>
      <c r="J82" s="59"/>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row>
    <row r="83" ht="12.0" customHeight="1">
      <c r="A83" s="58"/>
      <c r="B83" s="58"/>
      <c r="C83" s="58"/>
      <c r="D83" s="58"/>
      <c r="E83" s="58"/>
      <c r="F83" s="58"/>
      <c r="G83" s="59"/>
      <c r="H83" s="59"/>
      <c r="I83" s="59"/>
      <c r="J83" s="59"/>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row>
    <row r="84" ht="12.0" customHeight="1">
      <c r="A84" s="58"/>
      <c r="B84" s="58"/>
      <c r="C84" s="58"/>
      <c r="D84" s="58"/>
      <c r="E84" s="58"/>
      <c r="F84" s="58"/>
      <c r="G84" s="59"/>
      <c r="H84" s="59"/>
      <c r="I84" s="59"/>
      <c r="J84" s="59"/>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row>
    <row r="85" ht="12.0" customHeight="1">
      <c r="A85" s="58"/>
      <c r="B85" s="58"/>
      <c r="C85" s="58"/>
      <c r="D85" s="58"/>
      <c r="E85" s="58"/>
      <c r="F85" s="58"/>
      <c r="G85" s="59"/>
      <c r="H85" s="59"/>
      <c r="I85" s="59"/>
      <c r="J85" s="59"/>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row>
    <row r="86" ht="12.0" customHeight="1">
      <c r="A86" s="58"/>
      <c r="B86" s="58"/>
      <c r="C86" s="58"/>
      <c r="D86" s="58"/>
      <c r="E86" s="58"/>
      <c r="F86" s="58"/>
      <c r="G86" s="59"/>
      <c r="H86" s="59"/>
      <c r="I86" s="59"/>
      <c r="J86" s="59"/>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row>
    <row r="87" ht="12.0" customHeight="1">
      <c r="A87" s="58"/>
      <c r="B87" s="58"/>
      <c r="C87" s="58"/>
      <c r="D87" s="58"/>
      <c r="E87" s="58"/>
      <c r="F87" s="58"/>
      <c r="G87" s="59"/>
      <c r="H87" s="59"/>
      <c r="I87" s="59"/>
      <c r="J87" s="59"/>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row>
    <row r="88" ht="12.0" customHeight="1">
      <c r="A88" s="58"/>
      <c r="B88" s="58"/>
      <c r="C88" s="58"/>
      <c r="D88" s="58"/>
      <c r="E88" s="58"/>
      <c r="F88" s="58"/>
      <c r="G88" s="59"/>
      <c r="H88" s="59"/>
      <c r="I88" s="59"/>
      <c r="J88" s="59"/>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row>
    <row r="89" ht="12.0" customHeight="1">
      <c r="A89" s="58"/>
      <c r="B89" s="58"/>
      <c r="C89" s="58"/>
      <c r="D89" s="58"/>
      <c r="E89" s="58"/>
      <c r="F89" s="58"/>
      <c r="G89" s="59"/>
      <c r="H89" s="59"/>
      <c r="I89" s="59"/>
      <c r="J89" s="59"/>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row>
    <row r="90" ht="12.0" customHeight="1">
      <c r="A90" s="58"/>
      <c r="B90" s="58"/>
      <c r="C90" s="58"/>
      <c r="D90" s="58"/>
      <c r="E90" s="58"/>
      <c r="F90" s="58"/>
      <c r="G90" s="59"/>
      <c r="H90" s="59"/>
      <c r="I90" s="59"/>
      <c r="J90" s="59"/>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row>
    <row r="91" ht="12.0" customHeight="1">
      <c r="A91" s="58"/>
      <c r="B91" s="58"/>
      <c r="C91" s="58"/>
      <c r="D91" s="58"/>
      <c r="E91" s="58"/>
      <c r="F91" s="58"/>
      <c r="G91" s="59"/>
      <c r="H91" s="59"/>
      <c r="I91" s="59"/>
      <c r="J91" s="59"/>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row>
    <row r="92" ht="12.0" customHeight="1">
      <c r="A92" s="58"/>
      <c r="B92" s="58"/>
      <c r="C92" s="58"/>
      <c r="D92" s="58"/>
      <c r="E92" s="58"/>
      <c r="F92" s="58"/>
      <c r="G92" s="59"/>
      <c r="H92" s="59"/>
      <c r="I92" s="59"/>
      <c r="J92" s="59"/>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row>
    <row r="93" ht="12.0" customHeight="1">
      <c r="A93" s="58"/>
      <c r="B93" s="58"/>
      <c r="C93" s="58"/>
      <c r="D93" s="58"/>
      <c r="E93" s="58"/>
      <c r="F93" s="58"/>
      <c r="G93" s="59"/>
      <c r="H93" s="59"/>
      <c r="I93" s="59"/>
      <c r="J93" s="59"/>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row>
    <row r="94" ht="12.0" customHeight="1">
      <c r="A94" s="58"/>
      <c r="B94" s="58"/>
      <c r="C94" s="58"/>
      <c r="D94" s="58"/>
      <c r="E94" s="58"/>
      <c r="F94" s="58"/>
      <c r="G94" s="59"/>
      <c r="H94" s="59"/>
      <c r="I94" s="59"/>
      <c r="J94" s="59"/>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row>
    <row r="95" ht="12.0" customHeight="1">
      <c r="A95" s="58"/>
      <c r="B95" s="58"/>
      <c r="C95" s="58"/>
      <c r="D95" s="58"/>
      <c r="E95" s="58"/>
      <c r="F95" s="58"/>
      <c r="G95" s="59"/>
      <c r="H95" s="59"/>
      <c r="I95" s="59"/>
      <c r="J95" s="59"/>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row>
    <row r="96" ht="12.0" customHeight="1">
      <c r="A96" s="58"/>
      <c r="B96" s="58"/>
      <c r="C96" s="58"/>
      <c r="D96" s="58"/>
      <c r="E96" s="58"/>
      <c r="F96" s="58"/>
      <c r="G96" s="59"/>
      <c r="H96" s="59"/>
      <c r="I96" s="59"/>
      <c r="J96" s="59"/>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row>
    <row r="97" ht="12.0" customHeight="1">
      <c r="A97" s="58"/>
      <c r="B97" s="58"/>
      <c r="C97" s="58"/>
      <c r="D97" s="58"/>
      <c r="E97" s="58"/>
      <c r="F97" s="58"/>
      <c r="G97" s="59"/>
      <c r="H97" s="59"/>
      <c r="I97" s="59"/>
      <c r="J97" s="59"/>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row>
    <row r="98" ht="12.0" customHeight="1">
      <c r="A98" s="58"/>
      <c r="B98" s="58"/>
      <c r="C98" s="58"/>
      <c r="D98" s="58"/>
      <c r="E98" s="58"/>
      <c r="F98" s="58"/>
      <c r="G98" s="59"/>
      <c r="H98" s="59"/>
      <c r="I98" s="59"/>
      <c r="J98" s="59"/>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row>
    <row r="99" ht="12.0" customHeight="1">
      <c r="A99" s="58"/>
      <c r="B99" s="58"/>
      <c r="C99" s="58"/>
      <c r="D99" s="58"/>
      <c r="E99" s="58"/>
      <c r="F99" s="58"/>
      <c r="G99" s="59"/>
      <c r="H99" s="59"/>
      <c r="I99" s="59"/>
      <c r="J99" s="59"/>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row>
    <row r="100" ht="12.0" customHeight="1">
      <c r="A100" s="58"/>
      <c r="B100" s="58"/>
      <c r="C100" s="58"/>
      <c r="D100" s="58"/>
      <c r="E100" s="58"/>
      <c r="F100" s="58"/>
      <c r="G100" s="59"/>
      <c r="H100" s="59"/>
      <c r="I100" s="59"/>
      <c r="J100" s="59"/>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row>
    <row r="101" ht="12.0" customHeight="1">
      <c r="A101" s="58"/>
      <c r="B101" s="58"/>
      <c r="C101" s="58"/>
      <c r="D101" s="58"/>
      <c r="E101" s="58"/>
      <c r="F101" s="58"/>
      <c r="G101" s="59"/>
      <c r="H101" s="59"/>
      <c r="I101" s="59"/>
      <c r="J101" s="59"/>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row>
    <row r="102" ht="12.0" customHeight="1">
      <c r="A102" s="58"/>
      <c r="B102" s="58"/>
      <c r="C102" s="58"/>
      <c r="D102" s="58"/>
      <c r="E102" s="58"/>
      <c r="F102" s="58"/>
      <c r="G102" s="59"/>
      <c r="H102" s="59"/>
      <c r="I102" s="59"/>
      <c r="J102" s="59"/>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row>
    <row r="103" ht="12.0" customHeight="1">
      <c r="A103" s="58"/>
      <c r="B103" s="58"/>
      <c r="C103" s="58"/>
      <c r="D103" s="58"/>
      <c r="E103" s="58"/>
      <c r="F103" s="58"/>
      <c r="G103" s="59"/>
      <c r="H103" s="59"/>
      <c r="I103" s="59"/>
      <c r="J103" s="59"/>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row>
    <row r="104" ht="12.0" customHeight="1">
      <c r="A104" s="58"/>
      <c r="B104" s="58"/>
      <c r="C104" s="58"/>
      <c r="D104" s="58"/>
      <c r="E104" s="58"/>
      <c r="F104" s="58"/>
      <c r="G104" s="59"/>
      <c r="H104" s="59"/>
      <c r="I104" s="59"/>
      <c r="J104" s="59"/>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row>
    <row r="105" ht="12.0" customHeight="1">
      <c r="A105" s="58"/>
      <c r="B105" s="58"/>
      <c r="C105" s="58"/>
      <c r="D105" s="58"/>
      <c r="E105" s="58"/>
      <c r="F105" s="58"/>
      <c r="G105" s="59"/>
      <c r="H105" s="59"/>
      <c r="I105" s="59"/>
      <c r="J105" s="59"/>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row>
    <row r="106" ht="12.0" customHeight="1">
      <c r="A106" s="58"/>
      <c r="B106" s="58"/>
      <c r="C106" s="58"/>
      <c r="D106" s="58"/>
      <c r="E106" s="58"/>
      <c r="F106" s="58"/>
      <c r="G106" s="59"/>
      <c r="H106" s="59"/>
      <c r="I106" s="59"/>
      <c r="J106" s="59"/>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row>
    <row r="107" ht="12.0" customHeight="1">
      <c r="A107" s="58"/>
      <c r="B107" s="58"/>
      <c r="C107" s="58"/>
      <c r="D107" s="58"/>
      <c r="E107" s="58"/>
      <c r="F107" s="58"/>
      <c r="G107" s="59"/>
      <c r="H107" s="59"/>
      <c r="I107" s="59"/>
      <c r="J107" s="59"/>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row>
    <row r="108" ht="12.0" customHeight="1">
      <c r="A108" s="58"/>
      <c r="B108" s="58"/>
      <c r="C108" s="58"/>
      <c r="D108" s="58"/>
      <c r="E108" s="58"/>
      <c r="F108" s="58"/>
      <c r="G108" s="59"/>
      <c r="H108" s="59"/>
      <c r="I108" s="59"/>
      <c r="J108" s="59"/>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row>
    <row r="109" ht="12.0" customHeight="1">
      <c r="A109" s="58"/>
      <c r="B109" s="58"/>
      <c r="C109" s="58"/>
      <c r="D109" s="58"/>
      <c r="E109" s="58"/>
      <c r="F109" s="58"/>
      <c r="G109" s="59"/>
      <c r="H109" s="59"/>
      <c r="I109" s="59"/>
      <c r="J109" s="59"/>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row>
    <row r="110" ht="12.0" customHeight="1">
      <c r="A110" s="58"/>
      <c r="B110" s="58"/>
      <c r="C110" s="58"/>
      <c r="D110" s="58"/>
      <c r="E110" s="58"/>
      <c r="F110" s="58"/>
      <c r="G110" s="59"/>
      <c r="H110" s="59"/>
      <c r="I110" s="59"/>
      <c r="J110" s="59"/>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row>
    <row r="111" ht="12.0" customHeight="1">
      <c r="A111" s="58"/>
      <c r="B111" s="58"/>
      <c r="C111" s="58"/>
      <c r="D111" s="58"/>
      <c r="E111" s="58"/>
      <c r="F111" s="58"/>
      <c r="G111" s="59"/>
      <c r="H111" s="59"/>
      <c r="I111" s="59"/>
      <c r="J111" s="59"/>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row>
    <row r="112" ht="12.0" customHeight="1">
      <c r="A112" s="58"/>
      <c r="B112" s="58"/>
      <c r="C112" s="58"/>
      <c r="D112" s="58"/>
      <c r="E112" s="58"/>
      <c r="F112" s="58"/>
      <c r="G112" s="59"/>
      <c r="H112" s="59"/>
      <c r="I112" s="59"/>
      <c r="J112" s="59"/>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row>
    <row r="113" ht="12.0" customHeight="1">
      <c r="A113" s="58"/>
      <c r="B113" s="58"/>
      <c r="C113" s="58"/>
      <c r="D113" s="58"/>
      <c r="E113" s="58"/>
      <c r="F113" s="58"/>
      <c r="G113" s="59"/>
      <c r="H113" s="59"/>
      <c r="I113" s="59"/>
      <c r="J113" s="59"/>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row>
    <row r="114" ht="12.0" customHeight="1">
      <c r="A114" s="58"/>
      <c r="B114" s="58"/>
      <c r="C114" s="58"/>
      <c r="D114" s="58"/>
      <c r="E114" s="58"/>
      <c r="F114" s="58"/>
      <c r="G114" s="59"/>
      <c r="H114" s="59"/>
      <c r="I114" s="59"/>
      <c r="J114" s="59"/>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row>
    <row r="115" ht="12.0" customHeight="1">
      <c r="A115" s="58"/>
      <c r="B115" s="58"/>
      <c r="C115" s="58"/>
      <c r="D115" s="58"/>
      <c r="E115" s="58"/>
      <c r="F115" s="58"/>
      <c r="G115" s="59"/>
      <c r="H115" s="59"/>
      <c r="I115" s="59"/>
      <c r="J115" s="59"/>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row>
    <row r="116" ht="12.0" customHeight="1">
      <c r="A116" s="58"/>
      <c r="B116" s="58"/>
      <c r="C116" s="58"/>
      <c r="D116" s="58"/>
      <c r="E116" s="58"/>
      <c r="F116" s="58"/>
      <c r="G116" s="59"/>
      <c r="H116" s="59"/>
      <c r="I116" s="59"/>
      <c r="J116" s="59"/>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row>
    <row r="117" ht="12.0" customHeight="1">
      <c r="A117" s="58"/>
      <c r="B117" s="58"/>
      <c r="C117" s="58"/>
      <c r="D117" s="58"/>
      <c r="E117" s="58"/>
      <c r="F117" s="58"/>
      <c r="G117" s="59"/>
      <c r="H117" s="59"/>
      <c r="I117" s="59"/>
      <c r="J117" s="59"/>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row>
    <row r="118" ht="12.0" customHeight="1">
      <c r="A118" s="58"/>
      <c r="B118" s="58"/>
      <c r="C118" s="58"/>
      <c r="D118" s="58"/>
      <c r="E118" s="58"/>
      <c r="F118" s="58"/>
      <c r="G118" s="59"/>
      <c r="H118" s="59"/>
      <c r="I118" s="59"/>
      <c r="J118" s="59"/>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row>
    <row r="119" ht="12.0" customHeight="1">
      <c r="A119" s="58"/>
      <c r="B119" s="58"/>
      <c r="C119" s="58"/>
      <c r="D119" s="58"/>
      <c r="E119" s="58"/>
      <c r="F119" s="58"/>
      <c r="G119" s="59"/>
      <c r="H119" s="59"/>
      <c r="I119" s="59"/>
      <c r="J119" s="59"/>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row>
    <row r="120" ht="12.0" customHeight="1">
      <c r="A120" s="58"/>
      <c r="B120" s="58"/>
      <c r="C120" s="58"/>
      <c r="D120" s="58"/>
      <c r="E120" s="58"/>
      <c r="F120" s="58"/>
      <c r="G120" s="59"/>
      <c r="H120" s="59"/>
      <c r="I120" s="59"/>
      <c r="J120" s="59"/>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row>
    <row r="121" ht="12.0" customHeight="1">
      <c r="A121" s="58"/>
      <c r="B121" s="58"/>
      <c r="C121" s="58"/>
      <c r="D121" s="58"/>
      <c r="E121" s="58"/>
      <c r="F121" s="58"/>
      <c r="G121" s="59"/>
      <c r="H121" s="59"/>
      <c r="I121" s="59"/>
      <c r="J121" s="59"/>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row>
    <row r="122" ht="12.0" customHeight="1">
      <c r="A122" s="58"/>
      <c r="B122" s="58"/>
      <c r="C122" s="58"/>
      <c r="D122" s="58"/>
      <c r="E122" s="58"/>
      <c r="F122" s="58"/>
      <c r="G122" s="59"/>
      <c r="H122" s="59"/>
      <c r="I122" s="59"/>
      <c r="J122" s="59"/>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row>
    <row r="123" ht="12.0" customHeight="1">
      <c r="A123" s="58"/>
      <c r="B123" s="58"/>
      <c r="C123" s="58"/>
      <c r="D123" s="58"/>
      <c r="E123" s="58"/>
      <c r="F123" s="58"/>
      <c r="G123" s="59"/>
      <c r="H123" s="59"/>
      <c r="I123" s="59"/>
      <c r="J123" s="59"/>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row>
    <row r="124" ht="12.0" customHeight="1">
      <c r="A124" s="58"/>
      <c r="B124" s="58"/>
      <c r="C124" s="58"/>
      <c r="D124" s="58"/>
      <c r="E124" s="58"/>
      <c r="F124" s="58"/>
      <c r="G124" s="59"/>
      <c r="H124" s="59"/>
      <c r="I124" s="59"/>
      <c r="J124" s="59"/>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row>
    <row r="125" ht="12.0" customHeight="1">
      <c r="A125" s="58"/>
      <c r="B125" s="58"/>
      <c r="C125" s="58"/>
      <c r="D125" s="58"/>
      <c r="E125" s="58"/>
      <c r="F125" s="58"/>
      <c r="G125" s="59"/>
      <c r="H125" s="59"/>
      <c r="I125" s="59"/>
      <c r="J125" s="59"/>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row>
    <row r="126" ht="12.0" customHeight="1">
      <c r="A126" s="58"/>
      <c r="B126" s="58"/>
      <c r="C126" s="58"/>
      <c r="D126" s="58"/>
      <c r="E126" s="58"/>
      <c r="F126" s="58"/>
      <c r="G126" s="59"/>
      <c r="H126" s="59"/>
      <c r="I126" s="59"/>
      <c r="J126" s="59"/>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row>
    <row r="127" ht="12.0" customHeight="1">
      <c r="A127" s="58"/>
      <c r="B127" s="58"/>
      <c r="C127" s="58"/>
      <c r="D127" s="58"/>
      <c r="E127" s="58"/>
      <c r="F127" s="58"/>
      <c r="G127" s="59"/>
      <c r="H127" s="59"/>
      <c r="I127" s="59"/>
      <c r="J127" s="59"/>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row>
    <row r="128" ht="12.0" customHeight="1">
      <c r="A128" s="58"/>
      <c r="B128" s="58"/>
      <c r="C128" s="58"/>
      <c r="D128" s="58"/>
      <c r="E128" s="58"/>
      <c r="F128" s="58"/>
      <c r="G128" s="59"/>
      <c r="H128" s="59"/>
      <c r="I128" s="59"/>
      <c r="J128" s="59"/>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row>
    <row r="129" ht="12.0" customHeight="1">
      <c r="A129" s="58"/>
      <c r="B129" s="58"/>
      <c r="C129" s="58"/>
      <c r="D129" s="58"/>
      <c r="E129" s="58"/>
      <c r="F129" s="58"/>
      <c r="G129" s="59"/>
      <c r="H129" s="59"/>
      <c r="I129" s="59"/>
      <c r="J129" s="59"/>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row>
    <row r="130" ht="12.0" customHeight="1">
      <c r="A130" s="58"/>
      <c r="B130" s="58"/>
      <c r="C130" s="58"/>
      <c r="D130" s="58"/>
      <c r="E130" s="58"/>
      <c r="F130" s="58"/>
      <c r="G130" s="59"/>
      <c r="H130" s="59"/>
      <c r="I130" s="59"/>
      <c r="J130" s="59"/>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row>
    <row r="131" ht="12.0" customHeight="1">
      <c r="A131" s="58"/>
      <c r="B131" s="58"/>
      <c r="C131" s="58"/>
      <c r="D131" s="58"/>
      <c r="E131" s="58"/>
      <c r="F131" s="58"/>
      <c r="G131" s="59"/>
      <c r="H131" s="59"/>
      <c r="I131" s="59"/>
      <c r="J131" s="59"/>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row>
    <row r="132" ht="12.0" customHeight="1">
      <c r="A132" s="58"/>
      <c r="B132" s="58"/>
      <c r="C132" s="58"/>
      <c r="D132" s="58"/>
      <c r="E132" s="58"/>
      <c r="F132" s="58"/>
      <c r="G132" s="59"/>
      <c r="H132" s="59"/>
      <c r="I132" s="59"/>
      <c r="J132" s="59"/>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row>
    <row r="133" ht="12.0" customHeight="1">
      <c r="A133" s="58"/>
      <c r="B133" s="58"/>
      <c r="C133" s="58"/>
      <c r="D133" s="58"/>
      <c r="E133" s="58"/>
      <c r="F133" s="58"/>
      <c r="G133" s="59"/>
      <c r="H133" s="59"/>
      <c r="I133" s="59"/>
      <c r="J133" s="59"/>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row>
    <row r="134" ht="12.0" customHeight="1">
      <c r="A134" s="58"/>
      <c r="B134" s="58"/>
      <c r="C134" s="58"/>
      <c r="D134" s="58"/>
      <c r="E134" s="58"/>
      <c r="F134" s="58"/>
      <c r="G134" s="59"/>
      <c r="H134" s="59"/>
      <c r="I134" s="59"/>
      <c r="J134" s="59"/>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row>
    <row r="135" ht="12.0" customHeight="1">
      <c r="A135" s="58"/>
      <c r="B135" s="58"/>
      <c r="C135" s="58"/>
      <c r="D135" s="58"/>
      <c r="E135" s="58"/>
      <c r="F135" s="58"/>
      <c r="G135" s="59"/>
      <c r="H135" s="59"/>
      <c r="I135" s="59"/>
      <c r="J135" s="59"/>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row>
    <row r="136" ht="12.0" customHeight="1">
      <c r="A136" s="58"/>
      <c r="B136" s="58"/>
      <c r="C136" s="58"/>
      <c r="D136" s="58"/>
      <c r="E136" s="58"/>
      <c r="F136" s="58"/>
      <c r="G136" s="59"/>
      <c r="H136" s="59"/>
      <c r="I136" s="59"/>
      <c r="J136" s="59"/>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row>
    <row r="137" ht="12.0" customHeight="1">
      <c r="A137" s="58"/>
      <c r="B137" s="58"/>
      <c r="C137" s="58"/>
      <c r="D137" s="58"/>
      <c r="E137" s="58"/>
      <c r="F137" s="58"/>
      <c r="G137" s="59"/>
      <c r="H137" s="59"/>
      <c r="I137" s="59"/>
      <c r="J137" s="59"/>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row>
    <row r="138" ht="12.0" customHeight="1">
      <c r="A138" s="58"/>
      <c r="B138" s="58"/>
      <c r="C138" s="58"/>
      <c r="D138" s="58"/>
      <c r="E138" s="58"/>
      <c r="F138" s="58"/>
      <c r="G138" s="59"/>
      <c r="H138" s="59"/>
      <c r="I138" s="59"/>
      <c r="J138" s="59"/>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row>
    <row r="139" ht="12.0" customHeight="1">
      <c r="A139" s="58"/>
      <c r="B139" s="58"/>
      <c r="C139" s="58"/>
      <c r="D139" s="58"/>
      <c r="E139" s="58"/>
      <c r="F139" s="58"/>
      <c r="G139" s="59"/>
      <c r="H139" s="59"/>
      <c r="I139" s="59"/>
      <c r="J139" s="59"/>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row>
    <row r="140" ht="12.0" customHeight="1">
      <c r="A140" s="58"/>
      <c r="B140" s="58"/>
      <c r="C140" s="58"/>
      <c r="D140" s="58"/>
      <c r="E140" s="58"/>
      <c r="F140" s="58"/>
      <c r="G140" s="59"/>
      <c r="H140" s="59"/>
      <c r="I140" s="59"/>
      <c r="J140" s="59"/>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row>
    <row r="141" ht="12.0" customHeight="1">
      <c r="A141" s="58"/>
      <c r="B141" s="58"/>
      <c r="C141" s="58"/>
      <c r="D141" s="58"/>
      <c r="E141" s="58"/>
      <c r="F141" s="58"/>
      <c r="G141" s="59"/>
      <c r="H141" s="59"/>
      <c r="I141" s="59"/>
      <c r="J141" s="59"/>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row>
    <row r="142" ht="12.0" customHeight="1">
      <c r="A142" s="58"/>
      <c r="B142" s="58"/>
      <c r="C142" s="58"/>
      <c r="D142" s="58"/>
      <c r="E142" s="58"/>
      <c r="F142" s="58"/>
      <c r="G142" s="59"/>
      <c r="H142" s="59"/>
      <c r="I142" s="59"/>
      <c r="J142" s="59"/>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row>
    <row r="143" ht="12.0" customHeight="1">
      <c r="A143" s="58"/>
      <c r="B143" s="58"/>
      <c r="C143" s="58"/>
      <c r="D143" s="58"/>
      <c r="E143" s="58"/>
      <c r="F143" s="58"/>
      <c r="G143" s="59"/>
      <c r="H143" s="59"/>
      <c r="I143" s="59"/>
      <c r="J143" s="59"/>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row>
    <row r="144" ht="12.0" customHeight="1">
      <c r="A144" s="58"/>
      <c r="B144" s="58"/>
      <c r="C144" s="58"/>
      <c r="D144" s="58"/>
      <c r="E144" s="58"/>
      <c r="F144" s="58"/>
      <c r="G144" s="59"/>
      <c r="H144" s="59"/>
      <c r="I144" s="59"/>
      <c r="J144" s="59"/>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row>
    <row r="145" ht="12.0" customHeight="1">
      <c r="A145" s="58"/>
      <c r="B145" s="58"/>
      <c r="C145" s="58"/>
      <c r="D145" s="58"/>
      <c r="E145" s="58"/>
      <c r="F145" s="58"/>
      <c r="G145" s="59"/>
      <c r="H145" s="59"/>
      <c r="I145" s="59"/>
      <c r="J145" s="59"/>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row>
    <row r="146" ht="12.0" customHeight="1">
      <c r="A146" s="58"/>
      <c r="B146" s="58"/>
      <c r="C146" s="58"/>
      <c r="D146" s="58"/>
      <c r="E146" s="58"/>
      <c r="F146" s="58"/>
      <c r="G146" s="59"/>
      <c r="H146" s="59"/>
      <c r="I146" s="59"/>
      <c r="J146" s="59"/>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row>
    <row r="147" ht="12.0" customHeight="1">
      <c r="A147" s="58"/>
      <c r="B147" s="58"/>
      <c r="C147" s="58"/>
      <c r="D147" s="58"/>
      <c r="E147" s="58"/>
      <c r="F147" s="58"/>
      <c r="G147" s="59"/>
      <c r="H147" s="59"/>
      <c r="I147" s="59"/>
      <c r="J147" s="59"/>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row>
    <row r="148" ht="12.0" customHeight="1">
      <c r="A148" s="58"/>
      <c r="B148" s="58"/>
      <c r="C148" s="58"/>
      <c r="D148" s="58"/>
      <c r="E148" s="58"/>
      <c r="F148" s="58"/>
      <c r="G148" s="59"/>
      <c r="H148" s="59"/>
      <c r="I148" s="59"/>
      <c r="J148" s="59"/>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row>
    <row r="149" ht="12.0" customHeight="1">
      <c r="A149" s="58"/>
      <c r="B149" s="58"/>
      <c r="C149" s="58"/>
      <c r="D149" s="58"/>
      <c r="E149" s="58"/>
      <c r="F149" s="58"/>
      <c r="G149" s="59"/>
      <c r="H149" s="59"/>
      <c r="I149" s="59"/>
      <c r="J149" s="59"/>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row>
    <row r="150" ht="12.0" customHeight="1">
      <c r="A150" s="58"/>
      <c r="B150" s="58"/>
      <c r="C150" s="58"/>
      <c r="D150" s="58"/>
      <c r="E150" s="58"/>
      <c r="F150" s="58"/>
      <c r="G150" s="59"/>
      <c r="H150" s="59"/>
      <c r="I150" s="59"/>
      <c r="J150" s="59"/>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row>
    <row r="151" ht="12.0" customHeight="1">
      <c r="A151" s="58"/>
      <c r="B151" s="58"/>
      <c r="C151" s="58"/>
      <c r="D151" s="58"/>
      <c r="E151" s="58"/>
      <c r="F151" s="58"/>
      <c r="G151" s="59"/>
      <c r="H151" s="59"/>
      <c r="I151" s="59"/>
      <c r="J151" s="59"/>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row>
    <row r="152" ht="12.0" customHeight="1">
      <c r="A152" s="58"/>
      <c r="B152" s="58"/>
      <c r="C152" s="58"/>
      <c r="D152" s="58"/>
      <c r="E152" s="58"/>
      <c r="F152" s="58"/>
      <c r="G152" s="59"/>
      <c r="H152" s="59"/>
      <c r="I152" s="59"/>
      <c r="J152" s="59"/>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row>
    <row r="153" ht="12.0" customHeight="1">
      <c r="A153" s="58"/>
      <c r="B153" s="58"/>
      <c r="C153" s="58"/>
      <c r="D153" s="58"/>
      <c r="E153" s="58"/>
      <c r="F153" s="58"/>
      <c r="G153" s="59"/>
      <c r="H153" s="59"/>
      <c r="I153" s="59"/>
      <c r="J153" s="59"/>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row>
    <row r="154" ht="12.0" customHeight="1">
      <c r="A154" s="58"/>
      <c r="B154" s="58"/>
      <c r="C154" s="58"/>
      <c r="D154" s="58"/>
      <c r="E154" s="58"/>
      <c r="F154" s="58"/>
      <c r="G154" s="59"/>
      <c r="H154" s="59"/>
      <c r="I154" s="59"/>
      <c r="J154" s="59"/>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row>
    <row r="155" ht="12.0" customHeight="1">
      <c r="A155" s="58"/>
      <c r="B155" s="58"/>
      <c r="C155" s="58"/>
      <c r="D155" s="58"/>
      <c r="E155" s="58"/>
      <c r="F155" s="58"/>
      <c r="G155" s="59"/>
      <c r="H155" s="59"/>
      <c r="I155" s="59"/>
      <c r="J155" s="59"/>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row>
    <row r="156" ht="12.0" customHeight="1">
      <c r="A156" s="58"/>
      <c r="B156" s="58"/>
      <c r="C156" s="58"/>
      <c r="D156" s="58"/>
      <c r="E156" s="58"/>
      <c r="F156" s="58"/>
      <c r="G156" s="59"/>
      <c r="H156" s="59"/>
      <c r="I156" s="59"/>
      <c r="J156" s="59"/>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row>
    <row r="157" ht="12.0" customHeight="1">
      <c r="A157" s="58"/>
      <c r="B157" s="58"/>
      <c r="C157" s="58"/>
      <c r="D157" s="58"/>
      <c r="E157" s="58"/>
      <c r="F157" s="58"/>
      <c r="G157" s="59"/>
      <c r="H157" s="59"/>
      <c r="I157" s="59"/>
      <c r="J157" s="59"/>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row>
    <row r="158" ht="12.0" customHeight="1">
      <c r="A158" s="58"/>
      <c r="B158" s="58"/>
      <c r="C158" s="58"/>
      <c r="D158" s="58"/>
      <c r="E158" s="58"/>
      <c r="F158" s="58"/>
      <c r="G158" s="59"/>
      <c r="H158" s="59"/>
      <c r="I158" s="59"/>
      <c r="J158" s="59"/>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row>
    <row r="159" ht="12.0" customHeight="1">
      <c r="A159" s="58"/>
      <c r="B159" s="58"/>
      <c r="C159" s="58"/>
      <c r="D159" s="58"/>
      <c r="E159" s="58"/>
      <c r="F159" s="58"/>
      <c r="G159" s="59"/>
      <c r="H159" s="59"/>
      <c r="I159" s="59"/>
      <c r="J159" s="59"/>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row>
    <row r="160" ht="12.0" customHeight="1">
      <c r="A160" s="58"/>
      <c r="B160" s="58"/>
      <c r="C160" s="58"/>
      <c r="D160" s="58"/>
      <c r="E160" s="58"/>
      <c r="F160" s="58"/>
      <c r="G160" s="59"/>
      <c r="H160" s="59"/>
      <c r="I160" s="59"/>
      <c r="J160" s="59"/>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row>
    <row r="161" ht="12.0" customHeight="1">
      <c r="A161" s="58"/>
      <c r="B161" s="58"/>
      <c r="C161" s="58"/>
      <c r="D161" s="58"/>
      <c r="E161" s="58"/>
      <c r="F161" s="58"/>
      <c r="G161" s="59"/>
      <c r="H161" s="59"/>
      <c r="I161" s="59"/>
      <c r="J161" s="59"/>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row>
    <row r="162" ht="12.0" customHeight="1">
      <c r="A162" s="58"/>
      <c r="B162" s="58"/>
      <c r="C162" s="58"/>
      <c r="D162" s="58"/>
      <c r="E162" s="58"/>
      <c r="F162" s="58"/>
      <c r="G162" s="59"/>
      <c r="H162" s="59"/>
      <c r="I162" s="59"/>
      <c r="J162" s="59"/>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row>
    <row r="163" ht="12.0" customHeight="1">
      <c r="A163" s="58"/>
      <c r="B163" s="58"/>
      <c r="C163" s="58"/>
      <c r="D163" s="58"/>
      <c r="E163" s="58"/>
      <c r="F163" s="58"/>
      <c r="G163" s="59"/>
      <c r="H163" s="59"/>
      <c r="I163" s="59"/>
      <c r="J163" s="59"/>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row>
    <row r="164" ht="12.0" customHeight="1">
      <c r="A164" s="58"/>
      <c r="B164" s="58"/>
      <c r="C164" s="58"/>
      <c r="D164" s="58"/>
      <c r="E164" s="58"/>
      <c r="F164" s="58"/>
      <c r="G164" s="59"/>
      <c r="H164" s="59"/>
      <c r="I164" s="59"/>
      <c r="J164" s="59"/>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row>
    <row r="165" ht="12.0" customHeight="1">
      <c r="A165" s="58"/>
      <c r="B165" s="58"/>
      <c r="C165" s="58"/>
      <c r="D165" s="58"/>
      <c r="E165" s="58"/>
      <c r="F165" s="58"/>
      <c r="G165" s="59"/>
      <c r="H165" s="59"/>
      <c r="I165" s="59"/>
      <c r="J165" s="59"/>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row>
    <row r="166" ht="12.0" customHeight="1">
      <c r="A166" s="58"/>
      <c r="B166" s="58"/>
      <c r="C166" s="58"/>
      <c r="D166" s="58"/>
      <c r="E166" s="58"/>
      <c r="F166" s="58"/>
      <c r="G166" s="59"/>
      <c r="H166" s="59"/>
      <c r="I166" s="59"/>
      <c r="J166" s="59"/>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row>
    <row r="167" ht="12.0" customHeight="1">
      <c r="A167" s="58"/>
      <c r="B167" s="58"/>
      <c r="C167" s="58"/>
      <c r="D167" s="58"/>
      <c r="E167" s="58"/>
      <c r="F167" s="58"/>
      <c r="G167" s="59"/>
      <c r="H167" s="59"/>
      <c r="I167" s="59"/>
      <c r="J167" s="59"/>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row>
    <row r="168" ht="12.0" customHeight="1">
      <c r="A168" s="58"/>
      <c r="B168" s="58"/>
      <c r="C168" s="58"/>
      <c r="D168" s="58"/>
      <c r="E168" s="58"/>
      <c r="F168" s="58"/>
      <c r="G168" s="59"/>
      <c r="H168" s="59"/>
      <c r="I168" s="59"/>
      <c r="J168" s="59"/>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row>
    <row r="169" ht="12.0" customHeight="1">
      <c r="A169" s="58"/>
      <c r="B169" s="58"/>
      <c r="C169" s="58"/>
      <c r="D169" s="58"/>
      <c r="E169" s="58"/>
      <c r="F169" s="58"/>
      <c r="G169" s="59"/>
      <c r="H169" s="59"/>
      <c r="I169" s="59"/>
      <c r="J169" s="59"/>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row>
    <row r="170" ht="12.0" customHeight="1">
      <c r="A170" s="58"/>
      <c r="B170" s="58"/>
      <c r="C170" s="58"/>
      <c r="D170" s="58"/>
      <c r="E170" s="58"/>
      <c r="F170" s="58"/>
      <c r="G170" s="59"/>
      <c r="H170" s="59"/>
      <c r="I170" s="59"/>
      <c r="J170" s="59"/>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row>
    <row r="171" ht="12.0" customHeight="1">
      <c r="A171" s="58"/>
      <c r="B171" s="58"/>
      <c r="C171" s="58"/>
      <c r="D171" s="58"/>
      <c r="E171" s="58"/>
      <c r="F171" s="58"/>
      <c r="G171" s="59"/>
      <c r="H171" s="59"/>
      <c r="I171" s="59"/>
      <c r="J171" s="59"/>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row>
    <row r="172" ht="12.0" customHeight="1">
      <c r="A172" s="58"/>
      <c r="B172" s="58"/>
      <c r="C172" s="58"/>
      <c r="D172" s="58"/>
      <c r="E172" s="58"/>
      <c r="F172" s="58"/>
      <c r="G172" s="59"/>
      <c r="H172" s="59"/>
      <c r="I172" s="59"/>
      <c r="J172" s="59"/>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row>
    <row r="173" ht="12.0" customHeight="1">
      <c r="A173" s="58"/>
      <c r="B173" s="58"/>
      <c r="C173" s="58"/>
      <c r="D173" s="58"/>
      <c r="E173" s="58"/>
      <c r="F173" s="58"/>
      <c r="G173" s="59"/>
      <c r="H173" s="59"/>
      <c r="I173" s="59"/>
      <c r="J173" s="59"/>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row>
    <row r="174" ht="12.0" customHeight="1">
      <c r="A174" s="58"/>
      <c r="B174" s="58"/>
      <c r="C174" s="58"/>
      <c r="D174" s="58"/>
      <c r="E174" s="58"/>
      <c r="F174" s="58"/>
      <c r="G174" s="59"/>
      <c r="H174" s="59"/>
      <c r="I174" s="59"/>
      <c r="J174" s="59"/>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row>
    <row r="175" ht="12.0" customHeight="1">
      <c r="A175" s="58"/>
      <c r="B175" s="58"/>
      <c r="C175" s="58"/>
      <c r="D175" s="58"/>
      <c r="E175" s="58"/>
      <c r="F175" s="58"/>
      <c r="G175" s="59"/>
      <c r="H175" s="59"/>
      <c r="I175" s="59"/>
      <c r="J175" s="59"/>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row>
    <row r="176" ht="12.0" customHeight="1">
      <c r="A176" s="58"/>
      <c r="B176" s="58"/>
      <c r="C176" s="58"/>
      <c r="D176" s="58"/>
      <c r="E176" s="58"/>
      <c r="F176" s="58"/>
      <c r="G176" s="59"/>
      <c r="H176" s="59"/>
      <c r="I176" s="59"/>
      <c r="J176" s="59"/>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row>
    <row r="177" ht="12.0" customHeight="1">
      <c r="A177" s="58"/>
      <c r="B177" s="58"/>
      <c r="C177" s="58"/>
      <c r="D177" s="58"/>
      <c r="E177" s="58"/>
      <c r="F177" s="58"/>
      <c r="G177" s="59"/>
      <c r="H177" s="59"/>
      <c r="I177" s="59"/>
      <c r="J177" s="59"/>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ht="12.0" customHeight="1">
      <c r="A178" s="58"/>
      <c r="B178" s="58"/>
      <c r="C178" s="58"/>
      <c r="D178" s="58"/>
      <c r="E178" s="58"/>
      <c r="F178" s="58"/>
      <c r="G178" s="59"/>
      <c r="H178" s="59"/>
      <c r="I178" s="59"/>
      <c r="J178" s="59"/>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ht="12.0" customHeight="1">
      <c r="A179" s="58"/>
      <c r="B179" s="58"/>
      <c r="C179" s="58"/>
      <c r="D179" s="58"/>
      <c r="E179" s="58"/>
      <c r="F179" s="58"/>
      <c r="G179" s="59"/>
      <c r="H179" s="59"/>
      <c r="I179" s="59"/>
      <c r="J179" s="59"/>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ht="12.0" customHeight="1">
      <c r="A180" s="58"/>
      <c r="B180" s="58"/>
      <c r="C180" s="58"/>
      <c r="D180" s="58"/>
      <c r="E180" s="58"/>
      <c r="F180" s="58"/>
      <c r="G180" s="59"/>
      <c r="H180" s="59"/>
      <c r="I180" s="59"/>
      <c r="J180" s="59"/>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ht="12.0" customHeight="1">
      <c r="A181" s="58"/>
      <c r="B181" s="58"/>
      <c r="C181" s="58"/>
      <c r="D181" s="58"/>
      <c r="E181" s="58"/>
      <c r="F181" s="58"/>
      <c r="G181" s="59"/>
      <c r="H181" s="59"/>
      <c r="I181" s="59"/>
      <c r="J181" s="59"/>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ht="12.0" customHeight="1">
      <c r="A182" s="58"/>
      <c r="B182" s="58"/>
      <c r="C182" s="58"/>
      <c r="D182" s="58"/>
      <c r="E182" s="58"/>
      <c r="F182" s="58"/>
      <c r="G182" s="59"/>
      <c r="H182" s="59"/>
      <c r="I182" s="59"/>
      <c r="J182" s="59"/>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ht="12.0" customHeight="1">
      <c r="A183" s="58"/>
      <c r="B183" s="58"/>
      <c r="C183" s="58"/>
      <c r="D183" s="58"/>
      <c r="E183" s="58"/>
      <c r="F183" s="58"/>
      <c r="G183" s="59"/>
      <c r="H183" s="59"/>
      <c r="I183" s="59"/>
      <c r="J183" s="59"/>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ht="12.0" customHeight="1">
      <c r="A184" s="58"/>
      <c r="B184" s="58"/>
      <c r="C184" s="58"/>
      <c r="D184" s="58"/>
      <c r="E184" s="58"/>
      <c r="F184" s="58"/>
      <c r="G184" s="59"/>
      <c r="H184" s="59"/>
      <c r="I184" s="59"/>
      <c r="J184" s="59"/>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ht="12.0" customHeight="1">
      <c r="A185" s="58"/>
      <c r="B185" s="58"/>
      <c r="C185" s="58"/>
      <c r="D185" s="58"/>
      <c r="E185" s="58"/>
      <c r="F185" s="58"/>
      <c r="G185" s="59"/>
      <c r="H185" s="59"/>
      <c r="I185" s="59"/>
      <c r="J185" s="59"/>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ht="12.0" customHeight="1">
      <c r="A186" s="58"/>
      <c r="B186" s="58"/>
      <c r="C186" s="58"/>
      <c r="D186" s="58"/>
      <c r="E186" s="58"/>
      <c r="F186" s="58"/>
      <c r="G186" s="59"/>
      <c r="H186" s="59"/>
      <c r="I186" s="59"/>
      <c r="J186" s="59"/>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ht="12.0" customHeight="1">
      <c r="A187" s="58"/>
      <c r="B187" s="58"/>
      <c r="C187" s="58"/>
      <c r="D187" s="58"/>
      <c r="E187" s="58"/>
      <c r="F187" s="58"/>
      <c r="G187" s="59"/>
      <c r="H187" s="59"/>
      <c r="I187" s="59"/>
      <c r="J187" s="59"/>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ht="12.0" customHeight="1">
      <c r="A188" s="58"/>
      <c r="B188" s="58"/>
      <c r="C188" s="58"/>
      <c r="D188" s="58"/>
      <c r="E188" s="58"/>
      <c r="F188" s="58"/>
      <c r="G188" s="59"/>
      <c r="H188" s="59"/>
      <c r="I188" s="59"/>
      <c r="J188" s="59"/>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ht="12.0" customHeight="1">
      <c r="A189" s="58"/>
      <c r="B189" s="58"/>
      <c r="C189" s="58"/>
      <c r="D189" s="58"/>
      <c r="E189" s="58"/>
      <c r="F189" s="58"/>
      <c r="G189" s="59"/>
      <c r="H189" s="59"/>
      <c r="I189" s="59"/>
      <c r="J189" s="59"/>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ht="12.0" customHeight="1">
      <c r="A190" s="58"/>
      <c r="B190" s="58"/>
      <c r="C190" s="58"/>
      <c r="D190" s="58"/>
      <c r="E190" s="58"/>
      <c r="F190" s="58"/>
      <c r="G190" s="59"/>
      <c r="H190" s="59"/>
      <c r="I190" s="59"/>
      <c r="J190" s="59"/>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ht="12.0" customHeight="1">
      <c r="A191" s="58"/>
      <c r="B191" s="58"/>
      <c r="C191" s="58"/>
      <c r="D191" s="58"/>
      <c r="E191" s="58"/>
      <c r="F191" s="58"/>
      <c r="G191" s="59"/>
      <c r="H191" s="59"/>
      <c r="I191" s="59"/>
      <c r="J191" s="59"/>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ht="12.0" customHeight="1">
      <c r="A192" s="58"/>
      <c r="B192" s="58"/>
      <c r="C192" s="58"/>
      <c r="D192" s="58"/>
      <c r="E192" s="58"/>
      <c r="F192" s="58"/>
      <c r="G192" s="59"/>
      <c r="H192" s="59"/>
      <c r="I192" s="59"/>
      <c r="J192" s="59"/>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ht="12.0" customHeight="1">
      <c r="A193" s="58"/>
      <c r="B193" s="58"/>
      <c r="C193" s="58"/>
      <c r="D193" s="58"/>
      <c r="E193" s="58"/>
      <c r="F193" s="58"/>
      <c r="G193" s="59"/>
      <c r="H193" s="59"/>
      <c r="I193" s="59"/>
      <c r="J193" s="59"/>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ht="12.0" customHeight="1">
      <c r="A194" s="58"/>
      <c r="B194" s="58"/>
      <c r="C194" s="58"/>
      <c r="D194" s="58"/>
      <c r="E194" s="58"/>
      <c r="F194" s="58"/>
      <c r="G194" s="59"/>
      <c r="H194" s="59"/>
      <c r="I194" s="59"/>
      <c r="J194" s="59"/>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ht="12.0" customHeight="1">
      <c r="A195" s="58"/>
      <c r="B195" s="58"/>
      <c r="C195" s="58"/>
      <c r="D195" s="58"/>
      <c r="E195" s="58"/>
      <c r="F195" s="58"/>
      <c r="G195" s="59"/>
      <c r="H195" s="59"/>
      <c r="I195" s="59"/>
      <c r="J195" s="59"/>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ht="12.0" customHeight="1">
      <c r="A196" s="58"/>
      <c r="B196" s="58"/>
      <c r="C196" s="58"/>
      <c r="D196" s="58"/>
      <c r="E196" s="58"/>
      <c r="F196" s="58"/>
      <c r="G196" s="59"/>
      <c r="H196" s="59"/>
      <c r="I196" s="59"/>
      <c r="J196" s="59"/>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row r="197" ht="12.0" customHeight="1">
      <c r="A197" s="58"/>
      <c r="B197" s="58"/>
      <c r="C197" s="58"/>
      <c r="D197" s="58"/>
      <c r="E197" s="58"/>
      <c r="F197" s="58"/>
      <c r="G197" s="59"/>
      <c r="H197" s="59"/>
      <c r="I197" s="59"/>
      <c r="J197" s="59"/>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row>
    <row r="198" ht="12.0" customHeight="1">
      <c r="A198" s="58"/>
      <c r="B198" s="58"/>
      <c r="C198" s="58"/>
      <c r="D198" s="58"/>
      <c r="E198" s="58"/>
      <c r="F198" s="58"/>
      <c r="G198" s="59"/>
      <c r="H198" s="59"/>
      <c r="I198" s="59"/>
      <c r="J198" s="59"/>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row>
    <row r="199" ht="12.0" customHeight="1">
      <c r="A199" s="58"/>
      <c r="B199" s="58"/>
      <c r="C199" s="58"/>
      <c r="D199" s="58"/>
      <c r="E199" s="58"/>
      <c r="F199" s="58"/>
      <c r="G199" s="59"/>
      <c r="H199" s="59"/>
      <c r="I199" s="59"/>
      <c r="J199" s="59"/>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row>
    <row r="200" ht="12.0" customHeight="1">
      <c r="A200" s="58"/>
      <c r="B200" s="58"/>
      <c r="C200" s="58"/>
      <c r="D200" s="58"/>
      <c r="E200" s="58"/>
      <c r="F200" s="58"/>
      <c r="G200" s="59"/>
      <c r="H200" s="59"/>
      <c r="I200" s="59"/>
      <c r="J200" s="59"/>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row>
    <row r="201" ht="12.0" customHeight="1">
      <c r="A201" s="58"/>
      <c r="B201" s="58"/>
      <c r="C201" s="58"/>
      <c r="D201" s="58"/>
      <c r="E201" s="58"/>
      <c r="F201" s="58"/>
      <c r="G201" s="59"/>
      <c r="H201" s="59"/>
      <c r="I201" s="59"/>
      <c r="J201" s="59"/>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row>
    <row r="202" ht="12.0" customHeight="1">
      <c r="A202" s="58"/>
      <c r="B202" s="58"/>
      <c r="C202" s="58"/>
      <c r="D202" s="58"/>
      <c r="E202" s="58"/>
      <c r="F202" s="58"/>
      <c r="G202" s="59"/>
      <c r="H202" s="59"/>
      <c r="I202" s="59"/>
      <c r="J202" s="59"/>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row>
    <row r="203" ht="12.0" customHeight="1">
      <c r="A203" s="58"/>
      <c r="B203" s="58"/>
      <c r="C203" s="58"/>
      <c r="D203" s="58"/>
      <c r="E203" s="58"/>
      <c r="F203" s="58"/>
      <c r="G203" s="59"/>
      <c r="H203" s="59"/>
      <c r="I203" s="59"/>
      <c r="J203" s="59"/>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row>
    <row r="204" ht="12.0" customHeight="1">
      <c r="A204" s="58"/>
      <c r="B204" s="58"/>
      <c r="C204" s="58"/>
      <c r="D204" s="58"/>
      <c r="E204" s="58"/>
      <c r="F204" s="58"/>
      <c r="G204" s="59"/>
      <c r="H204" s="59"/>
      <c r="I204" s="59"/>
      <c r="J204" s="59"/>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row>
    <row r="205" ht="12.0" customHeight="1">
      <c r="A205" s="58"/>
      <c r="B205" s="58"/>
      <c r="C205" s="58"/>
      <c r="D205" s="58"/>
      <c r="E205" s="58"/>
      <c r="F205" s="58"/>
      <c r="G205" s="59"/>
      <c r="H205" s="59"/>
      <c r="I205" s="59"/>
      <c r="J205" s="59"/>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row>
    <row r="206" ht="12.0" customHeight="1">
      <c r="A206" s="58"/>
      <c r="B206" s="58"/>
      <c r="C206" s="58"/>
      <c r="D206" s="58"/>
      <c r="E206" s="58"/>
      <c r="F206" s="58"/>
      <c r="G206" s="59"/>
      <c r="H206" s="59"/>
      <c r="I206" s="59"/>
      <c r="J206" s="59"/>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row>
    <row r="207" ht="12.0" customHeight="1">
      <c r="A207" s="58"/>
      <c r="B207" s="58"/>
      <c r="C207" s="58"/>
      <c r="D207" s="58"/>
      <c r="E207" s="58"/>
      <c r="F207" s="58"/>
      <c r="G207" s="59"/>
      <c r="H207" s="59"/>
      <c r="I207" s="59"/>
      <c r="J207" s="59"/>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row>
    <row r="208" ht="12.0" customHeight="1">
      <c r="A208" s="58"/>
      <c r="B208" s="58"/>
      <c r="C208" s="58"/>
      <c r="D208" s="58"/>
      <c r="E208" s="58"/>
      <c r="F208" s="58"/>
      <c r="G208" s="59"/>
      <c r="H208" s="59"/>
      <c r="I208" s="59"/>
      <c r="J208" s="59"/>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row>
    <row r="209" ht="12.0" customHeight="1">
      <c r="A209" s="58"/>
      <c r="B209" s="58"/>
      <c r="C209" s="58"/>
      <c r="D209" s="58"/>
      <c r="E209" s="58"/>
      <c r="F209" s="58"/>
      <c r="G209" s="59"/>
      <c r="H209" s="59"/>
      <c r="I209" s="59"/>
      <c r="J209" s="59"/>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row>
    <row r="210" ht="12.0" customHeight="1">
      <c r="A210" s="58"/>
      <c r="B210" s="58"/>
      <c r="C210" s="58"/>
      <c r="D210" s="58"/>
      <c r="E210" s="58"/>
      <c r="F210" s="58"/>
      <c r="G210" s="59"/>
      <c r="H210" s="59"/>
      <c r="I210" s="59"/>
      <c r="J210" s="59"/>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row>
    <row r="211" ht="12.0" customHeight="1">
      <c r="A211" s="58"/>
      <c r="B211" s="58"/>
      <c r="C211" s="58"/>
      <c r="D211" s="58"/>
      <c r="E211" s="58"/>
      <c r="F211" s="58"/>
      <c r="G211" s="59"/>
      <c r="H211" s="59"/>
      <c r="I211" s="59"/>
      <c r="J211" s="59"/>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row>
    <row r="212" ht="12.0" customHeight="1">
      <c r="A212" s="58"/>
      <c r="B212" s="58"/>
      <c r="C212" s="58"/>
      <c r="D212" s="58"/>
      <c r="E212" s="58"/>
      <c r="F212" s="58"/>
      <c r="G212" s="59"/>
      <c r="H212" s="59"/>
      <c r="I212" s="59"/>
      <c r="J212" s="59"/>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row>
    <row r="213" ht="12.0" customHeight="1">
      <c r="A213" s="58"/>
      <c r="B213" s="58"/>
      <c r="C213" s="58"/>
      <c r="D213" s="58"/>
      <c r="E213" s="58"/>
      <c r="F213" s="58"/>
      <c r="G213" s="59"/>
      <c r="H213" s="59"/>
      <c r="I213" s="59"/>
      <c r="J213" s="59"/>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row>
    <row r="214" ht="12.0" customHeight="1">
      <c r="A214" s="58"/>
      <c r="B214" s="58"/>
      <c r="C214" s="58"/>
      <c r="D214" s="58"/>
      <c r="E214" s="58"/>
      <c r="F214" s="58"/>
      <c r="G214" s="59"/>
      <c r="H214" s="59"/>
      <c r="I214" s="59"/>
      <c r="J214" s="59"/>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row>
    <row r="215" ht="12.0" customHeight="1">
      <c r="A215" s="58"/>
      <c r="B215" s="58"/>
      <c r="C215" s="58"/>
      <c r="D215" s="58"/>
      <c r="E215" s="58"/>
      <c r="F215" s="58"/>
      <c r="G215" s="59"/>
      <c r="H215" s="59"/>
      <c r="I215" s="59"/>
      <c r="J215" s="59"/>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row>
    <row r="216" ht="12.0" customHeight="1">
      <c r="A216" s="58"/>
      <c r="B216" s="58"/>
      <c r="C216" s="58"/>
      <c r="D216" s="58"/>
      <c r="E216" s="58"/>
      <c r="F216" s="58"/>
      <c r="G216" s="59"/>
      <c r="H216" s="59"/>
      <c r="I216" s="59"/>
      <c r="J216" s="59"/>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row>
    <row r="217" ht="12.0" customHeight="1">
      <c r="A217" s="58"/>
      <c r="B217" s="58"/>
      <c r="C217" s="58"/>
      <c r="D217" s="58"/>
      <c r="E217" s="58"/>
      <c r="F217" s="58"/>
      <c r="G217" s="59"/>
      <c r="H217" s="59"/>
      <c r="I217" s="59"/>
      <c r="J217" s="59"/>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row>
    <row r="218" ht="12.0" customHeight="1">
      <c r="A218" s="58"/>
      <c r="B218" s="58"/>
      <c r="C218" s="58"/>
      <c r="D218" s="58"/>
      <c r="E218" s="58"/>
      <c r="F218" s="58"/>
      <c r="G218" s="59"/>
      <c r="H218" s="59"/>
      <c r="I218" s="59"/>
      <c r="J218" s="59"/>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row>
    <row r="219" ht="12.0" customHeight="1">
      <c r="A219" s="58"/>
      <c r="B219" s="58"/>
      <c r="C219" s="58"/>
      <c r="D219" s="58"/>
      <c r="E219" s="58"/>
      <c r="F219" s="58"/>
      <c r="G219" s="59"/>
      <c r="H219" s="59"/>
      <c r="I219" s="59"/>
      <c r="J219" s="59"/>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row>
    <row r="220" ht="12.0" customHeight="1">
      <c r="A220" s="58"/>
      <c r="B220" s="58"/>
      <c r="C220" s="58"/>
      <c r="D220" s="58"/>
      <c r="E220" s="58"/>
      <c r="F220" s="58"/>
      <c r="G220" s="59"/>
      <c r="H220" s="59"/>
      <c r="I220" s="59"/>
      <c r="J220" s="59"/>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row>
    <row r="221" ht="12.0" customHeight="1">
      <c r="A221" s="58"/>
      <c r="B221" s="58"/>
      <c r="C221" s="58"/>
      <c r="D221" s="58"/>
      <c r="E221" s="58"/>
      <c r="F221" s="58"/>
      <c r="G221" s="59"/>
      <c r="H221" s="59"/>
      <c r="I221" s="59"/>
      <c r="J221" s="59"/>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row>
    <row r="222" ht="12.0" customHeight="1">
      <c r="A222" s="58"/>
      <c r="B222" s="58"/>
      <c r="C222" s="58"/>
      <c r="D222" s="58"/>
      <c r="E222" s="58"/>
      <c r="F222" s="58"/>
      <c r="G222" s="59"/>
      <c r="H222" s="59"/>
      <c r="I222" s="59"/>
      <c r="J222" s="59"/>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row>
    <row r="223" ht="12.0" customHeight="1">
      <c r="A223" s="58"/>
      <c r="B223" s="58"/>
      <c r="C223" s="58"/>
      <c r="D223" s="58"/>
      <c r="E223" s="58"/>
      <c r="F223" s="58"/>
      <c r="G223" s="59"/>
      <c r="H223" s="59"/>
      <c r="I223" s="59"/>
      <c r="J223" s="59"/>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row>
    <row r="224" ht="12.0" customHeight="1">
      <c r="A224" s="58"/>
      <c r="B224" s="58"/>
      <c r="C224" s="58"/>
      <c r="D224" s="58"/>
      <c r="E224" s="58"/>
      <c r="F224" s="58"/>
      <c r="G224" s="59"/>
      <c r="H224" s="59"/>
      <c r="I224" s="59"/>
      <c r="J224" s="59"/>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row>
    <row r="225" ht="12.0" customHeight="1">
      <c r="A225" s="58"/>
      <c r="B225" s="58"/>
      <c r="C225" s="58"/>
      <c r="D225" s="58"/>
      <c r="E225" s="58"/>
      <c r="F225" s="58"/>
      <c r="G225" s="59"/>
      <c r="H225" s="59"/>
      <c r="I225" s="59"/>
      <c r="J225" s="59"/>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row>
    <row r="226" ht="12.0" customHeight="1">
      <c r="A226" s="58"/>
      <c r="B226" s="58"/>
      <c r="C226" s="58"/>
      <c r="D226" s="58"/>
      <c r="E226" s="58"/>
      <c r="F226" s="58"/>
      <c r="G226" s="59"/>
      <c r="H226" s="59"/>
      <c r="I226" s="59"/>
      <c r="J226" s="59"/>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row>
    <row r="227" ht="12.0" customHeight="1">
      <c r="A227" s="58"/>
      <c r="B227" s="58"/>
      <c r="C227" s="58"/>
      <c r="D227" s="58"/>
      <c r="E227" s="58"/>
      <c r="F227" s="58"/>
      <c r="G227" s="59"/>
      <c r="H227" s="59"/>
      <c r="I227" s="59"/>
      <c r="J227" s="59"/>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row>
    <row r="228" ht="12.0" customHeight="1">
      <c r="A228" s="58"/>
      <c r="B228" s="58"/>
      <c r="C228" s="58"/>
      <c r="D228" s="58"/>
      <c r="E228" s="58"/>
      <c r="F228" s="58"/>
      <c r="G228" s="59"/>
      <c r="H228" s="59"/>
      <c r="I228" s="59"/>
      <c r="J228" s="59"/>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row>
    <row r="229" ht="12.0" customHeight="1">
      <c r="A229" s="58"/>
      <c r="B229" s="58"/>
      <c r="C229" s="58"/>
      <c r="D229" s="58"/>
      <c r="E229" s="58"/>
      <c r="F229" s="58"/>
      <c r="G229" s="59"/>
      <c r="H229" s="59"/>
      <c r="I229" s="59"/>
      <c r="J229" s="59"/>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row>
    <row r="230" ht="12.0" customHeight="1">
      <c r="A230" s="58"/>
      <c r="B230" s="58"/>
      <c r="C230" s="58"/>
      <c r="D230" s="58"/>
      <c r="E230" s="58"/>
      <c r="F230" s="58"/>
      <c r="G230" s="59"/>
      <c r="H230" s="59"/>
      <c r="I230" s="59"/>
      <c r="J230" s="59"/>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row>
    <row r="231" ht="12.0" customHeight="1">
      <c r="A231" s="58"/>
      <c r="B231" s="58"/>
      <c r="C231" s="58"/>
      <c r="D231" s="58"/>
      <c r="E231" s="58"/>
      <c r="F231" s="58"/>
      <c r="G231" s="59"/>
      <c r="H231" s="59"/>
      <c r="I231" s="59"/>
      <c r="J231" s="59"/>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row>
    <row r="232" ht="12.0" customHeight="1">
      <c r="A232" s="58"/>
      <c r="B232" s="58"/>
      <c r="C232" s="58"/>
      <c r="D232" s="58"/>
      <c r="E232" s="58"/>
      <c r="F232" s="58"/>
      <c r="G232" s="59"/>
      <c r="H232" s="59"/>
      <c r="I232" s="59"/>
      <c r="J232" s="59"/>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row>
    <row r="233" ht="12.0" customHeight="1">
      <c r="A233" s="58"/>
      <c r="B233" s="58"/>
      <c r="C233" s="58"/>
      <c r="D233" s="58"/>
      <c r="E233" s="58"/>
      <c r="F233" s="58"/>
      <c r="G233" s="59"/>
      <c r="H233" s="59"/>
      <c r="I233" s="59"/>
      <c r="J233" s="59"/>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row>
    <row r="234" ht="12.0" customHeight="1">
      <c r="A234" s="58"/>
      <c r="B234" s="58"/>
      <c r="C234" s="58"/>
      <c r="D234" s="58"/>
      <c r="E234" s="58"/>
      <c r="F234" s="58"/>
      <c r="G234" s="59"/>
      <c r="H234" s="59"/>
      <c r="I234" s="59"/>
      <c r="J234" s="59"/>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row>
    <row r="235" ht="12.0" customHeight="1">
      <c r="A235" s="58"/>
      <c r="B235" s="58"/>
      <c r="C235" s="58"/>
      <c r="D235" s="58"/>
      <c r="E235" s="58"/>
      <c r="F235" s="58"/>
      <c r="G235" s="59"/>
      <c r="H235" s="59"/>
      <c r="I235" s="59"/>
      <c r="J235" s="59"/>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row>
    <row r="236" ht="12.0" customHeight="1">
      <c r="A236" s="58"/>
      <c r="B236" s="58"/>
      <c r="C236" s="58"/>
      <c r="D236" s="58"/>
      <c r="E236" s="58"/>
      <c r="F236" s="58"/>
      <c r="G236" s="59"/>
      <c r="H236" s="59"/>
      <c r="I236" s="59"/>
      <c r="J236" s="59"/>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row>
    <row r="237" ht="12.0" customHeight="1">
      <c r="A237" s="58"/>
      <c r="B237" s="58"/>
      <c r="C237" s="58"/>
      <c r="D237" s="58"/>
      <c r="E237" s="58"/>
      <c r="F237" s="58"/>
      <c r="G237" s="59"/>
      <c r="H237" s="59"/>
      <c r="I237" s="59"/>
      <c r="J237" s="59"/>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row>
    <row r="238" ht="12.0" customHeight="1">
      <c r="A238" s="58"/>
      <c r="B238" s="58"/>
      <c r="C238" s="58"/>
      <c r="D238" s="58"/>
      <c r="E238" s="58"/>
      <c r="F238" s="58"/>
      <c r="G238" s="59"/>
      <c r="H238" s="59"/>
      <c r="I238" s="59"/>
      <c r="J238" s="59"/>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row>
    <row r="239" ht="12.0" customHeight="1">
      <c r="A239" s="58"/>
      <c r="B239" s="58"/>
      <c r="C239" s="58"/>
      <c r="D239" s="58"/>
      <c r="E239" s="58"/>
      <c r="F239" s="58"/>
      <c r="G239" s="59"/>
      <c r="H239" s="59"/>
      <c r="I239" s="59"/>
      <c r="J239" s="59"/>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row>
    <row r="240" ht="12.0" customHeight="1">
      <c r="A240" s="58"/>
      <c r="B240" s="58"/>
      <c r="C240" s="58"/>
      <c r="D240" s="58"/>
      <c r="E240" s="58"/>
      <c r="F240" s="58"/>
      <c r="G240" s="59"/>
      <c r="H240" s="59"/>
      <c r="I240" s="59"/>
      <c r="J240" s="59"/>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row>
    <row r="241" ht="12.0" customHeight="1">
      <c r="A241" s="58"/>
      <c r="B241" s="58"/>
      <c r="C241" s="58"/>
      <c r="D241" s="58"/>
      <c r="E241" s="58"/>
      <c r="F241" s="58"/>
      <c r="G241" s="59"/>
      <c r="H241" s="59"/>
      <c r="I241" s="59"/>
      <c r="J241" s="59"/>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row>
    <row r="242" ht="12.0" customHeight="1">
      <c r="A242" s="58"/>
      <c r="B242" s="58"/>
      <c r="C242" s="58"/>
      <c r="D242" s="58"/>
      <c r="E242" s="58"/>
      <c r="F242" s="58"/>
      <c r="G242" s="59"/>
      <c r="H242" s="59"/>
      <c r="I242" s="59"/>
      <c r="J242" s="59"/>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row>
    <row r="243" ht="12.0" customHeight="1">
      <c r="A243" s="58"/>
      <c r="B243" s="58"/>
      <c r="C243" s="58"/>
      <c r="D243" s="58"/>
      <c r="E243" s="58"/>
      <c r="F243" s="58"/>
      <c r="G243" s="59"/>
      <c r="H243" s="59"/>
      <c r="I243" s="59"/>
      <c r="J243" s="59"/>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row>
    <row r="244" ht="12.0" customHeight="1">
      <c r="A244" s="58"/>
      <c r="B244" s="58"/>
      <c r="C244" s="58"/>
      <c r="D244" s="58"/>
      <c r="E244" s="58"/>
      <c r="F244" s="58"/>
      <c r="G244" s="59"/>
      <c r="H244" s="59"/>
      <c r="I244" s="59"/>
      <c r="J244" s="59"/>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row>
    <row r="245" ht="12.0" customHeight="1">
      <c r="A245" s="58"/>
      <c r="B245" s="58"/>
      <c r="C245" s="58"/>
      <c r="D245" s="58"/>
      <c r="E245" s="58"/>
      <c r="F245" s="58"/>
      <c r="G245" s="59"/>
      <c r="H245" s="59"/>
      <c r="I245" s="59"/>
      <c r="J245" s="59"/>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row>
    <row r="246" ht="12.0" customHeight="1">
      <c r="A246" s="58"/>
      <c r="B246" s="58"/>
      <c r="C246" s="58"/>
      <c r="D246" s="58"/>
      <c r="E246" s="58"/>
      <c r="F246" s="58"/>
      <c r="G246" s="59"/>
      <c r="H246" s="59"/>
      <c r="I246" s="59"/>
      <c r="J246" s="59"/>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row>
    <row r="247" ht="12.0" customHeight="1">
      <c r="A247" s="58"/>
      <c r="B247" s="58"/>
      <c r="C247" s="58"/>
      <c r="D247" s="58"/>
      <c r="E247" s="58"/>
      <c r="F247" s="58"/>
      <c r="G247" s="59"/>
      <c r="H247" s="59"/>
      <c r="I247" s="59"/>
      <c r="J247" s="59"/>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row>
    <row r="248" ht="12.0" customHeight="1">
      <c r="A248" s="58"/>
      <c r="B248" s="58"/>
      <c r="C248" s="58"/>
      <c r="D248" s="58"/>
      <c r="E248" s="58"/>
      <c r="F248" s="58"/>
      <c r="G248" s="59"/>
      <c r="H248" s="59"/>
      <c r="I248" s="59"/>
      <c r="J248" s="59"/>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row>
    <row r="249" ht="12.0" customHeight="1">
      <c r="A249" s="58"/>
      <c r="B249" s="58"/>
      <c r="C249" s="58"/>
      <c r="D249" s="58"/>
      <c r="E249" s="58"/>
      <c r="F249" s="58"/>
      <c r="G249" s="59"/>
      <c r="H249" s="59"/>
      <c r="I249" s="59"/>
      <c r="J249" s="59"/>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row>
    <row r="250" ht="12.0" customHeight="1">
      <c r="A250" s="58"/>
      <c r="B250" s="58"/>
      <c r="C250" s="58"/>
      <c r="D250" s="58"/>
      <c r="E250" s="58"/>
      <c r="F250" s="58"/>
      <c r="G250" s="59"/>
      <c r="H250" s="59"/>
      <c r="I250" s="59"/>
      <c r="J250" s="59"/>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row>
    <row r="251" ht="12.0" customHeight="1">
      <c r="A251" s="58"/>
      <c r="B251" s="58"/>
      <c r="C251" s="58"/>
      <c r="D251" s="58"/>
      <c r="E251" s="58"/>
      <c r="F251" s="58"/>
      <c r="G251" s="59"/>
      <c r="H251" s="59"/>
      <c r="I251" s="59"/>
      <c r="J251" s="59"/>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row>
    <row r="252" ht="12.0" customHeight="1">
      <c r="A252" s="58"/>
      <c r="B252" s="58"/>
      <c r="C252" s="58"/>
      <c r="D252" s="58"/>
      <c r="E252" s="58"/>
      <c r="F252" s="58"/>
      <c r="G252" s="59"/>
      <c r="H252" s="59"/>
      <c r="I252" s="59"/>
      <c r="J252" s="59"/>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row>
    <row r="253" ht="12.0" customHeight="1">
      <c r="A253" s="58"/>
      <c r="B253" s="58"/>
      <c r="C253" s="58"/>
      <c r="D253" s="58"/>
      <c r="E253" s="58"/>
      <c r="F253" s="58"/>
      <c r="G253" s="59"/>
      <c r="H253" s="59"/>
      <c r="I253" s="59"/>
      <c r="J253" s="59"/>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row>
    <row r="254" ht="12.0" customHeight="1">
      <c r="A254" s="58"/>
      <c r="B254" s="58"/>
      <c r="C254" s="58"/>
      <c r="D254" s="58"/>
      <c r="E254" s="58"/>
      <c r="F254" s="58"/>
      <c r="G254" s="59"/>
      <c r="H254" s="59"/>
      <c r="I254" s="59"/>
      <c r="J254" s="59"/>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row>
    <row r="255" ht="12.0" customHeight="1">
      <c r="A255" s="58"/>
      <c r="B255" s="58"/>
      <c r="C255" s="58"/>
      <c r="D255" s="58"/>
      <c r="E255" s="58"/>
      <c r="F255" s="58"/>
      <c r="G255" s="59"/>
      <c r="H255" s="59"/>
      <c r="I255" s="59"/>
      <c r="J255" s="59"/>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row>
    <row r="256" ht="12.0" customHeight="1">
      <c r="A256" s="58"/>
      <c r="B256" s="58"/>
      <c r="C256" s="58"/>
      <c r="D256" s="58"/>
      <c r="E256" s="58"/>
      <c r="F256" s="58"/>
      <c r="G256" s="59"/>
      <c r="H256" s="59"/>
      <c r="I256" s="59"/>
      <c r="J256" s="59"/>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F1:Y1"/>
    <mergeCell ref="F2:I2"/>
    <mergeCell ref="M2:Y5"/>
    <mergeCell ref="F3:I3"/>
    <mergeCell ref="F4:I4"/>
    <mergeCell ref="F5:I5"/>
    <mergeCell ref="F8:F11"/>
    <mergeCell ref="M8:M11"/>
    <mergeCell ref="T8:T11"/>
    <mergeCell ref="F14:F17"/>
    <mergeCell ref="M14:M17"/>
    <mergeCell ref="T14:T17"/>
    <mergeCell ref="M20:M23"/>
    <mergeCell ref="T20:T23"/>
    <mergeCell ref="M32:M35"/>
    <mergeCell ref="M38:M41"/>
    <mergeCell ref="M44:M47"/>
    <mergeCell ref="M50:M53"/>
    <mergeCell ref="F38:F41"/>
    <mergeCell ref="F44:F47"/>
    <mergeCell ref="F50:F53"/>
    <mergeCell ref="T44:T47"/>
    <mergeCell ref="T50:T53"/>
    <mergeCell ref="F55:Y55"/>
    <mergeCell ref="F56:Y56"/>
    <mergeCell ref="F20:F23"/>
    <mergeCell ref="F26:F29"/>
    <mergeCell ref="M26:M29"/>
    <mergeCell ref="T26:T29"/>
    <mergeCell ref="F32:F35"/>
    <mergeCell ref="T32:T35"/>
    <mergeCell ref="T38:T41"/>
  </mergeCells>
  <conditionalFormatting sqref="A7:E53">
    <cfRule type="notContainsBlanks" dxfId="0" priority="1">
      <formula>LEN(TRIM(A7))&gt;0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71"/>
    <col customWidth="1" min="3" max="4" width="8.0"/>
    <col customWidth="1" min="5" max="5" width="8.71"/>
    <col customWidth="1" min="6" max="59" width="8.0"/>
    <col customWidth="1" hidden="1" min="60" max="99" width="8.0"/>
    <col customWidth="1" min="100" max="113" width="8.0"/>
  </cols>
  <sheetData>
    <row r="1" ht="22.5" customHeight="1">
      <c r="A1" s="94" t="s">
        <v>121</v>
      </c>
      <c r="V1" s="94"/>
      <c r="W1" s="95"/>
      <c r="X1" s="95"/>
    </row>
    <row r="2" ht="17.25" customHeight="1">
      <c r="A2" s="96" t="s">
        <v>122</v>
      </c>
      <c r="V2" s="95"/>
      <c r="W2" s="95"/>
      <c r="X2" s="95"/>
    </row>
    <row r="3">
      <c r="L3" s="97"/>
      <c r="M3" s="95"/>
      <c r="N3" s="95"/>
      <c r="O3" s="95"/>
      <c r="P3" s="95"/>
      <c r="Q3" s="95"/>
      <c r="R3" s="97"/>
      <c r="S3" s="95"/>
      <c r="T3" s="95"/>
      <c r="U3" s="95"/>
      <c r="V3" s="95"/>
      <c r="W3" s="95"/>
      <c r="X3" s="95"/>
      <c r="AX3" s="98"/>
      <c r="AY3" s="98"/>
      <c r="AZ3" s="98"/>
      <c r="BA3" s="98"/>
      <c r="BB3" s="98"/>
      <c r="BC3" s="98"/>
      <c r="BD3" s="98"/>
      <c r="BE3" s="98"/>
      <c r="BF3" s="98"/>
      <c r="BG3" s="98"/>
      <c r="BH3" s="98"/>
      <c r="BI3" s="98"/>
      <c r="BJ3" s="98"/>
      <c r="BK3" s="98"/>
      <c r="BL3" s="98"/>
      <c r="BM3" s="98"/>
      <c r="BN3" s="98"/>
      <c r="BO3" s="98"/>
      <c r="BP3" s="98"/>
      <c r="BQ3" s="98"/>
      <c r="BR3" s="98"/>
      <c r="BS3" s="98"/>
      <c r="BT3" s="98"/>
      <c r="BU3" s="98"/>
      <c r="BV3" s="98"/>
      <c r="BW3" s="98"/>
      <c r="BX3" s="98"/>
      <c r="BY3" s="98"/>
      <c r="BZ3" s="98"/>
      <c r="CA3" s="98"/>
      <c r="CB3" s="98"/>
      <c r="CC3" s="98"/>
      <c r="CD3" s="98"/>
      <c r="CE3" s="98"/>
      <c r="CF3" s="98"/>
      <c r="CG3" s="98"/>
      <c r="CH3" s="98"/>
      <c r="CI3" s="98"/>
      <c r="CJ3" s="98"/>
      <c r="CK3" s="98"/>
      <c r="CL3" s="98"/>
      <c r="CM3" s="98"/>
      <c r="CN3" s="98"/>
      <c r="CO3" s="98"/>
      <c r="CP3" s="98"/>
      <c r="CQ3" s="98"/>
      <c r="CR3" s="98"/>
      <c r="CS3" s="98"/>
      <c r="CT3" s="98"/>
      <c r="CU3" s="98"/>
      <c r="CV3" s="98"/>
      <c r="CW3" s="98"/>
      <c r="CX3" s="98"/>
      <c r="CY3" s="98"/>
    </row>
    <row r="4" ht="21.0" customHeight="1">
      <c r="G4" s="99" t="s">
        <v>123</v>
      </c>
      <c r="H4" s="100" t="s">
        <v>124</v>
      </c>
      <c r="I4" s="101" t="str">
        <f>Input!D2</f>
        <v>Dewi</v>
      </c>
      <c r="N4" s="95"/>
      <c r="O4" s="95"/>
      <c r="P4" s="95"/>
      <c r="Q4" s="95"/>
      <c r="R4" s="97"/>
      <c r="S4" s="95"/>
      <c r="T4" s="95"/>
      <c r="U4" s="95"/>
      <c r="V4" s="95"/>
      <c r="W4" s="95"/>
      <c r="X4" s="95"/>
      <c r="Y4" s="95"/>
      <c r="Z4" s="95"/>
      <c r="AA4" s="95"/>
      <c r="AB4" s="95"/>
      <c r="AC4" s="95"/>
      <c r="AX4" s="98"/>
      <c r="AY4" s="98"/>
      <c r="AZ4" s="98"/>
      <c r="BA4" s="102"/>
      <c r="BB4" s="102"/>
      <c r="BC4" s="102"/>
      <c r="BD4" s="102"/>
      <c r="BE4" s="102"/>
      <c r="BF4" s="102"/>
      <c r="BG4" s="102"/>
      <c r="BH4" s="103">
        <v>1.0</v>
      </c>
      <c r="BI4" s="103">
        <v>2.0</v>
      </c>
      <c r="BJ4" s="103">
        <v>3.0</v>
      </c>
      <c r="BK4" s="103">
        <v>4.0</v>
      </c>
      <c r="BL4" s="103">
        <v>5.0</v>
      </c>
      <c r="BM4" s="103">
        <v>6.0</v>
      </c>
      <c r="BN4" s="103">
        <v>7.0</v>
      </c>
      <c r="BO4" s="103">
        <v>8.0</v>
      </c>
      <c r="BP4" s="103">
        <v>9.0</v>
      </c>
      <c r="BQ4" s="103">
        <v>10.0</v>
      </c>
      <c r="BR4" s="103">
        <v>11.0</v>
      </c>
      <c r="BS4" s="103">
        <v>12.0</v>
      </c>
      <c r="BT4" s="104">
        <v>13.0</v>
      </c>
      <c r="BU4" s="104">
        <v>14.0</v>
      </c>
      <c r="BV4" s="104">
        <v>15.0</v>
      </c>
      <c r="BW4" s="104">
        <v>16.0</v>
      </c>
      <c r="BX4" s="104">
        <v>17.0</v>
      </c>
      <c r="BY4" s="104">
        <v>18.0</v>
      </c>
      <c r="BZ4" s="104">
        <v>19.0</v>
      </c>
      <c r="CA4" s="104">
        <v>20.0</v>
      </c>
      <c r="CB4" s="104">
        <v>21.0</v>
      </c>
      <c r="CC4" s="104">
        <v>22.0</v>
      </c>
      <c r="CD4" s="104">
        <v>23.0</v>
      </c>
      <c r="CE4" s="104">
        <v>24.0</v>
      </c>
      <c r="CF4" s="104">
        <v>25.0</v>
      </c>
      <c r="CG4" s="104">
        <v>26.0</v>
      </c>
      <c r="CH4" s="104">
        <v>27.0</v>
      </c>
      <c r="CI4" s="104">
        <v>28.0</v>
      </c>
      <c r="CJ4" s="104">
        <v>29.0</v>
      </c>
      <c r="CK4" s="104">
        <v>30.0</v>
      </c>
      <c r="CL4" s="104">
        <v>31.0</v>
      </c>
      <c r="CM4" s="104">
        <v>32.0</v>
      </c>
      <c r="CN4" s="104">
        <v>33.0</v>
      </c>
      <c r="CO4" s="104">
        <v>34.0</v>
      </c>
      <c r="CP4" s="104">
        <v>35.0</v>
      </c>
      <c r="CQ4" s="104">
        <v>36.0</v>
      </c>
      <c r="CR4" s="104">
        <v>37.0</v>
      </c>
      <c r="CS4" s="104">
        <v>38.0</v>
      </c>
      <c r="CT4" s="104">
        <v>39.0</v>
      </c>
      <c r="CU4" s="104">
        <v>40.0</v>
      </c>
      <c r="CV4" s="98"/>
      <c r="CW4" s="98"/>
      <c r="CX4" s="98"/>
      <c r="CY4" s="98"/>
      <c r="CZ4" s="98"/>
      <c r="DA4" s="98"/>
    </row>
    <row r="5" ht="21.0" customHeight="1">
      <c r="G5" s="99" t="s">
        <v>125</v>
      </c>
      <c r="H5" s="100" t="s">
        <v>124</v>
      </c>
      <c r="I5" s="101" t="str">
        <f>Input!D3</f>
        <v>37 Tahun</v>
      </c>
      <c r="N5" s="105"/>
      <c r="O5" s="105"/>
      <c r="P5" s="105"/>
      <c r="Q5" s="105"/>
      <c r="R5" s="106"/>
      <c r="S5" s="105"/>
      <c r="T5" s="105"/>
      <c r="U5" s="105"/>
      <c r="V5" s="95"/>
      <c r="W5" s="105"/>
      <c r="X5" s="105"/>
      <c r="Y5" s="105"/>
      <c r="Z5" s="105"/>
      <c r="AA5" s="105"/>
      <c r="AB5" s="105"/>
      <c r="AC5" s="95"/>
      <c r="AX5" s="98"/>
      <c r="AY5" s="98"/>
      <c r="AZ5" s="98"/>
      <c r="BA5" s="107"/>
      <c r="BB5" s="107"/>
      <c r="BC5" s="107"/>
      <c r="BD5" s="107"/>
      <c r="BE5" s="107"/>
      <c r="BF5" s="107"/>
      <c r="BG5" s="107"/>
      <c r="BH5" s="108" t="s">
        <v>11</v>
      </c>
      <c r="BI5" s="108" t="s">
        <v>8</v>
      </c>
      <c r="BJ5" s="108" t="s">
        <v>126</v>
      </c>
      <c r="BK5" s="108" t="s">
        <v>127</v>
      </c>
      <c r="BL5" s="108" t="s">
        <v>128</v>
      </c>
      <c r="BM5" s="108" t="s">
        <v>129</v>
      </c>
      <c r="BN5" s="108" t="s">
        <v>130</v>
      </c>
      <c r="BO5" s="108" t="s">
        <v>131</v>
      </c>
      <c r="BP5" s="108" t="s">
        <v>132</v>
      </c>
      <c r="BQ5" s="108" t="s">
        <v>133</v>
      </c>
      <c r="BR5" s="108" t="s">
        <v>134</v>
      </c>
      <c r="BS5" s="108" t="s">
        <v>135</v>
      </c>
      <c r="BT5" s="108" t="s">
        <v>136</v>
      </c>
      <c r="BU5" s="108" t="s">
        <v>137</v>
      </c>
      <c r="BV5" s="108" t="s">
        <v>10</v>
      </c>
      <c r="BW5" s="108" t="s">
        <v>138</v>
      </c>
      <c r="BX5" s="108" t="s">
        <v>139</v>
      </c>
      <c r="BY5" s="108" t="s">
        <v>140</v>
      </c>
      <c r="BZ5" s="108" t="s">
        <v>141</v>
      </c>
      <c r="CA5" s="108" t="s">
        <v>142</v>
      </c>
      <c r="CB5" s="108" t="s">
        <v>143</v>
      </c>
      <c r="CC5" s="108" t="s">
        <v>144</v>
      </c>
      <c r="CD5" s="108" t="s">
        <v>145</v>
      </c>
      <c r="CE5" s="108" t="s">
        <v>9</v>
      </c>
      <c r="CF5" s="108" t="s">
        <v>146</v>
      </c>
      <c r="CG5" s="108" t="s">
        <v>147</v>
      </c>
      <c r="CH5" s="108" t="s">
        <v>148</v>
      </c>
      <c r="CI5" s="108" t="s">
        <v>149</v>
      </c>
      <c r="CJ5" s="108" t="s">
        <v>150</v>
      </c>
      <c r="CK5" s="108" t="s">
        <v>151</v>
      </c>
      <c r="CL5" s="108" t="s">
        <v>152</v>
      </c>
      <c r="CM5" s="108" t="s">
        <v>153</v>
      </c>
      <c r="CN5" s="108" t="s">
        <v>154</v>
      </c>
      <c r="CO5" s="108" t="s">
        <v>155</v>
      </c>
      <c r="CP5" s="108" t="s">
        <v>156</v>
      </c>
      <c r="CQ5" s="108" t="s">
        <v>157</v>
      </c>
      <c r="CR5" s="108" t="s">
        <v>158</v>
      </c>
      <c r="CS5" s="108" t="s">
        <v>159</v>
      </c>
      <c r="CT5" s="108" t="s">
        <v>160</v>
      </c>
      <c r="CU5" s="108" t="s">
        <v>161</v>
      </c>
      <c r="CV5" s="36"/>
      <c r="CW5" s="36"/>
      <c r="CX5" s="36"/>
      <c r="CY5" s="36"/>
      <c r="CZ5" s="36"/>
      <c r="DA5" s="98"/>
    </row>
    <row r="6" ht="21.0" customHeight="1">
      <c r="G6" s="99" t="s">
        <v>162</v>
      </c>
      <c r="H6" s="100" t="s">
        <v>124</v>
      </c>
      <c r="I6" s="101" t="str">
        <f>Input!K2</f>
        <v>perempuan</v>
      </c>
      <c r="N6" s="109"/>
      <c r="O6" s="109"/>
      <c r="P6" s="109"/>
      <c r="Q6" s="110"/>
      <c r="R6" s="111"/>
      <c r="S6" s="109"/>
      <c r="T6" s="109"/>
      <c r="U6" s="109"/>
      <c r="V6" s="95"/>
      <c r="W6" s="105"/>
      <c r="X6" s="105"/>
      <c r="Y6" s="105"/>
      <c r="Z6" s="105"/>
      <c r="AA6" s="105"/>
      <c r="AB6" s="105"/>
      <c r="AC6" s="95"/>
      <c r="AX6" s="98"/>
      <c r="AY6" s="98"/>
      <c r="AZ6" s="98"/>
      <c r="BA6" s="112" t="s">
        <v>163</v>
      </c>
      <c r="BB6" s="112" t="s">
        <v>8</v>
      </c>
      <c r="BC6" s="112" t="s">
        <v>9</v>
      </c>
      <c r="BD6" s="112" t="s">
        <v>10</v>
      </c>
      <c r="BE6" s="112" t="s">
        <v>11</v>
      </c>
      <c r="BF6" s="113"/>
      <c r="BG6" s="113"/>
      <c r="BH6" s="114"/>
      <c r="BI6" s="114"/>
      <c r="BJ6" s="114"/>
      <c r="BK6" s="114"/>
      <c r="BL6" s="114"/>
      <c r="BM6" s="114"/>
      <c r="BN6" s="114"/>
      <c r="BO6" s="114"/>
      <c r="BP6" s="114"/>
      <c r="BQ6" s="114"/>
      <c r="BR6" s="114"/>
      <c r="BS6" s="114"/>
      <c r="BT6" s="114"/>
      <c r="BU6" s="114"/>
      <c r="BV6" s="114"/>
      <c r="BW6" s="114"/>
      <c r="BX6" s="114"/>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37"/>
      <c r="CW6" s="37"/>
      <c r="CX6" s="37"/>
      <c r="CY6" s="37"/>
      <c r="CZ6" s="36"/>
      <c r="DA6" s="98"/>
    </row>
    <row r="7" ht="21.0" customHeight="1">
      <c r="G7" s="99" t="s">
        <v>164</v>
      </c>
      <c r="H7" s="100" t="s">
        <v>124</v>
      </c>
      <c r="I7" s="115" t="str">
        <f>Input!K3</f>
        <v/>
      </c>
      <c r="N7" s="116"/>
      <c r="O7" s="117"/>
      <c r="P7" s="117"/>
      <c r="Q7" s="117"/>
      <c r="R7" s="118"/>
      <c r="S7" s="116"/>
      <c r="T7" s="117"/>
      <c r="U7" s="117"/>
      <c r="V7" s="95"/>
      <c r="W7" s="105"/>
      <c r="X7" s="105"/>
      <c r="Y7" s="105"/>
      <c r="Z7" s="105"/>
      <c r="AA7" s="105"/>
      <c r="AB7" s="105"/>
      <c r="AC7" s="95"/>
      <c r="AX7" s="98"/>
      <c r="AY7" s="98"/>
      <c r="AZ7" s="98"/>
      <c r="BA7" s="112">
        <v>1.0</v>
      </c>
      <c r="BB7" s="119">
        <f>VLOOKUP(H10,Sheet3!$B$3:$F$23,2)</f>
        <v>0.5</v>
      </c>
      <c r="BC7" s="119">
        <f>VLOOKUP(I10,Sheet3!$B$3:$F$23,3)</f>
        <v>6.5</v>
      </c>
      <c r="BD7" s="119">
        <f>VLOOKUP(J10,Sheet3!$B$3:$F$23,4)</f>
        <v>-4.3</v>
      </c>
      <c r="BE7" s="119">
        <f>VLOOKUP(K10,Sheet3!$B$3:$F$23,5)</f>
        <v>-3.5</v>
      </c>
      <c r="BF7" s="113"/>
      <c r="BG7" s="113"/>
      <c r="BH7" s="103">
        <f>IF(AND(BB7&lt;=0,BC7&lt;=0,BD7&lt;=0,BE7&gt;0)=TRUE,1,0)</f>
        <v>0</v>
      </c>
      <c r="BI7" s="103">
        <f>IF(AND(BB7&gt;0,BC7&lt;=0,BD7&lt;=0,BE7&lt;=0)=TRUE,1,0)</f>
        <v>0</v>
      </c>
      <c r="BJ7" s="103">
        <f>IF(AND(BB7&gt;0,BC7&lt;=0,BD7&lt;=0,BE7&gt;0,BE7&gt;=BB7)=TRUE,1,0)</f>
        <v>0</v>
      </c>
      <c r="BK7" s="103">
        <f>IF(AND(BB7&gt;0,BC7&gt;0,BD7&lt;=0,BE7&lt;=0,BC7&gt;=BB7)=TRUE,1,0)</f>
        <v>1</v>
      </c>
      <c r="BL7" s="103">
        <f>IF(AND(BB7&gt;0,BC7&gt;0,BD7&lt;=0,BE7&gt;0,BC7&gt;=BB7,BB7&gt;=BE7)=TRUE,1,0)</f>
        <v>0</v>
      </c>
      <c r="BM7" s="103">
        <f>IF(AND(BB7&gt;0,BC7&gt;0,BD7&gt;0,BE7&lt;=0,BC7&gt;=BB7,BB7&gt;=BD7)=TRUE,1,0)</f>
        <v>0</v>
      </c>
      <c r="BN7" s="103">
        <f>IF(AND(BB7&gt;0,BC7&gt;0,BD7&gt;0,BE7&lt;=0,BC7&gt;=BD7,BD7&gt;=BB7)=TRUE,1,0)</f>
        <v>0</v>
      </c>
      <c r="BO7" s="103">
        <f>IF(AND(BB7&gt;0,BC7&lt;=0,BD7&gt;0,BE7&gt;0,BD7&gt;=BB7,BB7&gt;=BE7)=TRUE,1,0)</f>
        <v>0</v>
      </c>
      <c r="BP7" s="103">
        <f>IF(AND(BB7&gt;0,BC7&gt;0,BD7&lt;=0,BE7&lt;=0,BB7&gt;=BC7)=TRUE,1,0)</f>
        <v>0</v>
      </c>
      <c r="BQ7" s="103">
        <f>IF(AND(BB7&gt;0,BC7&gt;0,BD7&gt;0,BE7&lt;=0,BB7&gt;=BC7,BC7&gt;=BD7)=TRUE,1,0)</f>
        <v>0</v>
      </c>
      <c r="BR7" s="103">
        <f>IF(AND(BB7&gt;0,BC7&lt;=0,BD7&gt;0,BE7&lt;=0,BB7&gt;=BD7)=TRUE,1,0)</f>
        <v>0</v>
      </c>
      <c r="BS7" s="103">
        <f>IF(AND(BB7&lt;=0,BC7&gt;0,BD7&gt;0,BE7&gt;0,BE7&gt;=BC7,BC7&gt;=BD7)=TRUE,1,0)</f>
        <v>0</v>
      </c>
      <c r="BT7" s="104">
        <f>IF(AND(BB7&lt;=0,BC7&gt;0,BD7&gt;0,BE7&gt;0,BE7&gt;=BD7,BD7&gt;=BC7)=TRUE,1,0)</f>
        <v>0</v>
      </c>
      <c r="BU7" s="104">
        <f>IF(AND(BB7&lt;=0,BC7&gt;0,BD7&gt;0,BE7&gt;0,BC7&gt;=BD7,BC7&gt;=BE7)=TRUE,1,0)</f>
        <v>0</v>
      </c>
      <c r="BV7" s="104">
        <f>IF(AND(BB7&lt;=0,BC7&lt;=0,BD7&gt;0,BE7&lt;=0)=TRUE,1,0)</f>
        <v>0</v>
      </c>
      <c r="BW7" s="104">
        <f>IF(AND(BB7&lt;=0,BC7&lt;=0,BD7&gt;0,BE7&gt;0,BE7&gt;=BD7)=TRUE,1,0)</f>
        <v>0</v>
      </c>
      <c r="BX7" s="104">
        <f>IF(AND(BB7&lt;=0,BC7&lt;=0,BD7&gt;0,BE7&gt;0,BD7&gt;=BE7)=TRUE,1,0)</f>
        <v>0</v>
      </c>
      <c r="BY7" s="104">
        <f>IF(AND(BC7&lt;=0,BD7&lt;=0,BB7&gt;0,BE7&gt;0,BB7&gt;=BE7)=TRUE,1,0)</f>
        <v>0</v>
      </c>
      <c r="BZ7" s="104">
        <f>IF(AND(BB7&gt;0,BC7&gt;0,BE7&gt;0,BD7&lt;=0,BB7&gt;=BC7,BC7&gt;=BE7)=TRUE,1,0)</f>
        <v>0</v>
      </c>
      <c r="CA7" s="104">
        <f>IF(AND(BB7&gt;0,BD7&gt;0,BC7&gt;0,BE7&lt;=0,BB7&gt;=BD7,BD7&gt;=BC7)=TRUE,1,0)</f>
        <v>0</v>
      </c>
      <c r="CB7" s="104">
        <f>IF(AND(BB7&gt;0,BD7&gt;0,BE7&gt;0,BC7&lt;=0,BB7&gt;=BD7,BD7&gt;=BE7)=TRUE,1,0)</f>
        <v>0</v>
      </c>
      <c r="CC7" s="104">
        <f>IF(AND(BB7&gt;0,BC7&gt;0,BE7&gt;0,BD7&lt;=0,BB7&gt;=BE7,BE7&gt;=BC7)=TRUE,1,0)</f>
        <v>0</v>
      </c>
      <c r="CD7" s="104">
        <f>IF(AND(BB7&gt;0,BD7&gt;0,BE7&gt;0,BC7&lt;=0,BB7&gt;=BE7,BE7&gt;=BD7)=TRUE,1,0)</f>
        <v>0</v>
      </c>
      <c r="CE7" s="104">
        <f>IF(AND(BB7&lt;=0,BD7&lt;=0,BE7&lt;=0,BC7&gt;0)=TRUE,1,0)</f>
        <v>0</v>
      </c>
      <c r="CF7" s="104">
        <f>IF(AND(BC7&gt;0,BD7&gt;0,BB7&lt;=0,BE7&lt;=0,BC7&gt;=BD7)=TRUE,1,0)</f>
        <v>0</v>
      </c>
      <c r="CG7" s="104">
        <f>IF(AND(BC7&gt;0,BE7&gt;0,BB7&lt;=0,BD7&lt;=0,BC7&gt;=BE7)=TRUE,1,0)</f>
        <v>0</v>
      </c>
      <c r="CH7" s="104">
        <f>IF(AND(BB7&gt;0,BC7&gt;0,BE7&gt;0,BD7&lt;=0,BC7&gt;=BE7,BE7&gt;=BB7)=TRUE,1,0)</f>
        <v>0</v>
      </c>
      <c r="CI7" s="104">
        <f>IF(AND(BB7&lt;=0,BC7&gt;0,BD7&gt;0,BE7&gt;0,BC7&gt;=BE7,BE7&gt;=BD7)=TRUE,1,0)</f>
        <v>0</v>
      </c>
      <c r="CJ7" s="104">
        <f>IF(AND(BB7&gt;0,BC7&lt;=0,BD7&gt;0,BE7&lt;=0,BD7&gt;=BB7)=TRUE,1,0)</f>
        <v>0</v>
      </c>
      <c r="CK7" s="104">
        <f>IF(AND(BC7&gt;0,BD7&gt;0,BB7&lt;=0,BE7&lt;=0,BD7&gt;=BC7)=TRUE,1,0)</f>
        <v>0</v>
      </c>
      <c r="CL7" s="104">
        <f>IF(AND(BB7&gt;0,BC7&gt;0,BD7&gt;0,BE7&lt;=0,BD7&gt;=BB7,BB7&gt;=BC7)=TRUE,1,0)</f>
        <v>0</v>
      </c>
      <c r="CM7" s="104">
        <f>IF(AND(BB7&gt;0,BC7&gt;0,BD7&gt;0,BE7&lt;=0,BD7&gt;=BC7,BC7&gt;=BB7)=TRUE,1,0)</f>
        <v>0</v>
      </c>
      <c r="CN7" s="104">
        <f>IF(AND(BC7&gt;0,BD7&gt;0,BE7&gt;0,BB7&lt;=0,BD7&gt;=BC7,BC7&gt;=BE7)=TRUE,1,0)</f>
        <v>0</v>
      </c>
      <c r="CO7" s="104">
        <f>IF(AND(BB7&gt;0,BC7&lt;=0,BD7&gt;0,BE7&gt;0,BD7&gt;=BE7,BE7&gt;=BB7)=TRUE,1,0)</f>
        <v>0</v>
      </c>
      <c r="CP7" s="104">
        <f>IF(AND(BC7&gt;0,BD7&gt;0,BE7&gt;0,BB7&lt;=0,BD7&gt;=BE7,BE7&gt;=BC7)=TRUE,1,0)</f>
        <v>0</v>
      </c>
      <c r="CQ7" s="104">
        <f>IF(AND(BC7&gt;0,BE7&gt;0,BB7&lt;=0,BD7&lt;=0,BE7&gt;=BC7)=TRUE,1,0)</f>
        <v>0</v>
      </c>
      <c r="CR7" s="104">
        <f>IF(AND(BB7&gt;0,BC7&gt;0,BE7&gt;0,BD7&lt;=0,BE7&gt;=BB7,BB7&gt;=BC7)=TRUE,1,0)</f>
        <v>0</v>
      </c>
      <c r="CS7" s="104">
        <f>IF(AND(BB7&gt;0,BD7&gt;0,BE7&gt;0,BC7&lt;=0,BE7&gt;=BB7,BB7&gt;=BD7)=TRUE,1,0)</f>
        <v>0</v>
      </c>
      <c r="CT7" s="104">
        <f>IF(AND(BB7&gt;0,BC7&gt;0,BE7&gt;0,BD7&lt;=0,BE7&gt;=BC7,BC7&gt;=BB7)=TRUE,1,0)</f>
        <v>0</v>
      </c>
      <c r="CU7" s="104">
        <f>IF(AND(BB7&gt;0,BD7&gt;0,BE7&gt;0,BC7&lt;=0,BE7&gt;=BD7,BD7&gt;=BB7)=TRUE,1,0)</f>
        <v>0</v>
      </c>
      <c r="CV7" s="37"/>
      <c r="CW7" s="37"/>
      <c r="CX7" s="37"/>
      <c r="CY7" s="113">
        <f>MATCH(1,BH7:CW7,0)</f>
        <v>4</v>
      </c>
      <c r="CZ7" s="36"/>
      <c r="DA7" s="98"/>
    </row>
    <row r="8" ht="21.0" customHeight="1">
      <c r="L8" s="97"/>
      <c r="M8" s="95"/>
      <c r="N8" s="116"/>
      <c r="O8" s="117"/>
      <c r="P8" s="117"/>
      <c r="Q8" s="117"/>
      <c r="R8" s="118"/>
      <c r="S8" s="116"/>
      <c r="T8" s="117"/>
      <c r="U8" s="117"/>
      <c r="V8" s="95"/>
      <c r="W8" s="105"/>
      <c r="X8" s="105"/>
      <c r="Y8" s="105"/>
      <c r="Z8" s="105"/>
      <c r="AA8" s="105"/>
      <c r="AB8" s="105"/>
      <c r="AC8" s="95"/>
      <c r="AX8" s="98"/>
      <c r="AY8" s="98"/>
      <c r="AZ8" s="98"/>
      <c r="BA8" s="112"/>
      <c r="BB8" s="112" t="s">
        <v>8</v>
      </c>
      <c r="BC8" s="112" t="s">
        <v>9</v>
      </c>
      <c r="BD8" s="112" t="s">
        <v>10</v>
      </c>
      <c r="BE8" s="112" t="s">
        <v>11</v>
      </c>
      <c r="BF8" s="113"/>
      <c r="BG8" s="113"/>
      <c r="BH8" s="103"/>
      <c r="BI8" s="103"/>
      <c r="BJ8" s="103"/>
      <c r="BK8" s="103"/>
      <c r="BL8" s="103"/>
      <c r="BM8" s="103"/>
      <c r="BN8" s="103"/>
      <c r="BO8" s="103"/>
      <c r="BP8" s="103"/>
      <c r="BQ8" s="103"/>
      <c r="BR8" s="103"/>
      <c r="BS8" s="103"/>
      <c r="BT8" s="104"/>
      <c r="BU8" s="104"/>
      <c r="BV8" s="104"/>
      <c r="BW8" s="104"/>
      <c r="BX8" s="104"/>
      <c r="BY8" s="113"/>
      <c r="BZ8" s="113"/>
      <c r="CA8" s="113"/>
      <c r="CB8" s="113"/>
      <c r="CC8" s="113"/>
      <c r="CD8" s="113"/>
      <c r="CE8" s="113"/>
      <c r="CF8" s="113"/>
      <c r="CG8" s="113"/>
      <c r="CH8" s="113"/>
      <c r="CI8" s="113"/>
      <c r="CJ8" s="113"/>
      <c r="CK8" s="113"/>
      <c r="CL8" s="113"/>
      <c r="CM8" s="113"/>
      <c r="CN8" s="113"/>
      <c r="CO8" s="113"/>
      <c r="CP8" s="113"/>
      <c r="CQ8" s="113"/>
      <c r="CR8" s="113"/>
      <c r="CS8" s="113"/>
      <c r="CT8" s="113"/>
      <c r="CU8" s="113"/>
      <c r="CV8" s="37"/>
      <c r="CW8" s="37"/>
      <c r="CX8" s="37"/>
      <c r="CY8" s="113"/>
      <c r="CZ8" s="36"/>
      <c r="DA8" s="98"/>
    </row>
    <row r="9" ht="21.0" customHeight="1">
      <c r="A9" s="120"/>
      <c r="B9" s="120"/>
      <c r="C9" s="120"/>
      <c r="D9" s="120"/>
      <c r="E9" s="120"/>
      <c r="F9" s="120"/>
      <c r="G9" s="121" t="s">
        <v>163</v>
      </c>
      <c r="H9" s="121" t="s">
        <v>8</v>
      </c>
      <c r="I9" s="121" t="s">
        <v>9</v>
      </c>
      <c r="J9" s="121" t="s">
        <v>10</v>
      </c>
      <c r="K9" s="121" t="s">
        <v>11</v>
      </c>
      <c r="L9" s="121" t="s">
        <v>12</v>
      </c>
      <c r="M9" s="121" t="s">
        <v>165</v>
      </c>
      <c r="N9" s="122"/>
      <c r="O9" s="118"/>
      <c r="P9" s="118"/>
      <c r="Q9" s="118"/>
      <c r="R9" s="118"/>
      <c r="S9" s="122"/>
      <c r="T9" s="118"/>
      <c r="U9" s="118"/>
      <c r="V9" s="120"/>
      <c r="W9" s="105"/>
      <c r="X9" s="105"/>
      <c r="Y9" s="105"/>
      <c r="Z9" s="105"/>
      <c r="AA9" s="105"/>
      <c r="AB9" s="105"/>
      <c r="AC9" s="95"/>
      <c r="AD9" s="120"/>
      <c r="AE9" s="120"/>
      <c r="AF9" s="120"/>
      <c r="AG9" s="120"/>
      <c r="AH9" s="120"/>
      <c r="AI9" s="120"/>
      <c r="AJ9" s="120"/>
      <c r="AK9" s="120"/>
      <c r="AL9" s="120"/>
      <c r="AM9" s="120"/>
      <c r="AN9" s="120"/>
      <c r="AO9" s="120"/>
      <c r="AP9" s="120"/>
      <c r="AQ9" s="120"/>
      <c r="AR9" s="120"/>
      <c r="AS9" s="120"/>
      <c r="AT9" s="120"/>
      <c r="AU9" s="120"/>
      <c r="AV9" s="120"/>
      <c r="AW9" s="120"/>
      <c r="AX9" s="123"/>
      <c r="AY9" s="123"/>
      <c r="AZ9" s="123"/>
      <c r="BA9" s="112">
        <v>2.0</v>
      </c>
      <c r="BB9" s="119">
        <f>VLOOKUP(H11,Sheet3!$B$3:$N$23,6)</f>
        <v>1.5</v>
      </c>
      <c r="BC9" s="119">
        <f>VLOOKUP(I11,Sheet3!$B$3:$N$23,7)</f>
        <v>7</v>
      </c>
      <c r="BD9" s="119">
        <f>VLOOKUP(J11,Sheet3!$B$3:$N$23,8)</f>
        <v>-1.3</v>
      </c>
      <c r="BE9" s="119">
        <f>VLOOKUP(K11,Sheet3!$B$3:$N$23,9)</f>
        <v>0</v>
      </c>
      <c r="BF9" s="113"/>
      <c r="BG9" s="113"/>
      <c r="BH9" s="103">
        <f>IF(AND(BB9&lt;=0,BC9&lt;=0,BD9&lt;=0,BE9&gt;0)=TRUE,1,0)</f>
        <v>0</v>
      </c>
      <c r="BI9" s="103">
        <f>IF(AND(BB9&gt;0,BC9&lt;=0,BD9&lt;=0,BE9&lt;=0)=TRUE,1,0)</f>
        <v>0</v>
      </c>
      <c r="BJ9" s="103">
        <f>IF(AND(BB9&gt;0,BC9&lt;=0,BD9&lt;=0,BE9&gt;0,BE9&gt;=BB9)=TRUE,1,0)</f>
        <v>0</v>
      </c>
      <c r="BK9" s="103">
        <f>IF(AND(BB9&gt;0,BC9&gt;0,BD9&lt;=0,BE9&lt;=0,BC9&gt;=BB9)=TRUE,1,0)</f>
        <v>1</v>
      </c>
      <c r="BL9" s="103">
        <f>IF(AND(BB9&gt;0,BC9&gt;0,BD9&lt;=0,BE9&gt;0,BC9&gt;=BB9,BB9&gt;=BE9)=TRUE,1,0)</f>
        <v>0</v>
      </c>
      <c r="BM9" s="103">
        <f>IF(AND(BB9&gt;0,BC9&gt;0,BD9&gt;0,BE9&lt;=0,BC9&gt;=BB9,BB9&gt;=BD9)=TRUE,1,0)</f>
        <v>0</v>
      </c>
      <c r="BN9" s="103">
        <f>IF(AND(BB9&gt;0,BC9&gt;0,BD9&gt;0,BE9&lt;=0,BC9&gt;=BD9,BD9&gt;=BB9)=TRUE,1,0)</f>
        <v>0</v>
      </c>
      <c r="BO9" s="103">
        <f>IF(AND(BB9&gt;0,BC9&lt;=0,BD9&gt;0,BE9&gt;0,BD9&gt;=BB9,BB9&gt;=BE9)=TRUE,1,0)</f>
        <v>0</v>
      </c>
      <c r="BP9" s="103">
        <f>IF(AND(BB9&gt;0,BC9&gt;0,BD9&lt;=0,BE9&lt;=0,BB9&gt;=BC9)=TRUE,1,0)</f>
        <v>0</v>
      </c>
      <c r="BQ9" s="103">
        <f>IF(AND(BB9&gt;0,BC9&gt;0,BD9&gt;0,BE9&lt;=0,BB9&gt;=BC9,BC9&gt;=BD9)=TRUE,1,0)</f>
        <v>0</v>
      </c>
      <c r="BR9" s="103">
        <f>IF(AND(BB9&gt;0,BC9&lt;=0,BD9&gt;0,BE9&lt;=0,BB9&gt;=BD9)=TRUE,1,0)</f>
        <v>0</v>
      </c>
      <c r="BS9" s="103">
        <f>IF(AND(BB9&lt;=0,BC9&gt;0,BD9&gt;0,BE9&gt;0,BE9&gt;=BC9,BC9&gt;=BD9)=TRUE,1,0)</f>
        <v>0</v>
      </c>
      <c r="BT9" s="104">
        <f>IF(AND(BB9&lt;=0,BC9&gt;0,BD9&gt;0,BE9&gt;0,BE9&gt;=BD9,BD9&gt;=BC9)=TRUE,1,0)</f>
        <v>0</v>
      </c>
      <c r="BU9" s="104">
        <f>IF(AND(BB9&lt;=0,BC9&gt;0,BD9&gt;0,BE9&gt;0,BC9&gt;=BD9,BC9&gt;=BE9)=TRUE,1,0)</f>
        <v>0</v>
      </c>
      <c r="BV9" s="104">
        <f>IF(AND(BB9&lt;=0,BC9&lt;=0,BD9&gt;0,BE9&lt;=0)=TRUE,1,0)</f>
        <v>0</v>
      </c>
      <c r="BW9" s="104">
        <f>IF(AND(BB9&lt;=0,BC9&lt;=0,BD9&gt;0,BE9&gt;0,BE9&gt;=BD9)=TRUE,1,0)</f>
        <v>0</v>
      </c>
      <c r="BX9" s="104">
        <f>IF(AND(BB9&lt;=0,BC9&lt;=0,BD9&gt;0,BE9&gt;0,BD9&gt;=BE9)=TRUE,1,0)</f>
        <v>0</v>
      </c>
      <c r="BY9" s="104">
        <f>IF(AND(BC9&lt;=0,BD9&lt;=0,BB9&gt;0,BE9&gt;0,BB9&gt;=BE9)=TRUE,1,0)</f>
        <v>0</v>
      </c>
      <c r="BZ9" s="104">
        <f>IF(AND(BB9&gt;0,BC9&gt;0,BE9&gt;0,BD9&lt;=0,BB9&gt;=BC9,BC9&gt;=BE9)=TRUE,1,0)</f>
        <v>0</v>
      </c>
      <c r="CA9" s="104">
        <f>IF(AND(BB9&gt;0,BD9&gt;0,BC9&gt;0,BE9&lt;=0,BB9&gt;=BD9,BD9&gt;=BC9)=TRUE,1,0)</f>
        <v>0</v>
      </c>
      <c r="CB9" s="104">
        <f>IF(AND(BB9&gt;0,BD9&gt;0,BE9&gt;0,BC9&lt;=0,BB9&gt;=BD9,BD9&gt;=BE9)=TRUE,1,0)</f>
        <v>0</v>
      </c>
      <c r="CC9" s="104">
        <f>IF(AND(BB9&gt;0,BC9&gt;0,BE9&gt;0,BD9&lt;=0,BB9&gt;=BE9,BE9&gt;=BC9)=TRUE,1,0)</f>
        <v>0</v>
      </c>
      <c r="CD9" s="104">
        <f>IF(AND(BB9&gt;0,BD9&gt;0,BE9&gt;0,BC9&lt;=0,BB9&gt;=BE9,BE9&gt;=BD9)=TRUE,1,0)</f>
        <v>0</v>
      </c>
      <c r="CE9" s="104">
        <f>IF(AND(BB9&lt;=0,BD9&lt;=0,BE9&lt;=0,BC9&gt;0)=TRUE,1,0)</f>
        <v>0</v>
      </c>
      <c r="CF9" s="104">
        <f>IF(AND(BC9&gt;0,BD9&gt;0,BB9&lt;=0,BE9&lt;=0,BC9&gt;=BD9)=TRUE,1,0)</f>
        <v>0</v>
      </c>
      <c r="CG9" s="104">
        <f>IF(AND(BC9&gt;0,BE9&gt;0,BB9&lt;=0,BD9&lt;=0,BC9&gt;=BE9)=TRUE,1,0)</f>
        <v>0</v>
      </c>
      <c r="CH9" s="104">
        <f>IF(AND(BB9&gt;0,BC9&gt;0,BE9&gt;0,BD9&lt;=0,BC9&gt;=BE9,BE9&gt;=BB9)=TRUE,1,0)</f>
        <v>0</v>
      </c>
      <c r="CI9" s="104">
        <f>IF(AND(BB9&lt;=0,BC9&gt;0,BD9&gt;0,BE9&gt;0,BC9&gt;=BE9,BE9&gt;=BD9)=TRUE,1,0)</f>
        <v>0</v>
      </c>
      <c r="CJ9" s="104">
        <f>IF(AND(BB9&gt;0,BC9&lt;=0,BD9&gt;0,BE9&lt;=0,BD9&gt;=BB9)=TRUE,1,0)</f>
        <v>0</v>
      </c>
      <c r="CK9" s="104">
        <f>IF(AND(BC9&gt;0,BD9&gt;0,BB9&lt;=0,BE9&lt;=0,BD9&gt;=BC9)=TRUE,1,0)</f>
        <v>0</v>
      </c>
      <c r="CL9" s="104">
        <f>IF(AND(BB9&gt;0,BC9&gt;0,BD9&gt;0,BE9&lt;=0,BD9&gt;=BB9,BB9&gt;=BC9)=TRUE,1,0)</f>
        <v>0</v>
      </c>
      <c r="CM9" s="104">
        <f>IF(AND(BB9&gt;0,BC9&gt;0,BD9&gt;0,BE9&lt;=0,BD9&gt;=BC9,BC9&gt;=BB9)=TRUE,1,0)</f>
        <v>0</v>
      </c>
      <c r="CN9" s="104">
        <f>IF(AND(BC9&gt;0,BD9&gt;0,BE9&gt;0,BB9&lt;=0,BD9&gt;=BC9,BC9&gt;=BE9)=TRUE,1,0)</f>
        <v>0</v>
      </c>
      <c r="CO9" s="104">
        <f>IF(AND(BB9&gt;0,BC9&lt;=0,BD9&gt;0,BE9&gt;0,BD9&gt;=BE9,BE9&gt;=BB9)=TRUE,1,0)</f>
        <v>0</v>
      </c>
      <c r="CP9" s="104">
        <f>IF(AND(BC9&gt;0,BD9&gt;0,BE9&gt;0,BB9&lt;=0,BD9&gt;=BE9,BE9&gt;=BC9)=TRUE,1,0)</f>
        <v>0</v>
      </c>
      <c r="CQ9" s="104">
        <f>IF(AND(BC9&gt;0,BE9&gt;0,BB9&lt;=0,BD9&lt;=0,BE9&gt;=BC9)=TRUE,1,0)</f>
        <v>0</v>
      </c>
      <c r="CR9" s="104">
        <f>IF(AND(BB9&gt;0,BC9&gt;0,BE9&gt;0,BD9&lt;=0,BE9&gt;=BB9,BB9&gt;=BC9)=TRUE,1,0)</f>
        <v>0</v>
      </c>
      <c r="CS9" s="104">
        <f>IF(AND(BB9&gt;0,BD9&gt;0,BE9&gt;0,BC9&lt;=0,BE9&gt;=BB9,BB9&gt;=BD9)=TRUE,1,0)</f>
        <v>0</v>
      </c>
      <c r="CT9" s="104">
        <f>IF(AND(BB9&gt;0,BC9&gt;0,BE9&gt;0,BD9&lt;=0,BE9&gt;=BC9,BC9&gt;=BB9)=TRUE,1,0)</f>
        <v>0</v>
      </c>
      <c r="CU9" s="104">
        <f>IF(AND(BB9&gt;0,BD9&gt;0,BE9&gt;0,BC9&lt;=0,BE9&gt;=BD9,BD9&gt;=BB9)=TRUE,1,0)</f>
        <v>0</v>
      </c>
      <c r="CV9" s="124"/>
      <c r="CW9" s="124"/>
      <c r="CX9" s="124"/>
      <c r="CY9" s="113">
        <f>MATCH(1,BH9:CW9,0)</f>
        <v>4</v>
      </c>
      <c r="CZ9" s="125"/>
      <c r="DA9" s="123"/>
      <c r="DB9" s="120"/>
      <c r="DC9" s="120"/>
      <c r="DD9" s="120"/>
      <c r="DE9" s="120"/>
      <c r="DF9" s="120"/>
      <c r="DG9" s="120"/>
      <c r="DH9" s="120"/>
      <c r="DI9" s="120"/>
    </row>
    <row r="10" ht="21.0" customHeight="1">
      <c r="A10" s="126"/>
      <c r="B10" s="126"/>
      <c r="C10" s="126"/>
      <c r="D10" s="126"/>
      <c r="E10" s="126"/>
      <c r="F10" s="126"/>
      <c r="G10" s="121">
        <v>1.0</v>
      </c>
      <c r="H10" s="127">
        <f>IF(Input!C6="","",Input!E15+Input!J15+Input!O15)</f>
        <v>7</v>
      </c>
      <c r="I10" s="127">
        <f>IF(Input!C6="","",Input!E16+Input!J16+Input!O16)</f>
        <v>10</v>
      </c>
      <c r="J10" s="127">
        <f>IF(Input!C6="","",Input!E17+Input!J17+Input!O17)</f>
        <v>1</v>
      </c>
      <c r="K10" s="127">
        <f>IF(Input!C6="","",Input!E18+Input!J18+Input!O18)</f>
        <v>2</v>
      </c>
      <c r="L10" s="128">
        <f>IF(Input!C6="","",Input!E19+Input!J19+Input!O19)</f>
        <v>4</v>
      </c>
      <c r="M10" s="129">
        <f t="shared" ref="M10:M11" si="1">IF(SUM(H10:L10)=24,24,"ERR")</f>
        <v>24</v>
      </c>
      <c r="N10" s="116"/>
      <c r="O10" s="117"/>
      <c r="P10" s="117"/>
      <c r="Q10" s="117"/>
      <c r="R10" s="118"/>
      <c r="S10" s="116"/>
      <c r="T10" s="117"/>
      <c r="U10" s="117"/>
      <c r="V10" s="126"/>
      <c r="W10" s="105"/>
      <c r="X10" s="105"/>
      <c r="Y10" s="105"/>
      <c r="Z10" s="105"/>
      <c r="AA10" s="105"/>
      <c r="AB10" s="105"/>
      <c r="AC10" s="95"/>
      <c r="AD10" s="126"/>
      <c r="AE10" s="126"/>
      <c r="AF10" s="126"/>
      <c r="AG10" s="126"/>
      <c r="AH10" s="126"/>
      <c r="AI10" s="126"/>
      <c r="AJ10" s="126"/>
      <c r="AK10" s="126"/>
      <c r="AL10" s="126"/>
      <c r="AM10" s="126"/>
      <c r="AN10" s="126"/>
      <c r="AO10" s="126"/>
      <c r="AP10" s="126"/>
      <c r="AQ10" s="126"/>
      <c r="AR10" s="126"/>
      <c r="AS10" s="126"/>
      <c r="AT10" s="126"/>
      <c r="AU10" s="126"/>
      <c r="AV10" s="126"/>
      <c r="AW10" s="126"/>
      <c r="AX10" s="130"/>
      <c r="AY10" s="130"/>
      <c r="AZ10" s="130"/>
      <c r="BA10" s="112"/>
      <c r="BB10" s="112" t="s">
        <v>8</v>
      </c>
      <c r="BC10" s="112" t="s">
        <v>9</v>
      </c>
      <c r="BD10" s="112" t="s">
        <v>10</v>
      </c>
      <c r="BE10" s="112" t="s">
        <v>11</v>
      </c>
      <c r="BF10" s="113"/>
      <c r="BG10" s="113"/>
      <c r="BH10" s="103"/>
      <c r="BI10" s="103"/>
      <c r="BJ10" s="103"/>
      <c r="BK10" s="103"/>
      <c r="BL10" s="103"/>
      <c r="BM10" s="103"/>
      <c r="BN10" s="103"/>
      <c r="BO10" s="103"/>
      <c r="BP10" s="103"/>
      <c r="BQ10" s="103"/>
      <c r="BR10" s="103"/>
      <c r="BS10" s="103"/>
      <c r="BT10" s="104"/>
      <c r="BU10" s="104"/>
      <c r="BV10" s="104"/>
      <c r="BW10" s="104"/>
      <c r="BX10" s="104"/>
      <c r="BY10" s="113"/>
      <c r="BZ10" s="113"/>
      <c r="CA10" s="113"/>
      <c r="CB10" s="113"/>
      <c r="CC10" s="113"/>
      <c r="CD10" s="113"/>
      <c r="CE10" s="113"/>
      <c r="CF10" s="113"/>
      <c r="CG10" s="113"/>
      <c r="CH10" s="113"/>
      <c r="CI10" s="113"/>
      <c r="CJ10" s="113"/>
      <c r="CK10" s="113"/>
      <c r="CL10" s="113"/>
      <c r="CM10" s="113"/>
      <c r="CN10" s="113"/>
      <c r="CO10" s="113"/>
      <c r="CP10" s="113"/>
      <c r="CQ10" s="113"/>
      <c r="CR10" s="113"/>
      <c r="CS10" s="113"/>
      <c r="CT10" s="113"/>
      <c r="CU10" s="113"/>
      <c r="CV10" s="131"/>
      <c r="CW10" s="131"/>
      <c r="CX10" s="131"/>
      <c r="CY10" s="113"/>
      <c r="CZ10" s="132"/>
      <c r="DA10" s="130"/>
      <c r="DB10" s="126"/>
      <c r="DC10" s="126"/>
      <c r="DD10" s="126"/>
      <c r="DE10" s="126"/>
      <c r="DF10" s="126"/>
      <c r="DG10" s="126"/>
      <c r="DH10" s="126"/>
      <c r="DI10" s="126"/>
    </row>
    <row r="11" ht="21.0" customHeight="1">
      <c r="A11" s="126"/>
      <c r="B11" s="126"/>
      <c r="C11" s="126"/>
      <c r="D11" s="126"/>
      <c r="E11" s="126"/>
      <c r="F11" s="126"/>
      <c r="G11" s="121">
        <v>2.0</v>
      </c>
      <c r="H11" s="127">
        <f>IF(Input!C6="","",Input!F15+Input!K15+Input!P15)</f>
        <v>4</v>
      </c>
      <c r="I11" s="127">
        <f>IF(Input!C6="","",Input!F16+Input!K16+Input!P16)</f>
        <v>0</v>
      </c>
      <c r="J11" s="127">
        <f>IF(Input!C6="","",Input!F17+Input!K17+Input!P17)</f>
        <v>7</v>
      </c>
      <c r="K11" s="127">
        <f>IF(Input!C6="","",Input!F18+Input!K18+Input!P18)</f>
        <v>7</v>
      </c>
      <c r="L11" s="128">
        <f>IF(Input!C6="","",Input!F19+Input!K19+Input!P19)</f>
        <v>6</v>
      </c>
      <c r="M11" s="129">
        <f t="shared" si="1"/>
        <v>24</v>
      </c>
      <c r="N11" s="116"/>
      <c r="O11" s="117"/>
      <c r="P11" s="117"/>
      <c r="Q11" s="117"/>
      <c r="R11" s="118"/>
      <c r="S11" s="116"/>
      <c r="T11" s="117"/>
      <c r="U11" s="117"/>
      <c r="V11" s="126"/>
      <c r="W11" s="105"/>
      <c r="X11" s="105"/>
      <c r="Y11" s="105"/>
      <c r="Z11" s="105"/>
      <c r="AA11" s="105"/>
      <c r="AB11" s="105"/>
      <c r="AC11" s="95"/>
      <c r="AD11" s="126"/>
      <c r="AE11" s="126"/>
      <c r="AF11" s="126"/>
      <c r="AG11" s="126"/>
      <c r="AH11" s="126"/>
      <c r="AI11" s="126"/>
      <c r="AJ11" s="126"/>
      <c r="AK11" s="126"/>
      <c r="AL11" s="126"/>
      <c r="AM11" s="126"/>
      <c r="AN11" s="126"/>
      <c r="AO11" s="126"/>
      <c r="AP11" s="126"/>
      <c r="AQ11" s="126"/>
      <c r="AR11" s="126"/>
      <c r="AS11" s="126"/>
      <c r="AT11" s="126"/>
      <c r="AU11" s="126"/>
      <c r="AV11" s="126"/>
      <c r="AW11" s="126"/>
      <c r="AX11" s="130"/>
      <c r="AY11" s="130"/>
      <c r="AZ11" s="130"/>
      <c r="BA11" s="112">
        <v>3.0</v>
      </c>
      <c r="BB11" s="119">
        <f>VLOOKUP(H12,Sheet3!$B$28:$F$72,2)</f>
        <v>1</v>
      </c>
      <c r="BC11" s="119">
        <f>VLOOKUP(I12,Sheet3!$B$28:$F$72,3)</f>
        <v>7</v>
      </c>
      <c r="BD11" s="119">
        <f>VLOOKUP(J12,Sheet3!$B$28:$F$72,4)</f>
        <v>-3</v>
      </c>
      <c r="BE11" s="119">
        <f>VLOOKUP(K12,Sheet3!$B$28:$F$72,5)</f>
        <v>-2.5</v>
      </c>
      <c r="BF11" s="113"/>
      <c r="BG11" s="113"/>
      <c r="BH11" s="103">
        <f>IF(AND(BB11&lt;=0,BC11&lt;=0,BD11&lt;=0,BE11&gt;0)=TRUE,1,0)</f>
        <v>0</v>
      </c>
      <c r="BI11" s="103">
        <f>IF(AND(BB11&gt;0,BC11&lt;=0,BD11&lt;=0,BE11&lt;=0)=TRUE,1,0)</f>
        <v>0</v>
      </c>
      <c r="BJ11" s="103">
        <f>IF(AND(BB11&gt;0,BC11&lt;=0,BD11&lt;=0,BE11&gt;0,BE11&gt;=BB11)=TRUE,1,0)</f>
        <v>0</v>
      </c>
      <c r="BK11" s="103">
        <f>IF(AND(BB11&gt;0,BC11&gt;0,BD11&lt;=0,BE11&lt;=0,BC11&gt;=BB11)=TRUE,1,0)</f>
        <v>1</v>
      </c>
      <c r="BL11" s="103">
        <f>IF(AND(BB11&gt;0,BC11&gt;0,BD11&lt;=0,BE11&gt;0,BC11&gt;=BB11,BB11&gt;=BE11)=TRUE,1,0)</f>
        <v>0</v>
      </c>
      <c r="BM11" s="103">
        <f>IF(AND(BB11&gt;0,BC11&gt;0,BD11&gt;0,BE11&lt;=0,BC11&gt;=BB11,BB11&gt;=BD11)=TRUE,1,0)</f>
        <v>0</v>
      </c>
      <c r="BN11" s="103">
        <f>IF(AND(BB11&gt;0,BC11&gt;0,BD11&gt;0,BE11&lt;=0,BC11&gt;=BD11,BD11&gt;=BB11)=TRUE,1,0)</f>
        <v>0</v>
      </c>
      <c r="BO11" s="103">
        <f>IF(AND(BB11&gt;0,BC11&lt;=0,BD11&gt;0,BE11&gt;0,BD11&gt;=BB11,BB11&gt;=BE11)=TRUE,1,0)</f>
        <v>0</v>
      </c>
      <c r="BP11" s="103">
        <f>IF(AND(BB11&gt;0,BC11&gt;0,BD11&lt;=0,BE11&lt;=0,BB11&gt;=BC11)=TRUE,1,0)</f>
        <v>0</v>
      </c>
      <c r="BQ11" s="103">
        <f>IF(AND(BB11&gt;0,BC11&gt;0,BD11&gt;0,BE11&lt;=0,BB11&gt;=BC11,BC11&gt;=BD11)=TRUE,1,0)</f>
        <v>0</v>
      </c>
      <c r="BR11" s="103">
        <f>IF(AND(BB11&gt;0,BC11&lt;=0,BD11&gt;0,BE11&lt;=0,BB11&gt;=BD11)=TRUE,1,0)</f>
        <v>0</v>
      </c>
      <c r="BS11" s="103">
        <f>IF(AND(BB11&lt;=0,BC11&gt;0,BD11&gt;0,BE11&gt;0,BE11&gt;=BC11,BC11&gt;=BD11)=TRUE,1,0)</f>
        <v>0</v>
      </c>
      <c r="BT11" s="104">
        <f>IF(AND(BB11&lt;=0,BC11&gt;0,BD11&gt;0,BE11&gt;0,BE11&gt;=BD11,BD11&gt;=BC11)=TRUE,1,0)</f>
        <v>0</v>
      </c>
      <c r="BU11" s="104">
        <f>IF(AND(BB11&lt;=0,BC11&gt;0,BD11&gt;0,BE11&gt;0,BC11&gt;=BD11,BC11&gt;=BE11)=TRUE,1,0)</f>
        <v>0</v>
      </c>
      <c r="BV11" s="104">
        <f>IF(AND(BB11&lt;=0,BC11&lt;=0,BD11&gt;0,BE11&lt;=0)=TRUE,1,0)</f>
        <v>0</v>
      </c>
      <c r="BW11" s="104">
        <f>IF(AND(BB11&lt;=0,BC11&lt;=0,BD11&gt;0,BE11&gt;0,BE11&gt;=BD11)=TRUE,1,0)</f>
        <v>0</v>
      </c>
      <c r="BX11" s="104">
        <f>IF(AND(BB11&lt;=0,BC11&lt;=0,BD11&gt;0,BE11&gt;0,BD11&gt;=BE11)=TRUE,1,0)</f>
        <v>0</v>
      </c>
      <c r="BY11" s="104">
        <f>IF(AND(BC11&lt;=0,BD11&lt;=0,BB11&gt;0,BE11&gt;0,BB11&gt;=BE11)=TRUE,1,0)</f>
        <v>0</v>
      </c>
      <c r="BZ11" s="104">
        <f>IF(AND(BB11&gt;0,BC11&gt;0,BE11&gt;0,BD11&lt;=0,BB11&gt;=BC11,BC11&gt;=BE11)=TRUE,1,0)</f>
        <v>0</v>
      </c>
      <c r="CA11" s="104">
        <f>IF(AND(BB11&gt;0,BD11&gt;0,BC11&gt;0,BE11&lt;=0,BB11&gt;=BD11,BD11&gt;=BC11)=TRUE,1,0)</f>
        <v>0</v>
      </c>
      <c r="CB11" s="104">
        <f>IF(AND(BB11&gt;0,BD11&gt;0,BE11&gt;0,BC11&lt;=0,BB11&gt;=BD11,BD11&gt;=BE11)=TRUE,1,0)</f>
        <v>0</v>
      </c>
      <c r="CC11" s="104">
        <f>IF(AND(BB11&gt;0,BC11&gt;0,BE11&gt;0,BD11&lt;=0,BB11&gt;=BE11,BE11&gt;=BC11)=TRUE,1,0)</f>
        <v>0</v>
      </c>
      <c r="CD11" s="104">
        <f>IF(AND(BB11&gt;0,BD11&gt;0,BE11&gt;0,BC11&lt;=0,BB11&gt;=BE11,BE11&gt;=BD11)=TRUE,1,0)</f>
        <v>0</v>
      </c>
      <c r="CE11" s="104">
        <f>IF(AND(BB11&lt;=0,BD11&lt;=0,BE11&lt;=0,BC11&gt;0)=TRUE,1,0)</f>
        <v>0</v>
      </c>
      <c r="CF11" s="104">
        <f>IF(AND(BC11&gt;0,BD11&gt;0,BB11&lt;=0,BE11&lt;=0,BC11&gt;=BD11)=TRUE,1,0)</f>
        <v>0</v>
      </c>
      <c r="CG11" s="104">
        <f>IF(AND(BC11&gt;0,BE11&gt;0,BB11&lt;=0,BD11&lt;=0,BC11&gt;=BE11)=TRUE,1,0)</f>
        <v>0</v>
      </c>
      <c r="CH11" s="104">
        <f>IF(AND(BB11&gt;0,BC11&gt;0,BE11&gt;0,BD11&lt;=0,BC11&gt;=BE11,BE11&gt;=BB11)=TRUE,1,0)</f>
        <v>0</v>
      </c>
      <c r="CI11" s="104">
        <f>IF(AND(BB11&lt;=0,BC11&gt;0,BD11&gt;0,BE11&gt;0,BC11&gt;=BE11,BE11&gt;=BD11)=TRUE,1,0)</f>
        <v>0</v>
      </c>
      <c r="CJ11" s="104">
        <f>IF(AND(BB11&gt;0,BC11&lt;=0,BD11&gt;0,BE11&lt;=0,BD11&gt;=BB11)=TRUE,1,0)</f>
        <v>0</v>
      </c>
      <c r="CK11" s="104">
        <f>IF(AND(BC11&gt;0,BD11&gt;0,BB11&lt;=0,BE11&lt;=0,BD11&gt;=BC11)=TRUE,1,0)</f>
        <v>0</v>
      </c>
      <c r="CL11" s="104">
        <f>IF(AND(BB11&gt;0,BC11&gt;0,BD11&gt;0,BE11&lt;=0,BD11&gt;=BB11,BB11&gt;=BC11)=TRUE,1,0)</f>
        <v>0</v>
      </c>
      <c r="CM11" s="104">
        <f>IF(AND(BB11&gt;0,BC11&gt;0,BD11&gt;0,BE11&lt;=0,BD11&gt;=BC11,BC11&gt;=BB11)=TRUE,1,0)</f>
        <v>0</v>
      </c>
      <c r="CN11" s="104">
        <f>IF(AND(BC11&gt;0,BD11&gt;0,BE11&gt;0,BB11&lt;=0,BD11&gt;=BC11,BC11&gt;=BE11)=TRUE,1,0)</f>
        <v>0</v>
      </c>
      <c r="CO11" s="104">
        <f>IF(AND(BB11&gt;0,BC11&lt;=0,BD11&gt;0,BE11&gt;0,BD11&gt;=BE11,BE11&gt;=BB11)=TRUE,1,0)</f>
        <v>0</v>
      </c>
      <c r="CP11" s="104">
        <f>IF(AND(BC11&gt;0,BD11&gt;0,BE11&gt;0,BB11&lt;=0,BD11&gt;=BE11,BE11&gt;=BC11)=TRUE,1,0)</f>
        <v>0</v>
      </c>
      <c r="CQ11" s="104">
        <f>IF(AND(BC11&gt;0,BE11&gt;0,BB11&lt;=0,BD11&lt;=0,BE11&gt;=BC11)=TRUE,1,0)</f>
        <v>0</v>
      </c>
      <c r="CR11" s="104">
        <f>IF(AND(BB11&gt;0,BC11&gt;0,BE11&gt;0,BD11&lt;=0,BE11&gt;=BB11,BB11&gt;=BC11)=TRUE,1,0)</f>
        <v>0</v>
      </c>
      <c r="CS11" s="104">
        <f>IF(AND(BB11&gt;0,BD11&gt;0,BE11&gt;0,BC11&lt;=0,BE11&gt;=BB11,BB11&gt;=BD11)=TRUE,1,0)</f>
        <v>0</v>
      </c>
      <c r="CT11" s="104">
        <f>IF(AND(BB11&gt;0,BC11&gt;0,BE11&gt;0,BD11&lt;=0,BE11&gt;=BC11,BC11&gt;=BB11)=TRUE,1,0)</f>
        <v>0</v>
      </c>
      <c r="CU11" s="104">
        <f>IF(AND(BB11&gt;0,BD11&gt;0,BE11&gt;0,BC11&lt;=0,BE11&gt;=BD11,BD11&gt;=BB11)=TRUE,1,0)</f>
        <v>0</v>
      </c>
      <c r="CV11" s="131"/>
      <c r="CW11" s="131"/>
      <c r="CX11" s="131"/>
      <c r="CY11" s="113">
        <f>MATCH(1,BH11:CW11,0)</f>
        <v>4</v>
      </c>
      <c r="CZ11" s="132"/>
      <c r="DA11" s="130"/>
      <c r="DB11" s="126"/>
      <c r="DC11" s="126"/>
      <c r="DD11" s="126"/>
      <c r="DE11" s="126"/>
      <c r="DF11" s="126"/>
      <c r="DG11" s="126"/>
      <c r="DH11" s="126"/>
      <c r="DI11" s="126"/>
    </row>
    <row r="12" ht="21.0" customHeight="1">
      <c r="A12" s="126"/>
      <c r="B12" s="126"/>
      <c r="C12" s="126"/>
      <c r="D12" s="126"/>
      <c r="E12" s="126"/>
      <c r="F12" s="126"/>
      <c r="G12" s="121">
        <v>3.0</v>
      </c>
      <c r="H12" s="127">
        <f t="shared" ref="H12:K12" si="2">H10-H11</f>
        <v>3</v>
      </c>
      <c r="I12" s="127">
        <f t="shared" si="2"/>
        <v>10</v>
      </c>
      <c r="J12" s="127">
        <f t="shared" si="2"/>
        <v>-6</v>
      </c>
      <c r="K12" s="127">
        <f t="shared" si="2"/>
        <v>-5</v>
      </c>
      <c r="L12" s="133"/>
      <c r="M12" s="134"/>
      <c r="N12" s="116"/>
      <c r="O12" s="117"/>
      <c r="P12" s="117"/>
      <c r="Q12" s="117"/>
      <c r="R12" s="118"/>
      <c r="S12" s="116"/>
      <c r="T12" s="117"/>
      <c r="U12" s="117"/>
      <c r="V12" s="126"/>
      <c r="W12" s="105"/>
      <c r="X12" s="105"/>
      <c r="Y12" s="105"/>
      <c r="Z12" s="105"/>
      <c r="AA12" s="105"/>
      <c r="AB12" s="105"/>
      <c r="AC12" s="95"/>
      <c r="AD12" s="126"/>
      <c r="AE12" s="126"/>
      <c r="AF12" s="126"/>
      <c r="AG12" s="126"/>
      <c r="AH12" s="126"/>
      <c r="AI12" s="126"/>
      <c r="AJ12" s="126"/>
      <c r="AK12" s="126"/>
      <c r="AL12" s="126"/>
      <c r="AM12" s="126"/>
      <c r="AN12" s="126"/>
      <c r="AO12" s="126"/>
      <c r="AP12" s="126"/>
      <c r="AQ12" s="126"/>
      <c r="AR12" s="126"/>
      <c r="AS12" s="126"/>
      <c r="AT12" s="126"/>
      <c r="AU12" s="126"/>
      <c r="AV12" s="126"/>
      <c r="AW12" s="126"/>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0"/>
      <c r="CP12" s="130"/>
      <c r="CQ12" s="130"/>
      <c r="CR12" s="130"/>
      <c r="CS12" s="130"/>
      <c r="CT12" s="130"/>
      <c r="CU12" s="130"/>
      <c r="CV12" s="130"/>
      <c r="CW12" s="130"/>
      <c r="CX12" s="130"/>
      <c r="CY12" s="130"/>
      <c r="CZ12" s="130"/>
      <c r="DA12" s="130"/>
      <c r="DB12" s="126"/>
      <c r="DC12" s="126"/>
      <c r="DD12" s="126"/>
      <c r="DE12" s="126"/>
      <c r="DF12" s="126"/>
      <c r="DG12" s="126"/>
      <c r="DH12" s="126"/>
      <c r="DI12" s="126"/>
    </row>
    <row r="13" ht="21.0" customHeight="1">
      <c r="C13" s="2"/>
      <c r="D13" s="135"/>
      <c r="E13" s="135"/>
      <c r="F13" s="135"/>
      <c r="G13" s="135"/>
      <c r="H13" s="136"/>
      <c r="L13" s="97"/>
      <c r="M13" s="95"/>
      <c r="N13" s="116"/>
      <c r="O13" s="117"/>
      <c r="P13" s="117"/>
      <c r="Q13" s="117"/>
      <c r="R13" s="118"/>
      <c r="S13" s="116"/>
      <c r="T13" s="117"/>
      <c r="U13" s="117"/>
      <c r="V13" s="95"/>
      <c r="W13" s="105"/>
      <c r="X13" s="105"/>
      <c r="Y13" s="105"/>
      <c r="Z13" s="105"/>
      <c r="AA13" s="105"/>
      <c r="AB13" s="105"/>
      <c r="AC13" s="95"/>
      <c r="AX13" s="98"/>
      <c r="AY13" s="98"/>
      <c r="AZ13" s="98"/>
      <c r="BA13" s="98"/>
      <c r="BB13" s="98"/>
      <c r="BC13" s="98"/>
      <c r="BD13" s="98"/>
      <c r="BE13" s="98"/>
      <c r="BF13" s="98"/>
      <c r="BG13" s="98"/>
      <c r="BH13" s="98"/>
      <c r="BI13" s="98"/>
      <c r="BJ13" s="98"/>
      <c r="BK13" s="98"/>
      <c r="BL13" s="98"/>
      <c r="BM13" s="98"/>
      <c r="BN13" s="98"/>
      <c r="BO13" s="98"/>
      <c r="BP13" s="98"/>
      <c r="BQ13" s="98"/>
      <c r="BR13" s="98"/>
      <c r="BS13" s="98"/>
      <c r="BT13" s="98"/>
      <c r="BU13" s="98"/>
      <c r="BV13" s="98"/>
      <c r="BW13" s="98"/>
      <c r="BX13" s="98"/>
      <c r="BY13" s="98"/>
      <c r="BZ13" s="98"/>
      <c r="CA13" s="98"/>
      <c r="CB13" s="98"/>
      <c r="CC13" s="98"/>
      <c r="CD13" s="98"/>
      <c r="CE13" s="98"/>
      <c r="CF13" s="98"/>
      <c r="CG13" s="98"/>
      <c r="CH13" s="98"/>
      <c r="CI13" s="98"/>
      <c r="CJ13" s="98"/>
      <c r="CK13" s="98"/>
      <c r="CL13" s="98"/>
      <c r="CM13" s="98"/>
      <c r="CN13" s="98"/>
      <c r="CO13" s="98"/>
      <c r="CP13" s="98"/>
      <c r="CQ13" s="98"/>
      <c r="CR13" s="98"/>
      <c r="CS13" s="98"/>
      <c r="CT13" s="98"/>
      <c r="CU13" s="98"/>
      <c r="CV13" s="98"/>
      <c r="CW13" s="98"/>
      <c r="CX13" s="98"/>
      <c r="CY13" s="98"/>
      <c r="CZ13" s="98"/>
      <c r="DA13" s="98"/>
    </row>
    <row r="14" ht="21.0" customHeight="1">
      <c r="C14" s="2"/>
      <c r="D14" s="135"/>
      <c r="E14" s="135"/>
      <c r="F14" s="135"/>
      <c r="G14" s="135"/>
      <c r="H14" s="136"/>
      <c r="L14" s="97"/>
      <c r="M14" s="95"/>
      <c r="N14" s="116"/>
      <c r="O14" s="117"/>
      <c r="P14" s="117"/>
      <c r="Q14" s="117"/>
      <c r="R14" s="118"/>
      <c r="S14" s="116"/>
      <c r="T14" s="117"/>
      <c r="U14" s="117"/>
      <c r="V14" s="95"/>
      <c r="W14" s="105"/>
      <c r="X14" s="105"/>
      <c r="Y14" s="105"/>
      <c r="Z14" s="105"/>
      <c r="AA14" s="105"/>
      <c r="AB14" s="105"/>
      <c r="AC14" s="95"/>
    </row>
    <row r="15" ht="21.0" customHeight="1">
      <c r="L15" s="97"/>
      <c r="M15" s="95"/>
      <c r="N15" s="116"/>
      <c r="O15" s="117"/>
      <c r="P15" s="117"/>
      <c r="Q15" s="117"/>
      <c r="R15" s="118"/>
      <c r="S15" s="116"/>
      <c r="T15" s="117"/>
      <c r="U15" s="117"/>
      <c r="V15" s="95"/>
      <c r="W15" s="105"/>
      <c r="X15" s="105"/>
      <c r="Y15" s="105"/>
      <c r="Z15" s="105"/>
      <c r="AA15" s="105"/>
      <c r="AB15" s="105"/>
      <c r="AC15" s="95"/>
    </row>
    <row r="16" ht="21.0" customHeight="1">
      <c r="L16" s="97"/>
      <c r="M16" s="95"/>
      <c r="N16" s="116"/>
      <c r="O16" s="117"/>
      <c r="P16" s="117"/>
      <c r="Q16" s="117"/>
      <c r="R16" s="118"/>
      <c r="S16" s="116"/>
      <c r="T16" s="117"/>
      <c r="U16" s="117"/>
      <c r="V16" s="95"/>
      <c r="W16" s="105"/>
      <c r="X16" s="105"/>
      <c r="Y16" s="105"/>
      <c r="Z16" s="105"/>
      <c r="AA16" s="105"/>
      <c r="AB16" s="105"/>
      <c r="AC16" s="95"/>
    </row>
    <row r="17" ht="21.0" customHeight="1">
      <c r="L17" s="97"/>
      <c r="M17" s="95"/>
      <c r="N17" s="116"/>
      <c r="O17" s="117"/>
      <c r="P17" s="117"/>
      <c r="Q17" s="117"/>
      <c r="R17" s="118"/>
      <c r="S17" s="116"/>
      <c r="T17" s="117"/>
      <c r="U17" s="117"/>
      <c r="V17" s="95"/>
      <c r="W17" s="105"/>
      <c r="X17" s="105"/>
      <c r="Y17" s="105"/>
      <c r="Z17" s="105"/>
      <c r="AA17" s="105"/>
      <c r="AB17" s="105"/>
      <c r="AC17" s="95"/>
    </row>
    <row r="18" ht="21.0" customHeight="1">
      <c r="L18" s="97"/>
      <c r="M18" s="95"/>
      <c r="N18" s="116"/>
      <c r="O18" s="117"/>
      <c r="P18" s="117"/>
      <c r="Q18" s="117"/>
      <c r="R18" s="118"/>
      <c r="S18" s="116"/>
      <c r="T18" s="117"/>
      <c r="U18" s="117"/>
      <c r="V18" s="95"/>
      <c r="W18" s="105"/>
      <c r="X18" s="105"/>
      <c r="Y18" s="105"/>
      <c r="Z18" s="105"/>
      <c r="AA18" s="105"/>
      <c r="AB18" s="105"/>
      <c r="AC18" s="95"/>
    </row>
    <row r="19" ht="21.0" customHeight="1">
      <c r="L19" s="97"/>
      <c r="M19" s="137"/>
      <c r="N19" s="95"/>
      <c r="O19" s="95"/>
      <c r="P19" s="95"/>
      <c r="Q19" s="95"/>
      <c r="R19" s="97"/>
      <c r="S19" s="95"/>
      <c r="T19" s="95"/>
      <c r="U19" s="95"/>
      <c r="V19" s="95"/>
      <c r="W19" s="105"/>
      <c r="X19" s="105"/>
      <c r="Y19" s="105"/>
      <c r="Z19" s="105"/>
      <c r="AA19" s="105"/>
      <c r="AB19" s="105"/>
      <c r="AC19" s="95"/>
    </row>
    <row r="20" ht="21.0" customHeight="1">
      <c r="L20" s="97"/>
      <c r="M20" s="95"/>
      <c r="N20" s="95"/>
      <c r="O20" s="95"/>
      <c r="P20" s="95"/>
      <c r="Q20" s="95"/>
      <c r="R20" s="97"/>
      <c r="S20" s="95"/>
      <c r="T20" s="95"/>
      <c r="U20" s="95"/>
      <c r="V20" s="95"/>
      <c r="W20" s="105"/>
      <c r="X20" s="105"/>
      <c r="Y20" s="105"/>
      <c r="Z20" s="105"/>
      <c r="AA20" s="105"/>
      <c r="AB20" s="105"/>
      <c r="AC20" s="95"/>
    </row>
    <row r="21" ht="21.0" customHeight="1">
      <c r="I21" s="138" t="s">
        <v>166</v>
      </c>
      <c r="L21" s="97"/>
      <c r="M21" s="95"/>
      <c r="N21" s="139"/>
      <c r="O21" s="139"/>
      <c r="P21" s="139"/>
      <c r="Q21" s="95"/>
      <c r="R21" s="97"/>
      <c r="S21" s="95"/>
      <c r="T21" s="95"/>
      <c r="U21" s="95"/>
      <c r="V21" s="95"/>
      <c r="W21" s="105"/>
      <c r="X21" s="105"/>
      <c r="Y21" s="105"/>
      <c r="Z21" s="105"/>
      <c r="AA21" s="105"/>
      <c r="AB21" s="105"/>
      <c r="AC21" s="95"/>
    </row>
    <row r="22" ht="21.0" customHeight="1">
      <c r="L22" s="97"/>
      <c r="M22" s="95"/>
      <c r="N22" s="140"/>
      <c r="O22" s="140"/>
      <c r="P22" s="140"/>
      <c r="Q22" s="141"/>
      <c r="R22" s="142"/>
      <c r="S22" s="143"/>
      <c r="T22" s="95"/>
      <c r="U22" s="95"/>
      <c r="V22" s="95"/>
      <c r="W22" s="105"/>
      <c r="X22" s="105"/>
      <c r="Y22" s="105"/>
      <c r="Z22" s="105"/>
      <c r="AA22" s="105"/>
      <c r="AB22" s="105"/>
      <c r="AC22" s="95"/>
    </row>
    <row r="23" ht="21.0" customHeight="1">
      <c r="L23" s="97"/>
      <c r="M23" s="95"/>
      <c r="N23" s="140"/>
      <c r="O23" s="140"/>
      <c r="P23" s="140"/>
      <c r="Q23" s="141"/>
      <c r="R23" s="142"/>
      <c r="S23" s="143"/>
      <c r="T23" s="95"/>
      <c r="U23" s="95"/>
      <c r="V23" s="95"/>
      <c r="W23" s="105"/>
      <c r="X23" s="105"/>
      <c r="Y23" s="105"/>
      <c r="Z23" s="105"/>
      <c r="AA23" s="105"/>
      <c r="AB23" s="105"/>
      <c r="AC23" s="95"/>
    </row>
    <row r="24" ht="21.0" customHeight="1">
      <c r="L24" s="97"/>
      <c r="M24" s="95"/>
      <c r="N24" s="144"/>
      <c r="O24" s="144"/>
      <c r="P24" s="144"/>
      <c r="Q24" s="141"/>
      <c r="R24" s="142"/>
      <c r="S24" s="143"/>
      <c r="T24" s="95"/>
      <c r="U24" s="95"/>
      <c r="V24" s="95"/>
      <c r="W24" s="105"/>
      <c r="X24" s="105"/>
      <c r="Y24" s="105"/>
      <c r="Z24" s="105"/>
      <c r="AA24" s="105"/>
      <c r="AB24" s="105"/>
      <c r="AC24" s="95"/>
    </row>
    <row r="25" ht="21.0" customHeight="1">
      <c r="L25" s="97"/>
      <c r="M25" s="95"/>
      <c r="N25" s="140"/>
      <c r="O25" s="140"/>
      <c r="P25" s="140"/>
      <c r="Q25" s="141"/>
      <c r="R25" s="142"/>
      <c r="S25" s="143"/>
      <c r="T25" s="95"/>
      <c r="U25" s="95"/>
      <c r="V25" s="95"/>
      <c r="W25" s="105"/>
      <c r="X25" s="105"/>
      <c r="Y25" s="105"/>
      <c r="Z25" s="105"/>
      <c r="AA25" s="105"/>
      <c r="AB25" s="105"/>
      <c r="AC25" s="95"/>
    </row>
    <row r="26" ht="21.0" customHeight="1">
      <c r="L26" s="97"/>
      <c r="M26" s="95"/>
      <c r="N26" s="140"/>
      <c r="O26" s="140"/>
      <c r="P26" s="140"/>
      <c r="Q26" s="141"/>
      <c r="R26" s="142"/>
      <c r="S26" s="143"/>
      <c r="T26" s="95"/>
      <c r="U26" s="95"/>
      <c r="V26" s="95"/>
      <c r="W26" s="105"/>
      <c r="X26" s="105"/>
      <c r="Y26" s="105"/>
      <c r="Z26" s="105"/>
      <c r="AA26" s="105"/>
      <c r="AB26" s="105"/>
      <c r="AC26" s="95"/>
    </row>
    <row r="27" ht="21.0" customHeight="1">
      <c r="L27" s="97"/>
      <c r="M27" s="95"/>
      <c r="N27" s="140"/>
      <c r="O27" s="140"/>
      <c r="P27" s="140"/>
      <c r="Q27" s="141"/>
      <c r="R27" s="142"/>
      <c r="S27" s="143"/>
      <c r="T27" s="95"/>
      <c r="U27" s="95"/>
      <c r="V27" s="95"/>
      <c r="W27" s="105"/>
      <c r="X27" s="105"/>
      <c r="Y27" s="105"/>
      <c r="Z27" s="105"/>
      <c r="AA27" s="105"/>
      <c r="AB27" s="105"/>
      <c r="AC27" s="95"/>
    </row>
    <row r="28" ht="21.0" customHeight="1">
      <c r="L28" s="97"/>
      <c r="M28" s="95"/>
      <c r="N28" s="140"/>
      <c r="O28" s="140"/>
      <c r="P28" s="140"/>
      <c r="Q28" s="141"/>
      <c r="R28" s="142"/>
      <c r="S28" s="143"/>
      <c r="T28" s="95"/>
      <c r="U28" s="95"/>
      <c r="V28" s="95"/>
      <c r="W28" s="105"/>
      <c r="X28" s="105"/>
      <c r="Y28" s="105"/>
      <c r="Z28" s="105"/>
      <c r="AA28" s="105"/>
      <c r="AB28" s="105"/>
      <c r="AC28" s="95"/>
    </row>
    <row r="29" ht="21.0" customHeight="1">
      <c r="L29" s="97"/>
      <c r="M29" s="95"/>
      <c r="N29" s="140"/>
      <c r="O29" s="140"/>
      <c r="P29" s="140"/>
      <c r="Q29" s="141"/>
      <c r="R29" s="142"/>
      <c r="S29" s="143"/>
      <c r="T29" s="95"/>
      <c r="U29" s="95"/>
      <c r="V29" s="95"/>
      <c r="W29" s="105"/>
      <c r="X29" s="105"/>
      <c r="Y29" s="105"/>
      <c r="Z29" s="105"/>
      <c r="AA29" s="105"/>
      <c r="AB29" s="105"/>
      <c r="AC29" s="95"/>
    </row>
    <row r="30" ht="21.0" customHeight="1">
      <c r="L30" s="97"/>
      <c r="M30" s="95"/>
      <c r="N30" s="140"/>
      <c r="O30" s="140"/>
      <c r="P30" s="140"/>
      <c r="Q30" s="141"/>
      <c r="R30" s="142"/>
      <c r="S30" s="143"/>
      <c r="T30" s="95"/>
      <c r="U30" s="95"/>
      <c r="V30" s="95"/>
      <c r="W30" s="105"/>
      <c r="X30" s="105"/>
      <c r="Y30" s="105"/>
      <c r="Z30" s="105"/>
      <c r="AA30" s="105"/>
      <c r="AB30" s="105"/>
      <c r="AC30" s="95"/>
    </row>
    <row r="31" ht="21.0" customHeight="1">
      <c r="L31" s="97"/>
      <c r="M31" s="95"/>
      <c r="N31" s="140"/>
      <c r="O31" s="140"/>
      <c r="P31" s="140"/>
      <c r="Q31" s="141"/>
      <c r="R31" s="142"/>
      <c r="S31" s="143"/>
      <c r="T31" s="95"/>
      <c r="U31" s="95"/>
      <c r="V31" s="95"/>
      <c r="W31" s="105"/>
      <c r="X31" s="105"/>
      <c r="Y31" s="105"/>
      <c r="Z31" s="105"/>
      <c r="AA31" s="105"/>
      <c r="AB31" s="105"/>
      <c r="AC31" s="95"/>
    </row>
    <row r="32" ht="21.0" customHeight="1">
      <c r="L32" s="97"/>
      <c r="M32" s="95"/>
      <c r="N32" s="140"/>
      <c r="O32" s="140"/>
      <c r="P32" s="140"/>
      <c r="Q32" s="141"/>
      <c r="R32" s="142"/>
      <c r="S32" s="143"/>
      <c r="T32" s="95"/>
      <c r="U32" s="95"/>
      <c r="V32" s="95"/>
      <c r="W32" s="105"/>
      <c r="X32" s="105"/>
      <c r="Y32" s="105"/>
      <c r="Z32" s="105"/>
      <c r="AA32" s="105"/>
      <c r="AB32" s="105"/>
      <c r="AC32" s="95"/>
    </row>
    <row r="33" ht="21.0" customHeight="1">
      <c r="L33" s="97"/>
      <c r="M33" s="95"/>
      <c r="N33" s="140"/>
      <c r="O33" s="140"/>
      <c r="P33" s="140"/>
      <c r="Q33" s="141"/>
      <c r="R33" s="142"/>
      <c r="S33" s="143"/>
      <c r="T33" s="95"/>
      <c r="U33" s="95"/>
      <c r="V33" s="95"/>
      <c r="W33" s="105"/>
      <c r="X33" s="105"/>
      <c r="Y33" s="105"/>
      <c r="Z33" s="105"/>
      <c r="AA33" s="105"/>
      <c r="AB33" s="105"/>
      <c r="AC33" s="95"/>
    </row>
    <row r="34" ht="21.0" customHeight="1">
      <c r="L34" s="97"/>
      <c r="M34" s="145"/>
      <c r="N34" s="140"/>
      <c r="O34" s="140"/>
      <c r="P34" s="140"/>
      <c r="Q34" s="141"/>
      <c r="R34" s="142"/>
      <c r="S34" s="143"/>
      <c r="T34" s="95"/>
      <c r="U34" s="95"/>
      <c r="V34" s="95"/>
      <c r="W34" s="105"/>
      <c r="X34" s="105"/>
      <c r="Y34" s="105"/>
      <c r="Z34" s="105"/>
      <c r="AA34" s="105"/>
      <c r="AB34" s="105"/>
      <c r="AC34" s="95"/>
    </row>
    <row r="35" ht="21.0" customHeight="1">
      <c r="L35" s="97"/>
      <c r="M35" s="145"/>
      <c r="N35" s="140"/>
      <c r="O35" s="140"/>
      <c r="P35" s="140"/>
      <c r="Q35" s="141"/>
      <c r="R35" s="142"/>
      <c r="S35" s="143"/>
      <c r="T35" s="95"/>
      <c r="U35" s="95"/>
      <c r="V35" s="95"/>
      <c r="W35" s="105"/>
      <c r="X35" s="105"/>
      <c r="Y35" s="105"/>
      <c r="Z35" s="105"/>
      <c r="AA35" s="105"/>
      <c r="AB35" s="105"/>
      <c r="AC35" s="95"/>
    </row>
    <row r="36" ht="21.0" customHeight="1">
      <c r="L36" s="97"/>
      <c r="M36" s="146"/>
      <c r="N36" s="147"/>
      <c r="O36" s="147"/>
      <c r="P36" s="147"/>
      <c r="Q36" s="143"/>
      <c r="R36" s="142"/>
      <c r="S36" s="143"/>
      <c r="T36" s="95"/>
      <c r="U36" s="95"/>
      <c r="V36" s="95"/>
      <c r="W36" s="105"/>
      <c r="X36" s="105"/>
      <c r="Y36" s="105"/>
      <c r="Z36" s="105"/>
      <c r="AA36" s="105"/>
      <c r="AB36" s="105"/>
      <c r="AC36" s="95"/>
    </row>
    <row r="37" ht="21.0" customHeight="1">
      <c r="L37" s="97"/>
      <c r="M37" s="148"/>
      <c r="N37" s="148"/>
      <c r="O37" s="148"/>
      <c r="P37" s="148"/>
      <c r="Q37" s="95"/>
      <c r="R37" s="97"/>
      <c r="S37" s="95"/>
      <c r="T37" s="95"/>
      <c r="U37" s="95"/>
      <c r="V37" s="95"/>
      <c r="W37" s="105"/>
      <c r="X37" s="105"/>
      <c r="Y37" s="105"/>
      <c r="Z37" s="105"/>
      <c r="AA37" s="105"/>
      <c r="AB37" s="105"/>
      <c r="AC37" s="95"/>
    </row>
    <row r="38" ht="21.0" customHeight="1">
      <c r="L38" s="97"/>
      <c r="M38" s="148"/>
      <c r="N38" s="148"/>
      <c r="O38" s="148"/>
      <c r="P38" s="148"/>
      <c r="Q38" s="95"/>
      <c r="R38" s="97"/>
      <c r="S38" s="95"/>
      <c r="T38" s="95"/>
      <c r="U38" s="95"/>
      <c r="V38" s="95"/>
      <c r="W38" s="105"/>
      <c r="X38" s="105"/>
      <c r="Y38" s="105"/>
      <c r="Z38" s="105"/>
      <c r="AA38" s="105"/>
      <c r="AB38" s="105"/>
      <c r="AC38" s="95"/>
    </row>
    <row r="39" ht="21.0" customHeight="1">
      <c r="L39" s="97"/>
      <c r="M39" s="148"/>
      <c r="N39" s="148"/>
      <c r="O39" s="148"/>
      <c r="P39" s="148"/>
      <c r="Q39" s="95"/>
      <c r="R39" s="97"/>
      <c r="S39" s="95"/>
      <c r="T39" s="95"/>
      <c r="U39" s="95"/>
      <c r="V39" s="95"/>
      <c r="W39" s="105"/>
      <c r="X39" s="105"/>
      <c r="Y39" s="105"/>
      <c r="Z39" s="105"/>
      <c r="AA39" s="105"/>
      <c r="AB39" s="105"/>
      <c r="AC39" s="95"/>
    </row>
    <row r="40" ht="21.0" customHeight="1">
      <c r="L40" s="97"/>
      <c r="M40" s="95"/>
      <c r="N40" s="95"/>
      <c r="O40" s="95"/>
      <c r="P40" s="95"/>
      <c r="Q40" s="95"/>
      <c r="R40" s="97"/>
      <c r="S40" s="95"/>
      <c r="T40" s="95"/>
      <c r="U40" s="95"/>
      <c r="V40" s="95"/>
      <c r="W40" s="95"/>
      <c r="X40" s="97"/>
      <c r="Y40" s="95"/>
      <c r="Z40" s="95"/>
      <c r="AA40" s="95"/>
      <c r="AB40" s="95"/>
      <c r="AC40" s="95"/>
    </row>
    <row r="41" ht="15.75" customHeight="1">
      <c r="B41" s="149"/>
      <c r="C41" s="149"/>
      <c r="D41" s="149"/>
      <c r="E41" s="149"/>
      <c r="F41" s="149"/>
      <c r="G41" s="149"/>
      <c r="H41" s="149"/>
      <c r="I41" s="149"/>
      <c r="L41" s="97"/>
      <c r="M41" s="95"/>
      <c r="N41" s="95"/>
      <c r="O41" s="95"/>
      <c r="P41" s="95"/>
      <c r="Q41" s="95"/>
      <c r="R41" s="97"/>
      <c r="S41" s="95"/>
      <c r="T41" s="95"/>
      <c r="U41" s="95"/>
      <c r="V41" s="95"/>
      <c r="W41" s="95"/>
      <c r="X41" s="95"/>
    </row>
    <row r="42" ht="15.75" customHeight="1">
      <c r="B42" s="149" t="s">
        <v>167</v>
      </c>
      <c r="S42" s="95"/>
      <c r="T42" s="95"/>
      <c r="U42" s="95"/>
      <c r="V42" s="95"/>
      <c r="W42" s="95"/>
      <c r="X42" s="95"/>
    </row>
    <row r="43" ht="21.0" customHeight="1">
      <c r="B43" s="150" t="s">
        <v>168</v>
      </c>
      <c r="L43" s="150" t="s">
        <v>169</v>
      </c>
      <c r="U43" s="95"/>
      <c r="V43" s="95"/>
      <c r="W43" s="95"/>
      <c r="X43" s="95"/>
    </row>
    <row r="44" ht="19.5" customHeight="1">
      <c r="B44" s="151" t="str">
        <f>HLOOKUP($CY$7,Def!$B$2:$AQ$16,3)</f>
        <v>NEGOTIATOR</v>
      </c>
      <c r="K44" s="152"/>
      <c r="L44" s="151" t="str">
        <f>HLOOKUP($CY$9,Def!$B$2:$AQ$16,3)</f>
        <v>NEGOTIATOR</v>
      </c>
      <c r="U44" s="95"/>
      <c r="V44" s="95"/>
      <c r="W44" s="95"/>
      <c r="X44" s="95"/>
    </row>
    <row r="45" ht="19.5" customHeight="1">
      <c r="B45" s="151" t="str">
        <f>HLOOKUP($CY$7,Def!$B$2:$AQ$16,4)</f>
        <v>Suka Bergaul</v>
      </c>
      <c r="K45" s="153"/>
      <c r="L45" s="151" t="str">
        <f>HLOOKUP($CY$9,Def!$B$2:$AQ$16,4)</f>
        <v>Suka Bergaul</v>
      </c>
      <c r="U45" s="95"/>
      <c r="V45" s="95"/>
      <c r="W45" s="95"/>
      <c r="X45" s="95"/>
    </row>
    <row r="46" ht="19.5" customHeight="1">
      <c r="A46" s="36"/>
      <c r="B46" s="151" t="str">
        <f>HLOOKUP($CY$7,Def!$B$2:$AQ$16,5)</f>
        <v>Anti Rutin</v>
      </c>
      <c r="K46" s="153"/>
      <c r="L46" s="151" t="str">
        <f>HLOOKUP($CY$9,Def!$B$2:$AQ$16,5)</f>
        <v>Anti Rutin</v>
      </c>
      <c r="U46" s="95"/>
      <c r="V46" s="95"/>
      <c r="W46" s="95"/>
      <c r="X46" s="95"/>
      <c r="AD46" s="36"/>
      <c r="AE46" s="36"/>
      <c r="AF46" s="36"/>
      <c r="AG46" s="36"/>
      <c r="AH46" s="36"/>
      <c r="AI46" s="36"/>
      <c r="AJ46" s="36"/>
      <c r="AK46" s="36"/>
      <c r="AL46" s="36"/>
      <c r="AM46" s="36"/>
      <c r="AN46" s="36"/>
      <c r="AO46" s="36"/>
      <c r="AP46" s="36"/>
      <c r="AQ46" s="36"/>
      <c r="AR46" s="36"/>
      <c r="AS46" s="36"/>
    </row>
    <row r="47" ht="19.5" customHeight="1">
      <c r="A47" s="36"/>
      <c r="B47" s="151" t="str">
        <f>HLOOKUP($CY$7,Def!$B$2:$AQ$16,6)</f>
        <v>Aktif</v>
      </c>
      <c r="K47" s="153"/>
      <c r="L47" s="151" t="str">
        <f>HLOOKUP($CY$9,Def!$B$2:$AQ$16,6)</f>
        <v>Aktif</v>
      </c>
      <c r="U47" s="95"/>
      <c r="V47" s="95"/>
      <c r="W47" s="95"/>
      <c r="X47" s="95"/>
      <c r="AD47" s="36"/>
      <c r="AE47" s="36"/>
      <c r="AF47" s="36"/>
      <c r="AG47" s="36"/>
      <c r="AH47" s="36"/>
      <c r="AI47" s="36"/>
      <c r="AJ47" s="36"/>
      <c r="AK47" s="36"/>
      <c r="AL47" s="36"/>
      <c r="AM47" s="36"/>
      <c r="AN47" s="36"/>
      <c r="AO47" s="36"/>
      <c r="AP47" s="36"/>
      <c r="AQ47" s="36"/>
      <c r="AR47" s="36"/>
      <c r="AS47" s="36"/>
    </row>
    <row r="48" ht="19.5" customHeight="1">
      <c r="A48" s="36"/>
      <c r="B48" s="151" t="str">
        <f>HLOOKUP($CY$7,Def!$B$2:$AQ$16,7)</f>
        <v>Terlalu Percaya Diri</v>
      </c>
      <c r="K48" s="153"/>
      <c r="L48" s="151" t="str">
        <f>HLOOKUP($CY$9,Def!$B$2:$AQ$16,7)</f>
        <v>Terlalu Percaya Diri</v>
      </c>
      <c r="U48" s="95"/>
      <c r="V48" s="95"/>
      <c r="W48" s="95"/>
      <c r="X48" s="95"/>
      <c r="AD48" s="36"/>
      <c r="AE48" s="36"/>
      <c r="AF48" s="36"/>
      <c r="AG48" s="36"/>
      <c r="AH48" s="36"/>
      <c r="AI48" s="36"/>
      <c r="AJ48" s="36"/>
      <c r="AK48" s="36"/>
      <c r="AL48" s="36"/>
      <c r="AM48" s="36"/>
      <c r="AN48" s="36"/>
      <c r="AO48" s="36"/>
      <c r="AP48" s="36"/>
      <c r="AQ48" s="36"/>
      <c r="AR48" s="36"/>
      <c r="AS48" s="36"/>
    </row>
    <row r="49" ht="19.5" customHeight="1">
      <c r="A49" s="36"/>
      <c r="B49" s="151" t="str">
        <f>HLOOKUP($CY$7,Def!$B$2:$AQ$16,8)</f>
        <v>Agresif</v>
      </c>
      <c r="K49" s="153"/>
      <c r="L49" s="151" t="str">
        <f>HLOOKUP($CY$9,Def!$B$2:$AQ$16,8)</f>
        <v>Agresif</v>
      </c>
      <c r="U49" s="95"/>
      <c r="V49" s="95"/>
      <c r="W49" s="95"/>
      <c r="X49" s="95"/>
      <c r="AD49" s="36"/>
      <c r="AE49" s="36"/>
      <c r="AF49" s="36"/>
      <c r="AG49" s="36"/>
      <c r="AH49" s="36"/>
      <c r="AI49" s="36"/>
      <c r="AJ49" s="36"/>
      <c r="AK49" s="36"/>
      <c r="AL49" s="36"/>
      <c r="AM49" s="36"/>
      <c r="AN49" s="36"/>
      <c r="AO49" s="36"/>
      <c r="AP49" s="36"/>
      <c r="AQ49" s="36"/>
      <c r="AR49" s="36"/>
      <c r="AS49" s="36"/>
    </row>
    <row r="50" ht="19.5" customHeight="1">
      <c r="A50" s="36"/>
      <c r="B50" s="151" t="str">
        <f>HLOOKUP($CY$7,Def!$B$2:$AQ$16,9)</f>
        <v>Optimis</v>
      </c>
      <c r="K50" s="153"/>
      <c r="L50" s="151" t="str">
        <f>HLOOKUP($CY$9,Def!$B$2:$AQ$16,9)</f>
        <v>Optimis</v>
      </c>
      <c r="U50" s="95"/>
      <c r="V50" s="95"/>
      <c r="W50" s="95"/>
      <c r="X50" s="95"/>
      <c r="AD50" s="36"/>
      <c r="AE50" s="36"/>
      <c r="AF50" s="36"/>
      <c r="AG50" s="36"/>
      <c r="AH50" s="36"/>
      <c r="AI50" s="36"/>
      <c r="AJ50" s="36"/>
      <c r="AK50" s="36"/>
      <c r="AL50" s="36"/>
      <c r="AM50" s="36"/>
      <c r="AN50" s="36"/>
      <c r="AO50" s="36"/>
      <c r="AP50" s="36"/>
      <c r="AQ50" s="36"/>
      <c r="AR50" s="36"/>
      <c r="AS50" s="36"/>
    </row>
    <row r="51" ht="19.5" customHeight="1">
      <c r="A51" s="36"/>
      <c r="B51" s="151" t="str">
        <f>HLOOKUP($CY$7,Def!$B$2:$AQ$16,10)</f>
        <v>Kurang Detail</v>
      </c>
      <c r="K51" s="153"/>
      <c r="L51" s="151" t="str">
        <f>HLOOKUP($CY$9,Def!$B$2:$AQ$16,10)</f>
        <v>Kurang Detail</v>
      </c>
      <c r="U51" s="95"/>
      <c r="V51" s="95"/>
      <c r="W51" s="95"/>
      <c r="X51" s="95"/>
      <c r="AD51" s="36"/>
      <c r="AE51" s="36"/>
      <c r="AF51" s="36"/>
      <c r="AG51" s="36"/>
      <c r="AH51" s="36"/>
      <c r="AI51" s="36"/>
      <c r="AJ51" s="36"/>
      <c r="AK51" s="36"/>
      <c r="AL51" s="36"/>
      <c r="AM51" s="36"/>
      <c r="AN51" s="36"/>
      <c r="AO51" s="36"/>
      <c r="AP51" s="36"/>
      <c r="AQ51" s="36"/>
      <c r="AR51" s="36"/>
      <c r="AS51" s="36"/>
    </row>
    <row r="52" ht="19.5" customHeight="1">
      <c r="A52" s="36"/>
      <c r="B52" s="151" t="str">
        <f>HLOOKUP($CY$7,Def!$B$2:$AQ$16,11)</f>
        <v>Result Oriented</v>
      </c>
      <c r="K52" s="107"/>
      <c r="L52" s="151" t="str">
        <f>HLOOKUP($CY$9,Def!$B$2:$AQ$16,11)</f>
        <v>Result Oriented</v>
      </c>
      <c r="U52" s="95"/>
      <c r="V52" s="95"/>
      <c r="W52" s="95"/>
      <c r="X52" s="95"/>
      <c r="AD52" s="36"/>
      <c r="AE52" s="36"/>
      <c r="AF52" s="36"/>
      <c r="AG52" s="36"/>
      <c r="AH52" s="36"/>
      <c r="AI52" s="36"/>
      <c r="AJ52" s="36"/>
      <c r="AK52" s="36"/>
      <c r="AL52" s="36"/>
      <c r="AM52" s="36"/>
      <c r="AN52" s="36"/>
      <c r="AO52" s="36"/>
      <c r="AP52" s="36"/>
      <c r="AQ52" s="36"/>
      <c r="AR52" s="36"/>
      <c r="AS52" s="36"/>
    </row>
    <row r="53" ht="19.5" customHeight="1">
      <c r="A53" s="36"/>
      <c r="B53" s="151" t="str">
        <f>HLOOKUP($CY$7,Def!$B$2:$AQ$16,12)</f>
        <v/>
      </c>
      <c r="K53" s="107"/>
      <c r="L53" s="151" t="str">
        <f>HLOOKUP($CY$9,Def!$B$2:$AQ$16,12)</f>
        <v/>
      </c>
      <c r="U53" s="95"/>
      <c r="V53" s="95"/>
      <c r="W53" s="95"/>
      <c r="X53" s="95"/>
      <c r="AD53" s="36"/>
      <c r="AE53" s="36"/>
      <c r="AF53" s="36"/>
      <c r="AG53" s="36"/>
      <c r="AH53" s="36"/>
      <c r="AI53" s="36"/>
      <c r="AJ53" s="36"/>
      <c r="AK53" s="36"/>
      <c r="AL53" s="36"/>
      <c r="AM53" s="36"/>
      <c r="AN53" s="36"/>
      <c r="AO53" s="36"/>
      <c r="AP53" s="36"/>
      <c r="AQ53" s="36"/>
      <c r="AR53" s="36"/>
      <c r="AS53" s="36"/>
    </row>
    <row r="54" ht="19.5" customHeight="1">
      <c r="A54" s="36"/>
      <c r="B54" s="151" t="str">
        <f>HLOOKUP($CY$7,Def!$B$2:$AQ$16,13)</f>
        <v/>
      </c>
      <c r="K54" s="107"/>
      <c r="L54" s="151" t="str">
        <f>HLOOKUP($CY$9,Def!$B$2:$AQ$16,13)</f>
        <v/>
      </c>
      <c r="U54" s="95"/>
      <c r="V54" s="95"/>
      <c r="W54" s="95"/>
      <c r="X54" s="95"/>
      <c r="AD54" s="36"/>
      <c r="AE54" s="36"/>
      <c r="AF54" s="36"/>
      <c r="AG54" s="36"/>
      <c r="AH54" s="36"/>
      <c r="AI54" s="36"/>
      <c r="AJ54" s="36"/>
      <c r="AK54" s="36"/>
      <c r="AL54" s="36"/>
      <c r="AM54" s="36"/>
      <c r="AN54" s="36"/>
      <c r="AO54" s="36"/>
      <c r="AP54" s="36"/>
      <c r="AQ54" s="36"/>
      <c r="AR54" s="36"/>
      <c r="AS54" s="36"/>
    </row>
    <row r="55" ht="19.5" customHeight="1">
      <c r="A55" s="36"/>
      <c r="B55" s="151" t="str">
        <f>HLOOKUP($CY$7,Def!$B$2:$AQ$16,14)</f>
        <v/>
      </c>
      <c r="K55" s="107"/>
      <c r="L55" s="151" t="str">
        <f>HLOOKUP($CY$9,Def!$B$2:$AQ$16,14)</f>
        <v/>
      </c>
      <c r="U55" s="95"/>
      <c r="V55" s="95"/>
      <c r="W55" s="95"/>
      <c r="X55" s="95"/>
      <c r="AD55" s="36"/>
      <c r="AE55" s="36"/>
      <c r="AF55" s="36"/>
      <c r="AG55" s="36"/>
      <c r="AH55" s="36"/>
      <c r="AI55" s="36"/>
      <c r="AJ55" s="36"/>
      <c r="AK55" s="36"/>
      <c r="AL55" s="36"/>
      <c r="AM55" s="36"/>
      <c r="AN55" s="36"/>
      <c r="AO55" s="36"/>
      <c r="AP55" s="36"/>
      <c r="AQ55" s="36"/>
      <c r="AR55" s="36"/>
      <c r="AS55" s="36"/>
    </row>
    <row r="56" ht="15.75" customHeight="1">
      <c r="A56" s="36"/>
      <c r="B56" s="151" t="str">
        <f>HLOOKUP($CY$7,Def!$B$2:$AQ$16,15)</f>
        <v/>
      </c>
      <c r="K56" s="36"/>
      <c r="L56" s="151" t="str">
        <f>HLOOKUP($CY$9,Def!$B$2:$AQ$16,15)</f>
        <v/>
      </c>
      <c r="U56" s="153"/>
      <c r="V56" s="153"/>
      <c r="W56" s="153"/>
      <c r="X56" s="153"/>
      <c r="Y56" s="153"/>
      <c r="Z56" s="153"/>
      <c r="AA56" s="153"/>
      <c r="AB56" s="153"/>
      <c r="AC56" s="153"/>
      <c r="AD56" s="36"/>
      <c r="AE56" s="36"/>
      <c r="AF56" s="36"/>
      <c r="AG56" s="36"/>
      <c r="AH56" s="36"/>
      <c r="AI56" s="36"/>
      <c r="AJ56" s="36"/>
      <c r="AK56" s="36"/>
      <c r="AL56" s="36"/>
      <c r="AM56" s="36"/>
      <c r="AN56" s="36"/>
      <c r="AO56" s="36"/>
      <c r="AP56" s="36"/>
      <c r="AQ56" s="36"/>
      <c r="AR56" s="36"/>
      <c r="AS56" s="36"/>
    </row>
    <row r="57" ht="15.75" customHeight="1">
      <c r="A57" s="36"/>
      <c r="B57" s="36"/>
      <c r="C57" s="36"/>
      <c r="D57" s="36"/>
      <c r="E57" s="36"/>
      <c r="F57" s="36"/>
      <c r="G57" s="36"/>
      <c r="H57" s="36"/>
      <c r="I57" s="36"/>
      <c r="J57" s="36"/>
      <c r="K57" s="36"/>
      <c r="L57" s="154"/>
      <c r="M57" s="155"/>
      <c r="N57" s="155"/>
      <c r="O57" s="155"/>
      <c r="P57" s="155"/>
      <c r="Q57" s="154"/>
      <c r="R57" s="155"/>
      <c r="S57" s="155"/>
      <c r="T57" s="155"/>
      <c r="U57" s="155"/>
      <c r="V57" s="155"/>
      <c r="W57" s="155"/>
      <c r="X57" s="107"/>
      <c r="Y57" s="107"/>
      <c r="Z57" s="107"/>
      <c r="AA57" s="107"/>
      <c r="AB57" s="107"/>
      <c r="AC57" s="107"/>
      <c r="AD57" s="36"/>
      <c r="AE57" s="36"/>
      <c r="AF57" s="36"/>
      <c r="AG57" s="36"/>
      <c r="AH57" s="36"/>
      <c r="AI57" s="36"/>
      <c r="AJ57" s="36"/>
      <c r="AK57" s="36"/>
      <c r="AL57" s="36"/>
      <c r="AM57" s="36"/>
      <c r="AN57" s="36"/>
      <c r="AO57" s="36"/>
      <c r="AP57" s="36"/>
      <c r="AQ57" s="36"/>
      <c r="AR57" s="36"/>
      <c r="AS57" s="36"/>
    </row>
    <row r="58" ht="15.75" customHeight="1">
      <c r="A58" s="36"/>
      <c r="B58" s="36"/>
      <c r="C58" s="36"/>
      <c r="D58" s="36"/>
      <c r="E58" s="36"/>
      <c r="F58" s="36"/>
      <c r="G58" s="36"/>
      <c r="H58" s="36"/>
      <c r="I58" s="36"/>
      <c r="J58" s="36"/>
      <c r="K58" s="36"/>
      <c r="L58" s="32"/>
      <c r="M58" s="32"/>
      <c r="N58" s="32"/>
      <c r="O58" s="32"/>
      <c r="P58" s="32"/>
      <c r="Q58" s="32"/>
      <c r="R58" s="32"/>
      <c r="S58" s="32"/>
      <c r="T58" s="32"/>
      <c r="U58" s="32"/>
      <c r="V58" s="32"/>
      <c r="W58" s="32"/>
      <c r="X58" s="32"/>
      <c r="Y58" s="32"/>
      <c r="Z58" s="32"/>
      <c r="AA58" s="32"/>
      <c r="AB58" s="32"/>
      <c r="AC58" s="32"/>
      <c r="AD58" s="36"/>
      <c r="AE58" s="36"/>
      <c r="AF58" s="36"/>
      <c r="AG58" s="36"/>
      <c r="AH58" s="36"/>
      <c r="AI58" s="36"/>
      <c r="AJ58" s="36"/>
      <c r="AK58" s="36"/>
      <c r="AL58" s="36"/>
      <c r="AM58" s="36"/>
      <c r="AN58" s="36"/>
      <c r="AO58" s="36"/>
      <c r="AP58" s="36"/>
      <c r="AQ58" s="36"/>
      <c r="AR58" s="36"/>
      <c r="AS58" s="36"/>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row>
    <row r="59" ht="15.75" customHeight="1">
      <c r="A59" s="156"/>
      <c r="B59" s="157" t="s">
        <v>170</v>
      </c>
      <c r="K59" s="152"/>
      <c r="L59" s="152"/>
      <c r="M59" s="152"/>
      <c r="N59" s="152"/>
      <c r="O59" s="152"/>
      <c r="P59" s="152"/>
      <c r="Q59" s="152"/>
      <c r="R59" s="152"/>
      <c r="S59" s="152"/>
      <c r="T59" s="152"/>
      <c r="U59" s="152"/>
      <c r="V59" s="152"/>
      <c r="W59" s="152"/>
      <c r="X59" s="152"/>
      <c r="Y59" s="152"/>
      <c r="Z59" s="152"/>
      <c r="AA59" s="152"/>
      <c r="AB59" s="152"/>
      <c r="AC59" s="152"/>
      <c r="AD59" s="152"/>
      <c r="AE59" s="156"/>
      <c r="AF59" s="156"/>
      <c r="AG59" s="156"/>
      <c r="AH59" s="156"/>
      <c r="AI59" s="156"/>
      <c r="AJ59" s="156"/>
      <c r="AK59" s="156"/>
      <c r="AL59" s="156"/>
      <c r="AM59" s="156"/>
      <c r="AN59" s="156"/>
      <c r="AO59" s="156"/>
      <c r="AP59" s="156"/>
      <c r="AQ59" s="156"/>
      <c r="AR59" s="156"/>
      <c r="AS59" s="156"/>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c r="CM59" s="152"/>
      <c r="CN59" s="152"/>
      <c r="CO59" s="152"/>
      <c r="CP59" s="152"/>
      <c r="CQ59" s="152"/>
      <c r="CR59" s="152"/>
      <c r="CS59" s="152"/>
      <c r="CT59" s="152"/>
      <c r="CU59" s="152"/>
      <c r="CV59" s="152"/>
      <c r="CW59" s="152"/>
      <c r="CX59" s="152"/>
      <c r="CY59" s="152"/>
      <c r="CZ59" s="152"/>
      <c r="DA59" s="152"/>
      <c r="DB59" s="152"/>
      <c r="DC59" s="152"/>
      <c r="DD59" s="152"/>
      <c r="DE59" s="152"/>
      <c r="DF59" s="152"/>
      <c r="DG59" s="152"/>
      <c r="DH59" s="152"/>
      <c r="DI59" s="152"/>
    </row>
    <row r="60" ht="18.75" customHeight="1">
      <c r="A60" s="107"/>
      <c r="B60" s="151" t="str">
        <f>HLOOKUP($CY$11,Def!$B$2:$AQ$16,3)</f>
        <v>NEGOTIATOR</v>
      </c>
      <c r="K60" s="153"/>
      <c r="L60" s="153"/>
      <c r="M60" s="153"/>
      <c r="N60" s="153"/>
      <c r="O60" s="153"/>
      <c r="P60" s="153"/>
      <c r="Q60" s="153"/>
      <c r="R60" s="153"/>
      <c r="S60" s="153"/>
      <c r="T60" s="153"/>
      <c r="U60" s="153"/>
      <c r="V60" s="153"/>
      <c r="W60" s="153"/>
      <c r="X60" s="153"/>
      <c r="Y60" s="153"/>
      <c r="Z60" s="153"/>
      <c r="AA60" s="153"/>
      <c r="AB60" s="153"/>
      <c r="AC60" s="153"/>
      <c r="AD60" s="153"/>
      <c r="AE60" s="107"/>
      <c r="AF60" s="107"/>
      <c r="AG60" s="107"/>
      <c r="AH60" s="107"/>
      <c r="AI60" s="107"/>
      <c r="AJ60" s="107"/>
      <c r="AK60" s="107"/>
      <c r="AL60" s="107"/>
      <c r="AM60" s="107"/>
      <c r="AN60" s="107"/>
      <c r="AO60" s="107"/>
      <c r="AP60" s="107"/>
      <c r="AQ60" s="107"/>
      <c r="AR60" s="107"/>
      <c r="AS60" s="107"/>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13"/>
      <c r="CG60" s="113"/>
      <c r="CH60" s="113"/>
      <c r="CI60" s="113"/>
      <c r="CJ60" s="113"/>
      <c r="CK60" s="113"/>
      <c r="CL60" s="113"/>
      <c r="CM60" s="158"/>
      <c r="CN60" s="159"/>
      <c r="CO60" s="159"/>
      <c r="CP60" s="159"/>
      <c r="CQ60" s="159"/>
      <c r="CR60" s="159"/>
      <c r="CS60" s="159"/>
      <c r="CT60" s="159"/>
      <c r="CU60" s="159"/>
      <c r="CV60" s="159"/>
      <c r="CW60" s="159"/>
      <c r="CX60" s="159"/>
      <c r="CY60" s="159"/>
      <c r="CZ60" s="159"/>
      <c r="DA60" s="159"/>
      <c r="DB60" s="159"/>
      <c r="DC60" s="159"/>
      <c r="DD60" s="159"/>
      <c r="DE60" s="159"/>
      <c r="DF60" s="159"/>
      <c r="DG60" s="159"/>
      <c r="DH60" s="159"/>
      <c r="DI60" s="159"/>
    </row>
    <row r="61" ht="18.75" customHeight="1">
      <c r="A61" s="107"/>
      <c r="B61" s="151" t="str">
        <f>HLOOKUP($CY$11,Def!$B$2:$AQ$16,4)</f>
        <v>Suka Bergaul</v>
      </c>
      <c r="K61" s="153"/>
      <c r="L61" s="153"/>
      <c r="M61" s="153"/>
      <c r="N61" s="153"/>
      <c r="O61" s="153"/>
      <c r="P61" s="153"/>
      <c r="Q61" s="153"/>
      <c r="R61" s="153"/>
      <c r="S61" s="153"/>
      <c r="T61" s="153"/>
      <c r="U61" s="153"/>
      <c r="V61" s="153"/>
      <c r="W61" s="153"/>
      <c r="X61" s="153"/>
      <c r="Y61" s="153"/>
      <c r="Z61" s="153"/>
      <c r="AA61" s="153"/>
      <c r="AB61" s="153"/>
      <c r="AC61" s="153"/>
      <c r="AD61" s="153"/>
      <c r="AE61" s="154"/>
      <c r="AF61" s="154"/>
      <c r="AG61" s="154"/>
      <c r="AH61" s="154"/>
      <c r="AI61" s="154"/>
      <c r="AJ61" s="154"/>
      <c r="AK61" s="154"/>
      <c r="AL61" s="154"/>
      <c r="AM61" s="154"/>
      <c r="AN61" s="154"/>
      <c r="AO61" s="154"/>
      <c r="AP61" s="154"/>
      <c r="AQ61" s="154"/>
      <c r="AR61" s="154"/>
      <c r="AS61" s="154"/>
      <c r="AT61" s="103"/>
      <c r="AU61" s="103"/>
      <c r="AV61" s="103"/>
      <c r="AW61" s="103"/>
      <c r="AX61" s="103"/>
      <c r="AY61" s="103"/>
      <c r="AZ61" s="103"/>
      <c r="BA61" s="103"/>
      <c r="BB61" s="103"/>
      <c r="BC61" s="103"/>
      <c r="BD61" s="10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13"/>
      <c r="CG61" s="113"/>
      <c r="CH61" s="113"/>
      <c r="CI61" s="113"/>
      <c r="CJ61" s="113"/>
      <c r="CK61" s="113"/>
      <c r="CL61" s="113"/>
      <c r="CM61" s="160"/>
      <c r="CN61" s="161"/>
      <c r="CO61" s="161"/>
      <c r="CP61" s="161"/>
      <c r="CQ61" s="161"/>
      <c r="CR61" s="161"/>
      <c r="CS61" s="161"/>
      <c r="CT61" s="161"/>
      <c r="CU61" s="161"/>
      <c r="CV61" s="161"/>
      <c r="CW61" s="161"/>
      <c r="CX61" s="161"/>
      <c r="CY61" s="161"/>
      <c r="CZ61" s="161"/>
      <c r="DA61" s="161"/>
      <c r="DB61" s="161"/>
      <c r="DC61" s="161"/>
      <c r="DD61" s="161"/>
      <c r="DE61" s="161"/>
      <c r="DF61" s="161"/>
      <c r="DG61" s="161"/>
      <c r="DH61" s="161"/>
      <c r="DI61" s="161"/>
    </row>
    <row r="62" ht="18.75" customHeight="1">
      <c r="A62" s="107"/>
      <c r="B62" s="151" t="str">
        <f>HLOOKUP($CY$11,Def!$B$2:$AQ$16,5)</f>
        <v>Anti Rutin</v>
      </c>
      <c r="K62" s="153"/>
      <c r="L62" s="153"/>
      <c r="M62" s="153"/>
      <c r="N62" s="153"/>
      <c r="O62" s="153"/>
      <c r="P62" s="153"/>
      <c r="Q62" s="153"/>
      <c r="R62" s="153"/>
      <c r="S62" s="153"/>
      <c r="T62" s="153"/>
      <c r="U62" s="153"/>
      <c r="V62" s="153"/>
      <c r="W62" s="153"/>
      <c r="X62" s="153"/>
      <c r="Y62" s="153"/>
      <c r="Z62" s="153"/>
      <c r="AA62" s="153"/>
      <c r="AB62" s="153"/>
      <c r="AC62" s="153"/>
      <c r="AD62" s="153"/>
      <c r="AE62" s="107"/>
      <c r="AF62" s="107"/>
      <c r="AG62" s="107"/>
      <c r="AH62" s="107"/>
      <c r="AI62" s="107"/>
      <c r="AJ62" s="107"/>
      <c r="AK62" s="107"/>
      <c r="AL62" s="107"/>
      <c r="AM62" s="107"/>
      <c r="AN62" s="107"/>
      <c r="AO62" s="107"/>
      <c r="AP62" s="107"/>
      <c r="AQ62" s="107"/>
      <c r="AR62" s="107"/>
      <c r="AS62" s="107"/>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60"/>
      <c r="CN62" s="161"/>
      <c r="CO62" s="161"/>
      <c r="CP62" s="161"/>
      <c r="CQ62" s="161"/>
      <c r="CR62" s="161"/>
      <c r="CS62" s="161"/>
      <c r="CT62" s="161"/>
      <c r="CU62" s="161"/>
      <c r="CV62" s="161"/>
      <c r="CW62" s="161"/>
      <c r="CX62" s="161"/>
      <c r="CY62" s="161"/>
      <c r="CZ62" s="161"/>
      <c r="DA62" s="161"/>
      <c r="DB62" s="161"/>
      <c r="DC62" s="161"/>
      <c r="DD62" s="161"/>
      <c r="DE62" s="161"/>
      <c r="DF62" s="161"/>
      <c r="DG62" s="161"/>
      <c r="DH62" s="161"/>
      <c r="DI62" s="161"/>
    </row>
    <row r="63" ht="18.75" customHeight="1">
      <c r="A63" s="107"/>
      <c r="B63" s="151" t="str">
        <f>HLOOKUP($CY$11,Def!$B$2:$AQ$16,6)</f>
        <v>Aktif</v>
      </c>
      <c r="K63" s="153"/>
      <c r="L63" s="153"/>
      <c r="M63" s="153"/>
      <c r="N63" s="153"/>
      <c r="O63" s="153"/>
      <c r="P63" s="153"/>
      <c r="Q63" s="153"/>
      <c r="R63" s="153"/>
      <c r="S63" s="153"/>
      <c r="T63" s="153"/>
      <c r="U63" s="153"/>
      <c r="V63" s="153"/>
      <c r="W63" s="153"/>
      <c r="X63" s="153"/>
      <c r="Y63" s="153"/>
      <c r="Z63" s="153"/>
      <c r="AA63" s="153"/>
      <c r="AB63" s="153"/>
      <c r="AC63" s="153"/>
      <c r="AD63" s="153"/>
      <c r="AE63" s="107"/>
      <c r="AF63" s="107"/>
      <c r="AG63" s="107"/>
      <c r="AH63" s="107"/>
      <c r="AI63" s="107"/>
      <c r="AJ63" s="107"/>
      <c r="AK63" s="107"/>
      <c r="AL63" s="107"/>
      <c r="AM63" s="107"/>
      <c r="AN63" s="107"/>
      <c r="AO63" s="107"/>
      <c r="AP63" s="107"/>
      <c r="AQ63" s="107"/>
      <c r="AR63" s="107"/>
      <c r="AS63" s="107"/>
      <c r="AT63" s="113"/>
      <c r="AU63" s="113"/>
      <c r="AV63" s="113"/>
      <c r="AW63" s="113"/>
      <c r="AX63" s="113"/>
      <c r="AY63" s="113"/>
      <c r="AZ63" s="113"/>
      <c r="BA63" s="113"/>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60"/>
      <c r="CN63" s="161"/>
      <c r="CO63" s="161"/>
      <c r="CP63" s="161"/>
      <c r="CQ63" s="161"/>
      <c r="CR63" s="161"/>
      <c r="CS63" s="161"/>
      <c r="CT63" s="161"/>
      <c r="CU63" s="161"/>
      <c r="CV63" s="161"/>
      <c r="CW63" s="161"/>
      <c r="CX63" s="161"/>
      <c r="CY63" s="161"/>
      <c r="CZ63" s="161"/>
      <c r="DA63" s="161"/>
      <c r="DB63" s="161"/>
      <c r="DC63" s="161"/>
      <c r="DD63" s="161"/>
      <c r="DE63" s="161"/>
      <c r="DF63" s="161"/>
      <c r="DG63" s="161"/>
      <c r="DH63" s="161"/>
      <c r="DI63" s="161"/>
    </row>
    <row r="64" ht="18.75" customHeight="1">
      <c r="A64" s="107"/>
      <c r="B64" s="151" t="str">
        <f>HLOOKUP($CY$11,Def!$B$2:$AQ$16,7)</f>
        <v>Terlalu Percaya Diri</v>
      </c>
      <c r="K64" s="153"/>
      <c r="L64" s="153"/>
      <c r="M64" s="153"/>
      <c r="N64" s="153"/>
      <c r="O64" s="153"/>
      <c r="P64" s="153"/>
      <c r="Q64" s="153"/>
      <c r="R64" s="153"/>
      <c r="S64" s="153"/>
      <c r="T64" s="153"/>
      <c r="U64" s="153"/>
      <c r="V64" s="153"/>
      <c r="W64" s="153"/>
      <c r="X64" s="153"/>
      <c r="Y64" s="153"/>
      <c r="Z64" s="153"/>
      <c r="AA64" s="153"/>
      <c r="AB64" s="153"/>
      <c r="AC64" s="153"/>
      <c r="AD64" s="153"/>
      <c r="AE64" s="107"/>
      <c r="AF64" s="107"/>
      <c r="AG64" s="107"/>
      <c r="AH64" s="107"/>
      <c r="AI64" s="107"/>
      <c r="AJ64" s="107"/>
      <c r="AK64" s="107"/>
      <c r="AL64" s="107"/>
      <c r="AM64" s="107"/>
      <c r="AN64" s="107"/>
      <c r="AO64" s="107"/>
      <c r="AP64" s="107"/>
      <c r="AQ64" s="107"/>
      <c r="AR64" s="107"/>
      <c r="AS64" s="107"/>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13"/>
      <c r="CG64" s="113"/>
      <c r="CH64" s="113"/>
      <c r="CI64" s="113"/>
      <c r="CJ64" s="113"/>
      <c r="CK64" s="113"/>
      <c r="CL64" s="113"/>
      <c r="CM64" s="160"/>
      <c r="CN64" s="161"/>
      <c r="CO64" s="161"/>
      <c r="CP64" s="161"/>
      <c r="CQ64" s="161"/>
      <c r="CR64" s="161"/>
      <c r="CS64" s="161"/>
      <c r="CT64" s="161"/>
      <c r="CU64" s="161"/>
      <c r="CV64" s="161"/>
      <c r="CW64" s="161"/>
      <c r="CX64" s="161"/>
      <c r="CY64" s="161"/>
      <c r="CZ64" s="161"/>
      <c r="DA64" s="161"/>
      <c r="DB64" s="161"/>
      <c r="DC64" s="161"/>
      <c r="DD64" s="161"/>
      <c r="DE64" s="161"/>
      <c r="DF64" s="161"/>
      <c r="DG64" s="161"/>
      <c r="DH64" s="161"/>
      <c r="DI64" s="161"/>
    </row>
    <row r="65" ht="18.75" customHeight="1">
      <c r="A65" s="107"/>
      <c r="B65" s="151" t="str">
        <f>HLOOKUP($CY$11,Def!$B$2:$AQ$16,8)</f>
        <v>Agresif</v>
      </c>
      <c r="K65" s="153"/>
      <c r="L65" s="153"/>
      <c r="M65" s="153"/>
      <c r="N65" s="153"/>
      <c r="O65" s="153"/>
      <c r="P65" s="153"/>
      <c r="Q65" s="153"/>
      <c r="R65" s="153"/>
      <c r="S65" s="153"/>
      <c r="T65" s="153"/>
      <c r="U65" s="153"/>
      <c r="V65" s="153"/>
      <c r="W65" s="153"/>
      <c r="X65" s="153"/>
      <c r="Y65" s="153"/>
      <c r="Z65" s="153"/>
      <c r="AA65" s="153"/>
      <c r="AB65" s="153"/>
      <c r="AC65" s="153"/>
      <c r="AD65" s="153"/>
      <c r="AE65" s="107"/>
      <c r="AF65" s="107"/>
      <c r="AG65" s="107"/>
      <c r="AH65" s="107"/>
      <c r="AI65" s="107"/>
      <c r="AJ65" s="107"/>
      <c r="AK65" s="107"/>
      <c r="AL65" s="107"/>
      <c r="AM65" s="107"/>
      <c r="AN65" s="107"/>
      <c r="AO65" s="107"/>
      <c r="AP65" s="107"/>
      <c r="AQ65" s="107"/>
      <c r="AR65" s="107"/>
      <c r="AS65" s="107"/>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3"/>
      <c r="BP65" s="113"/>
      <c r="BQ65" s="113"/>
      <c r="BR65" s="113"/>
      <c r="BS65" s="113"/>
      <c r="BT65" s="113"/>
      <c r="BU65" s="113"/>
      <c r="BV65" s="113"/>
      <c r="BW65" s="113"/>
      <c r="BX65" s="113"/>
      <c r="BY65" s="113"/>
      <c r="BZ65" s="113"/>
      <c r="CA65" s="113"/>
      <c r="CB65" s="113"/>
      <c r="CC65" s="113"/>
      <c r="CD65" s="113"/>
      <c r="CE65" s="113"/>
      <c r="CF65" s="113"/>
      <c r="CG65" s="113"/>
      <c r="CH65" s="113"/>
      <c r="CI65" s="113"/>
      <c r="CJ65" s="113"/>
      <c r="CK65" s="113"/>
      <c r="CL65" s="113"/>
      <c r="CM65" s="160"/>
      <c r="CN65" s="161"/>
      <c r="CO65" s="161"/>
      <c r="CP65" s="161"/>
      <c r="CQ65" s="161"/>
      <c r="CR65" s="161"/>
      <c r="CS65" s="161"/>
      <c r="CT65" s="161"/>
      <c r="CU65" s="161"/>
      <c r="CV65" s="161"/>
      <c r="CW65" s="161"/>
      <c r="CX65" s="161"/>
      <c r="CY65" s="161"/>
      <c r="CZ65" s="161"/>
      <c r="DA65" s="161"/>
      <c r="DB65" s="161"/>
      <c r="DC65" s="161"/>
      <c r="DD65" s="161"/>
      <c r="DE65" s="161"/>
      <c r="DF65" s="161"/>
      <c r="DG65" s="161"/>
      <c r="DH65" s="161"/>
      <c r="DI65" s="161"/>
    </row>
    <row r="66" ht="18.75" customHeight="1">
      <c r="A66" s="107"/>
      <c r="B66" s="151" t="str">
        <f>HLOOKUP($CY$11,Def!$B$2:$AQ$16,9)</f>
        <v>Optimis</v>
      </c>
      <c r="K66" s="153"/>
      <c r="L66" s="153"/>
      <c r="M66" s="153"/>
      <c r="N66" s="153"/>
      <c r="O66" s="153"/>
      <c r="P66" s="153"/>
      <c r="Q66" s="153"/>
      <c r="R66" s="153"/>
      <c r="S66" s="153"/>
      <c r="T66" s="153"/>
      <c r="U66" s="153"/>
      <c r="V66" s="153"/>
      <c r="W66" s="153"/>
      <c r="X66" s="153"/>
      <c r="Y66" s="153"/>
      <c r="Z66" s="153"/>
      <c r="AA66" s="153"/>
      <c r="AB66" s="153"/>
      <c r="AC66" s="153"/>
      <c r="AD66" s="153"/>
      <c r="AE66" s="107"/>
      <c r="AF66" s="107"/>
      <c r="AG66" s="107"/>
      <c r="AH66" s="107"/>
      <c r="AI66" s="107"/>
      <c r="AJ66" s="107"/>
      <c r="AK66" s="107"/>
      <c r="AL66" s="107"/>
      <c r="AM66" s="107"/>
      <c r="AN66" s="107"/>
      <c r="AO66" s="107"/>
      <c r="AP66" s="107"/>
      <c r="AQ66" s="107"/>
      <c r="AR66" s="107"/>
      <c r="AS66" s="107"/>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113"/>
      <c r="CF66" s="113"/>
      <c r="CG66" s="113"/>
      <c r="CH66" s="113"/>
      <c r="CI66" s="113"/>
      <c r="CJ66" s="113"/>
      <c r="CK66" s="113"/>
      <c r="CL66" s="113"/>
      <c r="CM66" s="160"/>
      <c r="CN66" s="161"/>
      <c r="CO66" s="161"/>
      <c r="CP66" s="161"/>
      <c r="CQ66" s="161"/>
      <c r="CR66" s="161"/>
      <c r="CS66" s="161"/>
      <c r="CT66" s="161"/>
      <c r="CU66" s="161"/>
      <c r="CV66" s="161"/>
      <c r="CW66" s="161"/>
      <c r="CX66" s="161"/>
      <c r="CY66" s="161"/>
      <c r="CZ66" s="161"/>
      <c r="DA66" s="161"/>
      <c r="DB66" s="161"/>
      <c r="DC66" s="161"/>
      <c r="DD66" s="161"/>
      <c r="DE66" s="161"/>
      <c r="DF66" s="161"/>
      <c r="DG66" s="161"/>
      <c r="DH66" s="161"/>
      <c r="DI66" s="161"/>
    </row>
    <row r="67" ht="18.75" customHeight="1">
      <c r="A67" s="107"/>
      <c r="B67" s="151" t="str">
        <f>HLOOKUP($CY$11,Def!$B$2:$AQ$16,10)</f>
        <v>Kurang Detail</v>
      </c>
      <c r="K67" s="107"/>
      <c r="L67" s="153"/>
      <c r="M67" s="153"/>
      <c r="N67" s="153"/>
      <c r="O67" s="153"/>
      <c r="P67" s="153"/>
      <c r="Q67" s="153"/>
      <c r="R67" s="153"/>
      <c r="S67" s="153"/>
      <c r="T67" s="153"/>
      <c r="U67" s="153"/>
      <c r="V67" s="153"/>
      <c r="W67" s="153"/>
      <c r="X67" s="153"/>
      <c r="Y67" s="153"/>
      <c r="Z67" s="153"/>
      <c r="AA67" s="153"/>
      <c r="AB67" s="153"/>
      <c r="AC67" s="153"/>
      <c r="AD67" s="107"/>
      <c r="AE67" s="107"/>
      <c r="AF67" s="107"/>
      <c r="AG67" s="107"/>
      <c r="AH67" s="107"/>
      <c r="AI67" s="107"/>
      <c r="AJ67" s="107"/>
      <c r="AK67" s="107"/>
      <c r="AL67" s="107"/>
      <c r="AM67" s="107"/>
      <c r="AN67" s="107"/>
      <c r="AO67" s="107"/>
      <c r="AP67" s="107"/>
      <c r="AQ67" s="107"/>
      <c r="AR67" s="107"/>
      <c r="AS67" s="107"/>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3"/>
      <c r="BP67" s="113"/>
      <c r="BQ67" s="113"/>
      <c r="BR67" s="113"/>
      <c r="BS67" s="113"/>
      <c r="BT67" s="113"/>
      <c r="BU67" s="113"/>
      <c r="BV67" s="113"/>
      <c r="BW67" s="113"/>
      <c r="BX67" s="113"/>
      <c r="BY67" s="113"/>
      <c r="BZ67" s="113"/>
      <c r="CA67" s="113"/>
      <c r="CB67" s="113"/>
      <c r="CC67" s="113"/>
      <c r="CD67" s="113"/>
      <c r="CE67" s="113"/>
      <c r="CF67" s="113"/>
      <c r="CG67" s="113"/>
      <c r="CH67" s="113"/>
      <c r="CI67" s="113"/>
      <c r="CJ67" s="113"/>
      <c r="CK67" s="113"/>
      <c r="CL67" s="113"/>
      <c r="CM67" s="160"/>
      <c r="CN67" s="161"/>
      <c r="CO67" s="161"/>
      <c r="CP67" s="161"/>
      <c r="CQ67" s="161"/>
      <c r="CR67" s="161"/>
      <c r="CS67" s="161"/>
      <c r="CT67" s="161"/>
      <c r="CU67" s="161"/>
      <c r="CV67" s="161"/>
      <c r="CW67" s="161"/>
      <c r="CX67" s="161"/>
      <c r="CY67" s="161"/>
      <c r="CZ67" s="161"/>
      <c r="DA67" s="161"/>
      <c r="DB67" s="161"/>
      <c r="DC67" s="161"/>
      <c r="DD67" s="161"/>
      <c r="DE67" s="161"/>
      <c r="DF67" s="161"/>
      <c r="DG67" s="161"/>
      <c r="DH67" s="161"/>
      <c r="DI67" s="161"/>
    </row>
    <row r="68" ht="18.75" customHeight="1">
      <c r="A68" s="107"/>
      <c r="B68" s="151" t="str">
        <f>HLOOKUP($CY$11,Def!$B$2:$AQ$16,11)</f>
        <v>Result Oriented</v>
      </c>
      <c r="K68" s="107"/>
      <c r="L68" s="153"/>
      <c r="M68" s="153"/>
      <c r="N68" s="153"/>
      <c r="O68" s="153"/>
      <c r="P68" s="153"/>
      <c r="Q68" s="153"/>
      <c r="R68" s="153"/>
      <c r="S68" s="153"/>
      <c r="T68" s="153"/>
      <c r="U68" s="153"/>
      <c r="V68" s="153"/>
      <c r="W68" s="153"/>
      <c r="X68" s="153"/>
      <c r="Y68" s="153"/>
      <c r="Z68" s="153"/>
      <c r="AA68" s="153"/>
      <c r="AB68" s="153"/>
      <c r="AC68" s="153"/>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53"/>
      <c r="CN68" s="153"/>
      <c r="CO68" s="153"/>
      <c r="CP68" s="153"/>
      <c r="CQ68" s="153"/>
      <c r="CR68" s="153"/>
      <c r="CS68" s="153"/>
      <c r="CT68" s="153"/>
      <c r="CU68" s="153"/>
      <c r="CV68" s="153"/>
      <c r="CW68" s="153"/>
      <c r="CX68" s="153"/>
      <c r="CY68" s="153"/>
      <c r="CZ68" s="153"/>
      <c r="DA68" s="153"/>
      <c r="DB68" s="153"/>
      <c r="DC68" s="153"/>
      <c r="DD68" s="153"/>
      <c r="DE68" s="153"/>
      <c r="DF68" s="153"/>
      <c r="DG68" s="153"/>
      <c r="DH68" s="153"/>
      <c r="DI68" s="153"/>
    </row>
    <row r="69" ht="18.75" customHeight="1">
      <c r="A69" s="107"/>
      <c r="B69" s="151" t="str">
        <f>HLOOKUP($CY$11,Def!$B$2:$AQ$16,12)</f>
        <v/>
      </c>
      <c r="K69" s="107"/>
      <c r="L69" s="153"/>
      <c r="M69" s="153"/>
      <c r="N69" s="153"/>
      <c r="O69" s="153"/>
      <c r="P69" s="153"/>
      <c r="Q69" s="153"/>
      <c r="R69" s="153"/>
      <c r="S69" s="153"/>
      <c r="T69" s="153"/>
      <c r="U69" s="153"/>
      <c r="V69" s="153"/>
      <c r="W69" s="153"/>
      <c r="X69" s="153"/>
      <c r="Y69" s="153"/>
      <c r="Z69" s="153"/>
      <c r="AA69" s="153"/>
      <c r="AB69" s="153"/>
      <c r="AC69" s="153"/>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53"/>
      <c r="CN69" s="153"/>
      <c r="CO69" s="153"/>
      <c r="CP69" s="153"/>
      <c r="CQ69" s="153"/>
      <c r="CR69" s="153"/>
      <c r="CS69" s="153"/>
      <c r="CT69" s="153"/>
      <c r="CU69" s="153"/>
      <c r="CV69" s="153"/>
      <c r="CW69" s="153"/>
      <c r="CX69" s="153"/>
      <c r="CY69" s="153"/>
      <c r="CZ69" s="153"/>
      <c r="DA69" s="153"/>
      <c r="DB69" s="153"/>
      <c r="DC69" s="153"/>
      <c r="DD69" s="153"/>
      <c r="DE69" s="153"/>
      <c r="DF69" s="153"/>
      <c r="DG69" s="153"/>
      <c r="DH69" s="153"/>
      <c r="DI69" s="153"/>
    </row>
    <row r="70" ht="18.75" customHeight="1">
      <c r="A70" s="107"/>
      <c r="B70" s="151" t="str">
        <f>HLOOKUP($CY$11,Def!$B$2:$AQ$16,13)</f>
        <v/>
      </c>
      <c r="K70" s="107"/>
      <c r="L70" s="153"/>
      <c r="M70" s="153"/>
      <c r="N70" s="153"/>
      <c r="O70" s="153"/>
      <c r="P70" s="153"/>
      <c r="Q70" s="153"/>
      <c r="R70" s="153"/>
      <c r="S70" s="153"/>
      <c r="T70" s="153"/>
      <c r="U70" s="153"/>
      <c r="V70" s="153"/>
      <c r="W70" s="153"/>
      <c r="X70" s="153"/>
      <c r="Y70" s="153"/>
      <c r="Z70" s="153"/>
      <c r="AA70" s="153"/>
      <c r="AB70" s="153"/>
      <c r="AC70" s="153"/>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53"/>
      <c r="CN70" s="153"/>
      <c r="CO70" s="153"/>
      <c r="CP70" s="153"/>
      <c r="CQ70" s="153"/>
      <c r="CR70" s="153"/>
      <c r="CS70" s="153"/>
      <c r="CT70" s="153"/>
      <c r="CU70" s="153"/>
      <c r="CV70" s="153"/>
      <c r="CW70" s="153"/>
      <c r="CX70" s="153"/>
      <c r="CY70" s="153"/>
      <c r="CZ70" s="153"/>
      <c r="DA70" s="153"/>
      <c r="DB70" s="153"/>
      <c r="DC70" s="153"/>
      <c r="DD70" s="153"/>
      <c r="DE70" s="153"/>
      <c r="DF70" s="153"/>
      <c r="DG70" s="153"/>
      <c r="DH70" s="153"/>
      <c r="DI70" s="153"/>
    </row>
    <row r="71" ht="18.75" customHeight="1">
      <c r="A71" s="107"/>
      <c r="B71" s="151" t="str">
        <f>HLOOKUP($CY$11,Def!$B$2:$AQ$16,14)</f>
        <v/>
      </c>
      <c r="K71" s="107"/>
      <c r="L71" s="154"/>
      <c r="M71" s="155"/>
      <c r="N71" s="155"/>
      <c r="O71" s="155"/>
      <c r="P71" s="155"/>
      <c r="Q71" s="155"/>
      <c r="R71" s="154"/>
      <c r="S71" s="155"/>
      <c r="T71" s="155"/>
      <c r="U71" s="155"/>
      <c r="V71" s="155"/>
      <c r="W71" s="155"/>
      <c r="X71" s="155"/>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53"/>
      <c r="CN71" s="153"/>
      <c r="CO71" s="153"/>
      <c r="CP71" s="153"/>
      <c r="CQ71" s="153"/>
      <c r="CR71" s="153"/>
      <c r="CS71" s="153"/>
      <c r="CT71" s="153"/>
      <c r="CU71" s="153"/>
      <c r="CV71" s="153"/>
      <c r="CW71" s="153"/>
      <c r="CX71" s="153"/>
      <c r="CY71" s="153"/>
      <c r="CZ71" s="153"/>
      <c r="DA71" s="153"/>
      <c r="DB71" s="153"/>
      <c r="DC71" s="153"/>
      <c r="DD71" s="153"/>
      <c r="DE71" s="153"/>
      <c r="DF71" s="153"/>
      <c r="DG71" s="153"/>
      <c r="DH71" s="153"/>
      <c r="DI71" s="153"/>
    </row>
    <row r="72" ht="18.75" customHeight="1">
      <c r="A72" s="107"/>
      <c r="B72" s="151" t="str">
        <f>HLOOKUP($CY$11,Def!$B$2:$AQ$16,15)</f>
        <v/>
      </c>
      <c r="K72" s="107"/>
      <c r="L72" s="154"/>
      <c r="M72" s="155"/>
      <c r="N72" s="155"/>
      <c r="O72" s="155"/>
      <c r="P72" s="155"/>
      <c r="Q72" s="155"/>
      <c r="R72" s="154"/>
      <c r="S72" s="155"/>
      <c r="T72" s="155"/>
      <c r="U72" s="155"/>
      <c r="V72" s="155"/>
      <c r="W72" s="155"/>
      <c r="X72" s="155"/>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53"/>
      <c r="CN72" s="153"/>
      <c r="CO72" s="153"/>
      <c r="CP72" s="153"/>
      <c r="CQ72" s="153"/>
      <c r="CR72" s="153"/>
      <c r="CS72" s="153"/>
      <c r="CT72" s="153"/>
      <c r="CU72" s="153"/>
      <c r="CV72" s="153"/>
      <c r="CW72" s="153"/>
      <c r="CX72" s="153"/>
      <c r="CY72" s="153"/>
      <c r="CZ72" s="153"/>
      <c r="DA72" s="153"/>
      <c r="DB72" s="153"/>
      <c r="DC72" s="153"/>
      <c r="DD72" s="153"/>
      <c r="DE72" s="153"/>
      <c r="DF72" s="153"/>
      <c r="DG72" s="153"/>
      <c r="DH72" s="153"/>
      <c r="DI72" s="153"/>
    </row>
    <row r="73" ht="15.75" customHeight="1">
      <c r="A73" s="107"/>
      <c r="B73" s="36"/>
      <c r="C73" s="36"/>
      <c r="D73" s="36"/>
      <c r="E73" s="36"/>
      <c r="F73" s="36"/>
      <c r="G73" s="36"/>
      <c r="H73" s="36"/>
      <c r="I73" s="36"/>
      <c r="J73" s="36"/>
      <c r="K73" s="107"/>
      <c r="L73" s="154"/>
      <c r="M73" s="155"/>
      <c r="N73" s="155"/>
      <c r="O73" s="155"/>
      <c r="P73" s="155"/>
      <c r="Q73" s="155"/>
      <c r="R73" s="154"/>
      <c r="S73" s="155"/>
      <c r="T73" s="155"/>
      <c r="U73" s="155"/>
      <c r="V73" s="155"/>
      <c r="W73" s="155"/>
      <c r="X73" s="155"/>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53"/>
      <c r="CN73" s="153"/>
      <c r="CO73" s="153"/>
      <c r="CP73" s="153"/>
      <c r="CQ73" s="153"/>
      <c r="CR73" s="153"/>
      <c r="CS73" s="153"/>
      <c r="CT73" s="153"/>
      <c r="CU73" s="153"/>
      <c r="CV73" s="153"/>
      <c r="CW73" s="153"/>
      <c r="CX73" s="153"/>
      <c r="CY73" s="153"/>
      <c r="CZ73" s="153"/>
      <c r="DA73" s="153"/>
      <c r="DB73" s="153"/>
      <c r="DC73" s="153"/>
      <c r="DD73" s="153"/>
      <c r="DE73" s="153"/>
      <c r="DF73" s="153"/>
      <c r="DG73" s="153"/>
      <c r="DH73" s="153"/>
      <c r="DI73" s="153"/>
    </row>
    <row r="74" ht="15.75" customHeight="1">
      <c r="A74" s="107"/>
      <c r="B74" s="36"/>
      <c r="C74" s="36"/>
      <c r="D74" s="36"/>
      <c r="E74" s="36"/>
      <c r="F74" s="36"/>
      <c r="G74" s="36"/>
      <c r="H74" s="36"/>
      <c r="I74" s="36"/>
      <c r="J74" s="36"/>
      <c r="K74" s="107"/>
      <c r="L74" s="154"/>
      <c r="M74" s="155"/>
      <c r="N74" s="155"/>
      <c r="O74" s="155"/>
      <c r="P74" s="155"/>
      <c r="Q74" s="155"/>
      <c r="R74" s="154"/>
      <c r="S74" s="155"/>
      <c r="T74" s="155"/>
      <c r="U74" s="155"/>
      <c r="V74" s="155"/>
      <c r="W74" s="155"/>
      <c r="X74" s="155"/>
      <c r="Y74" s="107"/>
      <c r="Z74" s="107"/>
      <c r="AA74" s="107"/>
      <c r="AB74" s="107"/>
      <c r="AC74" s="107"/>
      <c r="AD74" s="107"/>
      <c r="AE74" s="107"/>
      <c r="AF74" s="107"/>
      <c r="AG74" s="107"/>
      <c r="AH74" s="107"/>
      <c r="AI74" s="107"/>
      <c r="AJ74" s="107"/>
      <c r="AK74" s="107"/>
      <c r="AL74" s="107"/>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53"/>
      <c r="CN74" s="153"/>
      <c r="CO74" s="153"/>
      <c r="CP74" s="153"/>
      <c r="CQ74" s="153"/>
      <c r="CR74" s="153"/>
      <c r="CS74" s="153"/>
      <c r="CT74" s="153"/>
      <c r="CU74" s="153"/>
      <c r="CV74" s="153"/>
      <c r="CW74" s="153"/>
      <c r="CX74" s="153"/>
      <c r="CY74" s="153"/>
      <c r="CZ74" s="153"/>
      <c r="DA74" s="153"/>
      <c r="DB74" s="153"/>
      <c r="DC74" s="153"/>
      <c r="DD74" s="153"/>
      <c r="DE74" s="153"/>
      <c r="DF74" s="153"/>
      <c r="DG74" s="153"/>
      <c r="DH74" s="153"/>
      <c r="DI74" s="153"/>
    </row>
    <row r="75" ht="15.75" customHeight="1">
      <c r="A75" s="107"/>
      <c r="B75" s="153"/>
      <c r="C75" s="153"/>
      <c r="D75" s="153"/>
      <c r="E75" s="153"/>
      <c r="F75" s="153"/>
      <c r="G75" s="153"/>
      <c r="H75" s="153"/>
      <c r="I75" s="153"/>
      <c r="J75" s="153"/>
      <c r="K75" s="107"/>
      <c r="L75" s="154"/>
      <c r="M75" s="155"/>
      <c r="N75" s="155"/>
      <c r="O75" s="155"/>
      <c r="P75" s="155"/>
      <c r="Q75" s="155"/>
      <c r="R75" s="154"/>
      <c r="S75" s="155"/>
      <c r="T75" s="155"/>
      <c r="U75" s="155"/>
      <c r="V75" s="155"/>
      <c r="W75" s="155"/>
      <c r="X75" s="155"/>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53"/>
      <c r="CN75" s="153"/>
      <c r="CO75" s="153"/>
      <c r="CP75" s="153"/>
      <c r="CQ75" s="153"/>
      <c r="CR75" s="153"/>
      <c r="CS75" s="153"/>
      <c r="CT75" s="153"/>
      <c r="CU75" s="153"/>
      <c r="CV75" s="153"/>
      <c r="CW75" s="153"/>
      <c r="CX75" s="153"/>
      <c r="CY75" s="153"/>
      <c r="CZ75" s="153"/>
      <c r="DA75" s="153"/>
      <c r="DB75" s="153"/>
      <c r="DC75" s="153"/>
      <c r="DD75" s="153"/>
      <c r="DE75" s="153"/>
      <c r="DF75" s="153"/>
      <c r="DG75" s="153"/>
      <c r="DH75" s="153"/>
      <c r="DI75" s="153"/>
    </row>
    <row r="76" ht="21.0" customHeight="1">
      <c r="A76" s="107"/>
      <c r="B76" s="97"/>
      <c r="C76" s="162" t="s">
        <v>171</v>
      </c>
      <c r="D76" s="95"/>
      <c r="E76" s="95"/>
      <c r="F76" s="95"/>
      <c r="G76" s="95"/>
      <c r="H76" s="97"/>
      <c r="I76" s="95"/>
      <c r="J76" s="95"/>
      <c r="K76" s="107"/>
      <c r="L76" s="154"/>
      <c r="M76" s="155"/>
      <c r="N76" s="155"/>
      <c r="O76" s="155"/>
      <c r="P76" s="155"/>
      <c r="Q76" s="155"/>
      <c r="R76" s="154"/>
      <c r="S76" s="155"/>
      <c r="T76" s="155"/>
      <c r="U76" s="155"/>
      <c r="V76" s="155"/>
      <c r="W76" s="155"/>
      <c r="X76" s="155"/>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53"/>
      <c r="CN76" s="153"/>
      <c r="CO76" s="153"/>
      <c r="CP76" s="153"/>
      <c r="CQ76" s="153"/>
      <c r="CR76" s="153"/>
      <c r="CS76" s="153"/>
      <c r="CT76" s="153"/>
      <c r="CU76" s="153"/>
      <c r="CV76" s="153"/>
      <c r="CW76" s="153"/>
      <c r="CX76" s="153"/>
      <c r="CY76" s="153"/>
      <c r="CZ76" s="153"/>
      <c r="DA76" s="153"/>
      <c r="DB76" s="153"/>
      <c r="DC76" s="153"/>
      <c r="DD76" s="153"/>
      <c r="DE76" s="153"/>
      <c r="DF76" s="153"/>
      <c r="DG76" s="153"/>
      <c r="DH76" s="153"/>
      <c r="DI76" s="153"/>
    </row>
    <row r="77" ht="24.75" customHeight="1">
      <c r="A77" s="107"/>
      <c r="B77" s="163" t="str">
        <f>HLOOKUP($CY$11,Def!B20:AO22,3)</f>
        <v>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v>
      </c>
      <c r="C77" s="164"/>
      <c r="D77" s="164"/>
      <c r="E77" s="164"/>
      <c r="F77" s="164"/>
      <c r="G77" s="164"/>
      <c r="H77" s="164"/>
      <c r="I77" s="164"/>
      <c r="J77" s="164"/>
      <c r="K77" s="164"/>
      <c r="L77" s="164"/>
      <c r="M77" s="164"/>
      <c r="N77" s="164"/>
      <c r="O77" s="164"/>
      <c r="P77" s="164"/>
      <c r="Q77" s="164"/>
      <c r="R77" s="164"/>
      <c r="S77" s="164"/>
      <c r="T77" s="165"/>
      <c r="U77" s="95"/>
      <c r="V77" s="95"/>
      <c r="W77" s="95"/>
      <c r="X77" s="95"/>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53"/>
      <c r="CN77" s="153"/>
      <c r="CO77" s="153"/>
      <c r="CP77" s="153"/>
      <c r="CQ77" s="153"/>
      <c r="CR77" s="153"/>
      <c r="CS77" s="153"/>
      <c r="CT77" s="153"/>
      <c r="CU77" s="153"/>
      <c r="CV77" s="153"/>
      <c r="CW77" s="153"/>
      <c r="CX77" s="153"/>
      <c r="CY77" s="153"/>
      <c r="CZ77" s="153"/>
      <c r="DA77" s="153"/>
      <c r="DB77" s="153"/>
      <c r="DC77" s="153"/>
      <c r="DD77" s="153"/>
      <c r="DE77" s="153"/>
      <c r="DF77" s="153"/>
      <c r="DG77" s="153"/>
      <c r="DH77" s="153"/>
      <c r="DI77" s="153"/>
    </row>
    <row r="78" ht="24.75" customHeight="1">
      <c r="A78" s="107"/>
      <c r="B78" s="166"/>
      <c r="T78" s="167"/>
      <c r="U78" s="95"/>
      <c r="V78" s="95"/>
      <c r="W78" s="95"/>
      <c r="X78" s="95"/>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53"/>
      <c r="CN78" s="153"/>
      <c r="CO78" s="153"/>
      <c r="CP78" s="153"/>
      <c r="CQ78" s="153"/>
      <c r="CR78" s="153"/>
      <c r="CS78" s="153"/>
      <c r="CT78" s="153"/>
      <c r="CU78" s="153"/>
      <c r="CV78" s="153"/>
      <c r="CW78" s="153"/>
      <c r="CX78" s="153"/>
      <c r="CY78" s="153"/>
      <c r="CZ78" s="153"/>
      <c r="DA78" s="153"/>
      <c r="DB78" s="153"/>
      <c r="DC78" s="153"/>
      <c r="DD78" s="153"/>
      <c r="DE78" s="153"/>
      <c r="DF78" s="153"/>
      <c r="DG78" s="153"/>
      <c r="DH78" s="153"/>
      <c r="DI78" s="153"/>
    </row>
    <row r="79" ht="24.75" customHeight="1">
      <c r="A79" s="107"/>
      <c r="B79" s="166"/>
      <c r="T79" s="167"/>
      <c r="U79" s="95"/>
      <c r="V79" s="95"/>
      <c r="W79" s="95"/>
      <c r="X79" s="95"/>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53"/>
      <c r="CN79" s="153"/>
      <c r="CO79" s="153"/>
      <c r="CP79" s="153"/>
      <c r="CQ79" s="153"/>
      <c r="CR79" s="153"/>
      <c r="CS79" s="153"/>
      <c r="CT79" s="153"/>
      <c r="CU79" s="153"/>
      <c r="CV79" s="153"/>
      <c r="CW79" s="153"/>
      <c r="CX79" s="153"/>
      <c r="CY79" s="153"/>
      <c r="CZ79" s="153"/>
      <c r="DA79" s="153"/>
      <c r="DB79" s="153"/>
      <c r="DC79" s="153"/>
      <c r="DD79" s="153"/>
      <c r="DE79" s="153"/>
      <c r="DF79" s="153"/>
      <c r="DG79" s="153"/>
      <c r="DH79" s="153"/>
      <c r="DI79" s="153"/>
    </row>
    <row r="80" ht="24.75" customHeight="1">
      <c r="A80" s="107"/>
      <c r="B80" s="166"/>
      <c r="T80" s="167"/>
      <c r="U80" s="95"/>
      <c r="V80" s="95"/>
      <c r="W80" s="95"/>
      <c r="X80" s="95"/>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53"/>
      <c r="CN80" s="153"/>
      <c r="CO80" s="153"/>
      <c r="CP80" s="153"/>
      <c r="CQ80" s="153"/>
      <c r="CR80" s="153"/>
      <c r="CS80" s="153"/>
      <c r="CT80" s="153"/>
      <c r="CU80" s="153"/>
      <c r="CV80" s="153"/>
      <c r="CW80" s="153"/>
      <c r="CX80" s="153"/>
      <c r="CY80" s="153"/>
      <c r="CZ80" s="153"/>
      <c r="DA80" s="153"/>
      <c r="DB80" s="153"/>
      <c r="DC80" s="153"/>
      <c r="DD80" s="153"/>
      <c r="DE80" s="153"/>
      <c r="DF80" s="153"/>
      <c r="DG80" s="153"/>
      <c r="DH80" s="153"/>
      <c r="DI80" s="153"/>
    </row>
    <row r="81" ht="24.75" customHeight="1">
      <c r="A81" s="107"/>
      <c r="B81" s="166"/>
      <c r="T81" s="167"/>
      <c r="U81" s="95"/>
      <c r="V81" s="95"/>
      <c r="W81" s="95"/>
      <c r="X81" s="95"/>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53"/>
      <c r="CN81" s="153"/>
      <c r="CO81" s="153"/>
      <c r="CP81" s="153"/>
      <c r="CQ81" s="153"/>
      <c r="CR81" s="153"/>
      <c r="CS81" s="153"/>
      <c r="CT81" s="153"/>
      <c r="CU81" s="153"/>
      <c r="CV81" s="153"/>
      <c r="CW81" s="153"/>
      <c r="CX81" s="153"/>
      <c r="CY81" s="153"/>
      <c r="CZ81" s="153"/>
      <c r="DA81" s="153"/>
      <c r="DB81" s="153"/>
      <c r="DC81" s="153"/>
      <c r="DD81" s="153"/>
      <c r="DE81" s="153"/>
      <c r="DF81" s="153"/>
      <c r="DG81" s="153"/>
      <c r="DH81" s="153"/>
      <c r="DI81" s="153"/>
    </row>
    <row r="82" ht="24.75" customHeight="1">
      <c r="A82" s="107"/>
      <c r="B82" s="166"/>
      <c r="T82" s="167"/>
      <c r="U82" s="95"/>
      <c r="V82" s="95"/>
      <c r="W82" s="95"/>
      <c r="X82" s="95"/>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row>
    <row r="83" ht="24.75" customHeight="1">
      <c r="A83" s="107"/>
      <c r="B83" s="168"/>
      <c r="C83" s="169"/>
      <c r="D83" s="169"/>
      <c r="E83" s="169"/>
      <c r="F83" s="169"/>
      <c r="G83" s="169"/>
      <c r="H83" s="169"/>
      <c r="I83" s="169"/>
      <c r="J83" s="169"/>
      <c r="K83" s="169"/>
      <c r="L83" s="169"/>
      <c r="M83" s="169"/>
      <c r="N83" s="169"/>
      <c r="O83" s="169"/>
      <c r="P83" s="169"/>
      <c r="Q83" s="169"/>
      <c r="R83" s="169"/>
      <c r="S83" s="169"/>
      <c r="T83" s="170"/>
      <c r="U83" s="95"/>
      <c r="V83" s="95"/>
      <c r="W83" s="95"/>
      <c r="X83" s="95"/>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row>
    <row r="84" ht="15.75" customHeight="1">
      <c r="A84" s="107"/>
      <c r="B84" s="171"/>
      <c r="C84" s="171"/>
      <c r="D84" s="171"/>
      <c r="E84" s="171"/>
      <c r="F84" s="171"/>
      <c r="G84" s="171"/>
      <c r="H84" s="171"/>
      <c r="I84" s="171"/>
      <c r="J84" s="171"/>
      <c r="U84" s="95"/>
      <c r="V84" s="95"/>
      <c r="W84" s="95"/>
      <c r="X84" s="95"/>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53"/>
      <c r="CN84" s="153"/>
      <c r="CO84" s="153"/>
      <c r="CP84" s="153"/>
      <c r="CQ84" s="153"/>
      <c r="CR84" s="153"/>
      <c r="CS84" s="153"/>
      <c r="CT84" s="153"/>
      <c r="CU84" s="153"/>
      <c r="CV84" s="153"/>
      <c r="CW84" s="153"/>
      <c r="CX84" s="153"/>
      <c r="CY84" s="153"/>
      <c r="CZ84" s="153"/>
      <c r="DA84" s="153"/>
      <c r="DB84" s="153"/>
      <c r="DC84" s="153"/>
      <c r="DD84" s="153"/>
      <c r="DE84" s="153"/>
      <c r="DF84" s="153"/>
      <c r="DG84" s="153"/>
      <c r="DH84" s="153"/>
      <c r="DI84" s="153"/>
    </row>
    <row r="85" ht="21.0" customHeight="1">
      <c r="A85" s="107"/>
      <c r="B85" s="172"/>
      <c r="C85" s="162" t="s">
        <v>172</v>
      </c>
      <c r="D85" s="95"/>
      <c r="E85" s="95"/>
      <c r="F85" s="95"/>
      <c r="G85" s="97"/>
      <c r="H85" s="95"/>
      <c r="I85" s="95"/>
      <c r="J85" s="95"/>
      <c r="U85" s="95"/>
      <c r="V85" s="95"/>
      <c r="W85" s="95"/>
      <c r="X85" s="95"/>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53"/>
      <c r="CN85" s="153"/>
      <c r="CO85" s="153"/>
      <c r="CP85" s="153"/>
      <c r="CQ85" s="153"/>
      <c r="CR85" s="153"/>
      <c r="CS85" s="153"/>
      <c r="CT85" s="153"/>
      <c r="CU85" s="153"/>
      <c r="CV85" s="153"/>
      <c r="CW85" s="153"/>
      <c r="CX85" s="153"/>
      <c r="CY85" s="153"/>
      <c r="CZ85" s="153"/>
      <c r="DA85" s="153"/>
      <c r="DB85" s="153"/>
      <c r="DC85" s="153"/>
      <c r="DD85" s="153"/>
      <c r="DE85" s="153"/>
      <c r="DF85" s="153"/>
      <c r="DG85" s="153"/>
      <c r="DH85" s="153"/>
      <c r="DI85" s="153"/>
    </row>
    <row r="86" ht="21.75" customHeight="1">
      <c r="A86" s="107"/>
      <c r="B86" s="163" t="str">
        <f>HLOOKUP($CY$11,Def!B2:AQ18,17)</f>
        <v>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v>
      </c>
      <c r="C86" s="164"/>
      <c r="D86" s="164"/>
      <c r="E86" s="164"/>
      <c r="F86" s="164"/>
      <c r="G86" s="164"/>
      <c r="H86" s="164"/>
      <c r="I86" s="164"/>
      <c r="J86" s="164"/>
      <c r="K86" s="164"/>
      <c r="L86" s="164"/>
      <c r="M86" s="164"/>
      <c r="N86" s="164"/>
      <c r="O86" s="164"/>
      <c r="P86" s="164"/>
      <c r="Q86" s="164"/>
      <c r="R86" s="164"/>
      <c r="S86" s="164"/>
      <c r="T86" s="165"/>
      <c r="U86" s="95"/>
      <c r="V86" s="95"/>
      <c r="W86" s="95"/>
      <c r="X86" s="95"/>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53"/>
      <c r="CN86" s="153"/>
      <c r="CO86" s="153"/>
      <c r="CP86" s="153"/>
      <c r="CQ86" s="153"/>
      <c r="CR86" s="153"/>
      <c r="CS86" s="153"/>
      <c r="CT86" s="153"/>
      <c r="CU86" s="153"/>
      <c r="CV86" s="153"/>
      <c r="CW86" s="153"/>
      <c r="CX86" s="153"/>
      <c r="CY86" s="153"/>
      <c r="CZ86" s="153"/>
      <c r="DA86" s="153"/>
      <c r="DB86" s="153"/>
      <c r="DC86" s="153"/>
      <c r="DD86" s="153"/>
      <c r="DE86" s="153"/>
      <c r="DF86" s="153"/>
      <c r="DG86" s="153"/>
      <c r="DH86" s="153"/>
      <c r="DI86" s="153"/>
    </row>
    <row r="87" ht="21.75" customHeight="1">
      <c r="B87" s="166"/>
      <c r="T87" s="167"/>
      <c r="U87" s="95"/>
      <c r="V87" s="95"/>
      <c r="W87" s="95"/>
      <c r="X87" s="95"/>
    </row>
    <row r="88" ht="21.75" customHeight="1">
      <c r="B88" s="166"/>
      <c r="T88" s="167"/>
      <c r="U88" s="95"/>
      <c r="V88" s="95"/>
      <c r="W88" s="95"/>
      <c r="X88" s="95"/>
    </row>
    <row r="89" ht="21.75" customHeight="1">
      <c r="B89" s="168"/>
      <c r="C89" s="169"/>
      <c r="D89" s="169"/>
      <c r="E89" s="169"/>
      <c r="F89" s="169"/>
      <c r="G89" s="169"/>
      <c r="H89" s="169"/>
      <c r="I89" s="169"/>
      <c r="J89" s="169"/>
      <c r="K89" s="169"/>
      <c r="L89" s="169"/>
      <c r="M89" s="169"/>
      <c r="N89" s="169"/>
      <c r="O89" s="169"/>
      <c r="P89" s="169"/>
      <c r="Q89" s="169"/>
      <c r="R89" s="169"/>
      <c r="S89" s="169"/>
      <c r="T89" s="170"/>
      <c r="U89" s="95"/>
      <c r="V89" s="95"/>
      <c r="W89" s="95"/>
      <c r="X89" s="95"/>
    </row>
    <row r="90" ht="15.75" customHeight="1">
      <c r="B90" s="171"/>
      <c r="C90" s="171"/>
      <c r="D90" s="171"/>
      <c r="E90" s="171"/>
      <c r="F90" s="171"/>
      <c r="G90" s="171"/>
      <c r="H90" s="171"/>
      <c r="I90" s="171"/>
      <c r="J90" s="171"/>
      <c r="L90" s="97"/>
      <c r="M90" s="95"/>
      <c r="N90" s="95"/>
      <c r="O90" s="95"/>
      <c r="P90" s="95"/>
      <c r="Q90" s="95"/>
      <c r="R90" s="97"/>
      <c r="S90" s="95"/>
      <c r="T90" s="95"/>
      <c r="U90" s="95"/>
      <c r="V90" s="95"/>
      <c r="W90" s="95"/>
      <c r="X90" s="95"/>
    </row>
    <row r="91" ht="15.75" customHeight="1">
      <c r="B91" s="171"/>
      <c r="C91" s="171"/>
      <c r="D91" s="171"/>
      <c r="E91" s="171"/>
      <c r="F91" s="171"/>
      <c r="G91" s="171"/>
      <c r="H91" s="171"/>
      <c r="I91" s="171"/>
      <c r="J91" s="171"/>
      <c r="L91" s="97"/>
      <c r="M91" s="95"/>
      <c r="N91" s="95"/>
      <c r="O91" s="95"/>
      <c r="P91" s="95"/>
      <c r="Q91" s="95"/>
      <c r="R91" s="97"/>
      <c r="S91" s="95"/>
      <c r="T91" s="95"/>
      <c r="U91" s="95"/>
      <c r="V91" s="95"/>
      <c r="W91" s="95"/>
      <c r="X91" s="95"/>
    </row>
    <row r="92" ht="15.75" customHeight="1">
      <c r="B92" s="171"/>
      <c r="C92" s="171"/>
      <c r="D92" s="171"/>
      <c r="E92" s="171"/>
      <c r="F92" s="171"/>
      <c r="G92" s="171"/>
      <c r="H92" s="171"/>
      <c r="I92" s="171"/>
      <c r="J92" s="171"/>
      <c r="K92" s="95"/>
      <c r="L92" s="95"/>
      <c r="M92" s="95"/>
      <c r="N92" s="95"/>
      <c r="T92" s="95"/>
      <c r="U92" s="95"/>
      <c r="V92" s="95"/>
      <c r="W92" s="95"/>
      <c r="X92" s="95"/>
    </row>
    <row r="93" ht="15.75" customHeight="1">
      <c r="T93" s="95"/>
      <c r="U93" s="95"/>
      <c r="V93" s="95"/>
      <c r="W93" s="95"/>
      <c r="X93" s="95"/>
    </row>
    <row r="94" ht="15.75" customHeight="1">
      <c r="T94" s="95"/>
      <c r="U94" s="95"/>
      <c r="V94" s="95"/>
      <c r="W94" s="95"/>
      <c r="X94" s="95"/>
    </row>
    <row r="95" ht="15.75" customHeight="1">
      <c r="T95" s="95"/>
      <c r="U95" s="95"/>
      <c r="V95" s="95"/>
      <c r="W95" s="95"/>
      <c r="X95" s="95"/>
    </row>
    <row r="96" ht="15.75" customHeight="1">
      <c r="T96" s="95"/>
      <c r="U96" s="95"/>
      <c r="V96" s="95"/>
      <c r="W96" s="95"/>
      <c r="X96" s="95"/>
    </row>
    <row r="97" ht="15.75" customHeight="1">
      <c r="T97" s="95"/>
      <c r="U97" s="95"/>
      <c r="V97" s="95"/>
      <c r="W97" s="95"/>
      <c r="X97" s="95"/>
    </row>
    <row r="98" ht="15.75" customHeight="1">
      <c r="T98" s="95"/>
      <c r="U98" s="95"/>
      <c r="V98" s="95"/>
      <c r="W98" s="95"/>
      <c r="X98" s="95"/>
    </row>
    <row r="99" ht="15.75" customHeight="1">
      <c r="T99" s="95"/>
      <c r="U99" s="95"/>
      <c r="V99" s="95"/>
      <c r="W99" s="95"/>
      <c r="X99" s="95"/>
    </row>
    <row r="100" ht="15.75" customHeight="1">
      <c r="T100" s="95"/>
      <c r="U100" s="95"/>
      <c r="V100" s="95"/>
      <c r="W100" s="95"/>
      <c r="X100" s="95"/>
    </row>
    <row r="101" ht="15.75" customHeight="1">
      <c r="T101" s="95"/>
      <c r="U101" s="95"/>
      <c r="V101" s="95"/>
      <c r="W101" s="95"/>
      <c r="X101" s="95"/>
    </row>
    <row r="102" ht="15.75" customHeight="1">
      <c r="T102" s="95"/>
      <c r="U102" s="95"/>
      <c r="V102" s="95"/>
      <c r="W102" s="95"/>
      <c r="X102" s="95"/>
    </row>
    <row r="103" ht="15.75" customHeight="1">
      <c r="T103" s="95"/>
      <c r="U103" s="95"/>
      <c r="V103" s="95"/>
      <c r="W103" s="95"/>
      <c r="X103" s="95"/>
    </row>
    <row r="104" ht="15.75" customHeight="1">
      <c r="T104" s="95"/>
      <c r="U104" s="95"/>
      <c r="V104" s="95"/>
      <c r="W104" s="95"/>
      <c r="X104" s="95"/>
    </row>
    <row r="105" ht="15.75" customHeight="1">
      <c r="L105" s="97"/>
      <c r="M105" s="95"/>
      <c r="N105" s="95"/>
      <c r="O105" s="95"/>
      <c r="P105" s="95"/>
      <c r="Q105" s="95"/>
      <c r="R105" s="97"/>
      <c r="S105" s="95"/>
      <c r="T105" s="95"/>
      <c r="U105" s="95"/>
      <c r="V105" s="95"/>
      <c r="W105" s="95"/>
      <c r="X105" s="95"/>
    </row>
    <row r="106" ht="15.75" customHeight="1">
      <c r="L106" s="97"/>
      <c r="M106" s="95"/>
      <c r="N106" s="95"/>
      <c r="O106" s="95"/>
      <c r="P106" s="95"/>
      <c r="Q106" s="95"/>
      <c r="R106" s="97"/>
      <c r="S106" s="95"/>
      <c r="T106" s="95"/>
      <c r="U106" s="95"/>
      <c r="V106" s="95"/>
      <c r="W106" s="95"/>
      <c r="X106" s="95"/>
    </row>
    <row r="107" ht="15.75" customHeight="1">
      <c r="K107" s="95"/>
      <c r="L107" s="95"/>
      <c r="M107" s="95"/>
      <c r="S107" s="107"/>
      <c r="T107" s="95"/>
      <c r="U107" s="95"/>
      <c r="V107" s="95"/>
      <c r="W107" s="95"/>
      <c r="X107" s="95"/>
    </row>
    <row r="108" ht="15.75" customHeight="1">
      <c r="K108" s="173"/>
      <c r="L108" s="171"/>
      <c r="M108" s="171"/>
      <c r="N108" s="171"/>
      <c r="O108" s="171"/>
      <c r="P108" s="171"/>
      <c r="Q108" s="171"/>
      <c r="R108" s="171"/>
      <c r="S108" s="171"/>
      <c r="T108" s="95"/>
      <c r="U108" s="95"/>
      <c r="V108" s="95"/>
      <c r="W108" s="95"/>
      <c r="X108" s="95"/>
    </row>
    <row r="109" ht="15.75" customHeight="1">
      <c r="K109" s="171"/>
      <c r="L109" s="171"/>
      <c r="M109" s="171"/>
      <c r="N109" s="171"/>
      <c r="O109" s="171"/>
      <c r="P109" s="171"/>
      <c r="Q109" s="171"/>
      <c r="R109" s="171"/>
      <c r="S109" s="171"/>
      <c r="T109" s="95"/>
      <c r="U109" s="95"/>
      <c r="V109" s="95"/>
      <c r="W109" s="95"/>
      <c r="X109" s="95"/>
    </row>
    <row r="110" ht="15.75" customHeight="1">
      <c r="K110" s="171"/>
      <c r="L110" s="171"/>
      <c r="M110" s="171"/>
      <c r="N110" s="171"/>
      <c r="O110" s="171"/>
      <c r="P110" s="171"/>
      <c r="Q110" s="171"/>
      <c r="R110" s="171"/>
      <c r="S110" s="171"/>
      <c r="T110" s="95"/>
      <c r="U110" s="95"/>
      <c r="V110" s="95"/>
      <c r="W110" s="95"/>
      <c r="X110" s="95"/>
    </row>
    <row r="111" ht="15.75" customHeight="1">
      <c r="K111" s="171"/>
      <c r="L111" s="171"/>
      <c r="M111" s="171"/>
      <c r="N111" s="171"/>
      <c r="O111" s="171"/>
      <c r="P111" s="171"/>
      <c r="Q111" s="171"/>
      <c r="R111" s="171"/>
      <c r="S111" s="171"/>
      <c r="T111" s="95"/>
      <c r="U111" s="95"/>
      <c r="V111" s="95"/>
      <c r="W111" s="95"/>
      <c r="X111" s="95"/>
    </row>
    <row r="112" ht="15.75" customHeight="1">
      <c r="K112" s="171"/>
      <c r="L112" s="171"/>
      <c r="M112" s="171"/>
      <c r="N112" s="171"/>
      <c r="O112" s="171"/>
      <c r="P112" s="171"/>
      <c r="Q112" s="171"/>
      <c r="R112" s="171"/>
      <c r="S112" s="171"/>
      <c r="T112" s="95"/>
      <c r="U112" s="95"/>
      <c r="V112" s="95"/>
      <c r="W112" s="95"/>
      <c r="X112" s="95"/>
    </row>
    <row r="113" ht="15.75" customHeight="1">
      <c r="K113" s="171"/>
      <c r="L113" s="171"/>
      <c r="M113" s="171"/>
      <c r="N113" s="171"/>
      <c r="O113" s="171"/>
      <c r="P113" s="171"/>
      <c r="Q113" s="171"/>
      <c r="R113" s="171"/>
      <c r="S113" s="171"/>
      <c r="T113" s="95"/>
      <c r="U113" s="95"/>
      <c r="V113" s="95"/>
      <c r="W113" s="95"/>
      <c r="X113" s="95"/>
    </row>
    <row r="114" ht="15.75" customHeight="1">
      <c r="K114" s="171"/>
      <c r="L114" s="171"/>
      <c r="M114" s="171"/>
      <c r="N114" s="171"/>
      <c r="O114" s="171"/>
      <c r="P114" s="171"/>
      <c r="Q114" s="171"/>
      <c r="R114" s="171"/>
      <c r="S114" s="171"/>
      <c r="T114" s="95"/>
      <c r="U114" s="95"/>
      <c r="V114" s="95"/>
      <c r="W114" s="95"/>
      <c r="X114" s="95"/>
    </row>
    <row r="115" ht="15.75" customHeight="1">
      <c r="B115" s="171"/>
      <c r="C115" s="171"/>
      <c r="D115" s="171"/>
      <c r="E115" s="171"/>
      <c r="F115" s="171"/>
      <c r="G115" s="171"/>
      <c r="H115" s="171"/>
      <c r="I115" s="171"/>
      <c r="J115" s="171"/>
      <c r="K115" s="171"/>
      <c r="L115" s="171"/>
      <c r="M115" s="171"/>
      <c r="N115" s="171"/>
      <c r="O115" s="171"/>
      <c r="P115" s="171"/>
      <c r="Q115" s="171"/>
      <c r="R115" s="171"/>
      <c r="S115" s="171"/>
      <c r="T115" s="95"/>
      <c r="U115" s="95"/>
      <c r="V115" s="95"/>
      <c r="W115" s="95"/>
      <c r="X115" s="95"/>
    </row>
    <row r="116" ht="15.75" customHeight="1">
      <c r="B116" s="171"/>
      <c r="C116" s="171"/>
      <c r="D116" s="171"/>
      <c r="E116" s="171"/>
      <c r="F116" s="171"/>
      <c r="G116" s="171"/>
      <c r="H116" s="171"/>
      <c r="I116" s="171"/>
      <c r="J116" s="171"/>
      <c r="K116" s="171"/>
      <c r="L116" s="171"/>
      <c r="M116" s="171"/>
      <c r="N116" s="171"/>
      <c r="O116" s="171"/>
      <c r="P116" s="171"/>
      <c r="Q116" s="171"/>
      <c r="R116" s="171"/>
      <c r="S116" s="171"/>
      <c r="T116" s="95"/>
      <c r="U116" s="95"/>
      <c r="V116" s="95"/>
      <c r="W116" s="95"/>
      <c r="X116" s="95"/>
    </row>
    <row r="117" ht="15.75" customHeight="1">
      <c r="B117" s="171"/>
      <c r="C117" s="171"/>
      <c r="D117" s="171"/>
      <c r="E117" s="171"/>
      <c r="F117" s="171"/>
      <c r="G117" s="171"/>
      <c r="H117" s="171"/>
      <c r="I117" s="171"/>
      <c r="J117" s="171"/>
      <c r="K117" s="171"/>
      <c r="L117" s="171"/>
      <c r="M117" s="171"/>
      <c r="N117" s="171"/>
      <c r="O117" s="171"/>
      <c r="P117" s="171"/>
      <c r="Q117" s="171"/>
      <c r="R117" s="171"/>
      <c r="S117" s="171"/>
      <c r="T117" s="95"/>
      <c r="U117" s="95"/>
      <c r="V117" s="95"/>
      <c r="W117" s="95"/>
      <c r="X117" s="95"/>
    </row>
    <row r="118" ht="15.75" customHeight="1">
      <c r="B118" s="171"/>
      <c r="C118" s="171"/>
      <c r="D118" s="171"/>
      <c r="E118" s="171"/>
      <c r="F118" s="171"/>
      <c r="G118" s="171"/>
      <c r="H118" s="171"/>
      <c r="I118" s="171"/>
      <c r="J118" s="171"/>
      <c r="K118" s="171"/>
      <c r="L118" s="171"/>
      <c r="M118" s="171"/>
      <c r="N118" s="171"/>
      <c r="O118" s="171"/>
      <c r="P118" s="171"/>
      <c r="Q118" s="171"/>
      <c r="R118" s="171"/>
      <c r="S118" s="171"/>
      <c r="T118" s="95"/>
      <c r="U118" s="95"/>
      <c r="V118" s="95"/>
      <c r="W118" s="95"/>
      <c r="X118" s="95"/>
    </row>
    <row r="119" ht="15.75" customHeight="1">
      <c r="L119" s="97"/>
      <c r="M119" s="95"/>
      <c r="N119" s="95"/>
      <c r="O119" s="95"/>
      <c r="P119" s="95"/>
      <c r="Q119" s="95"/>
      <c r="R119" s="97"/>
      <c r="S119" s="95"/>
      <c r="T119" s="95"/>
      <c r="U119" s="95"/>
      <c r="V119" s="95"/>
      <c r="W119" s="95"/>
      <c r="X119" s="95"/>
    </row>
    <row r="120" ht="15.75" customHeight="1">
      <c r="L120" s="97"/>
      <c r="M120" s="95"/>
      <c r="N120" s="95"/>
      <c r="O120" s="95"/>
      <c r="P120" s="95"/>
      <c r="Q120" s="95"/>
      <c r="R120" s="97"/>
      <c r="S120" s="95"/>
      <c r="T120" s="95"/>
      <c r="U120" s="95"/>
      <c r="V120" s="95"/>
      <c r="W120" s="95"/>
      <c r="X120" s="95"/>
    </row>
    <row r="121" ht="15.75" customHeight="1">
      <c r="L121" s="97"/>
      <c r="M121" s="95"/>
      <c r="N121" s="95"/>
      <c r="O121" s="95"/>
      <c r="P121" s="95"/>
      <c r="Q121" s="95"/>
      <c r="R121" s="97"/>
      <c r="S121" s="95"/>
      <c r="T121" s="95"/>
      <c r="U121" s="95"/>
      <c r="V121" s="95"/>
      <c r="W121" s="95"/>
      <c r="X121" s="95"/>
    </row>
    <row r="122" ht="15.75" customHeight="1">
      <c r="L122" s="97"/>
      <c r="M122" s="95"/>
      <c r="N122" s="95"/>
      <c r="O122" s="95"/>
      <c r="P122" s="95"/>
      <c r="Q122" s="95"/>
      <c r="R122" s="97"/>
      <c r="S122" s="95"/>
      <c r="T122" s="95"/>
      <c r="U122" s="95"/>
      <c r="V122" s="95"/>
      <c r="W122" s="95"/>
      <c r="X122" s="95"/>
    </row>
    <row r="123" ht="15.75" customHeight="1">
      <c r="L123" s="97"/>
      <c r="M123" s="95"/>
      <c r="N123" s="95"/>
      <c r="O123" s="95"/>
      <c r="P123" s="95"/>
      <c r="Q123" s="95"/>
      <c r="R123" s="97"/>
      <c r="S123" s="95"/>
      <c r="T123" s="95"/>
      <c r="U123" s="95"/>
      <c r="V123" s="95"/>
      <c r="W123" s="95"/>
      <c r="X123" s="95"/>
    </row>
    <row r="124" ht="15.75" customHeight="1">
      <c r="L124" s="97"/>
      <c r="M124" s="95"/>
      <c r="N124" s="95"/>
      <c r="O124" s="95"/>
      <c r="P124" s="95"/>
      <c r="Q124" s="95"/>
      <c r="R124" s="97"/>
      <c r="S124" s="95"/>
      <c r="T124" s="95"/>
      <c r="U124" s="95"/>
      <c r="V124" s="95"/>
      <c r="W124" s="95"/>
      <c r="X124" s="95"/>
    </row>
    <row r="125" ht="15.75" customHeight="1">
      <c r="L125" s="97"/>
      <c r="M125" s="95"/>
      <c r="N125" s="95"/>
      <c r="O125" s="95"/>
      <c r="P125" s="95"/>
      <c r="Q125" s="95"/>
      <c r="R125" s="97"/>
      <c r="S125" s="95"/>
      <c r="T125" s="95"/>
      <c r="U125" s="95"/>
      <c r="V125" s="95"/>
      <c r="W125" s="95"/>
      <c r="X125" s="95"/>
    </row>
    <row r="126" ht="15.75" customHeight="1">
      <c r="L126" s="97"/>
      <c r="M126" s="95"/>
      <c r="N126" s="95"/>
      <c r="O126" s="95"/>
      <c r="P126" s="95"/>
      <c r="Q126" s="95"/>
      <c r="R126" s="97"/>
      <c r="S126" s="95"/>
      <c r="T126" s="95"/>
      <c r="U126" s="95"/>
      <c r="V126" s="95"/>
      <c r="W126" s="95"/>
      <c r="X126" s="95"/>
    </row>
    <row r="127" ht="15.75" customHeight="1">
      <c r="L127" s="97"/>
      <c r="M127" s="95"/>
      <c r="N127" s="95"/>
      <c r="O127" s="95"/>
      <c r="P127" s="95"/>
      <c r="Q127" s="95"/>
      <c r="R127" s="97"/>
      <c r="S127" s="95"/>
      <c r="T127" s="95"/>
      <c r="U127" s="95"/>
      <c r="V127" s="95"/>
      <c r="W127" s="95"/>
      <c r="X127" s="95"/>
    </row>
    <row r="128" ht="15.75" customHeight="1">
      <c r="L128" s="97"/>
      <c r="M128" s="95"/>
      <c r="N128" s="95"/>
      <c r="O128" s="95"/>
      <c r="P128" s="95"/>
      <c r="Q128" s="95"/>
      <c r="R128" s="97"/>
      <c r="S128" s="95"/>
      <c r="T128" s="95"/>
      <c r="U128" s="95"/>
      <c r="V128" s="95"/>
      <c r="W128" s="95"/>
      <c r="X128" s="95"/>
    </row>
    <row r="129" ht="15.75" customHeight="1">
      <c r="L129" s="97"/>
      <c r="M129" s="95"/>
      <c r="N129" s="95"/>
      <c r="O129" s="95"/>
      <c r="P129" s="95"/>
      <c r="Q129" s="95"/>
      <c r="R129" s="97"/>
      <c r="S129" s="95"/>
      <c r="T129" s="95"/>
      <c r="U129" s="95"/>
      <c r="V129" s="95"/>
      <c r="W129" s="95"/>
      <c r="X129" s="95"/>
    </row>
    <row r="130" ht="15.75" customHeight="1">
      <c r="L130" s="97"/>
      <c r="M130" s="95"/>
      <c r="N130" s="95"/>
      <c r="O130" s="95"/>
      <c r="P130" s="95"/>
      <c r="Q130" s="95"/>
      <c r="R130" s="97"/>
      <c r="S130" s="95"/>
      <c r="T130" s="95"/>
      <c r="U130" s="95"/>
      <c r="V130" s="95"/>
      <c r="W130" s="95"/>
      <c r="X130" s="95"/>
    </row>
    <row r="131" ht="15.75" customHeight="1">
      <c r="L131" s="97"/>
      <c r="M131" s="95"/>
      <c r="N131" s="95"/>
      <c r="O131" s="95"/>
      <c r="P131" s="95"/>
      <c r="Q131" s="95"/>
      <c r="R131" s="97"/>
      <c r="S131" s="95"/>
      <c r="T131" s="95"/>
      <c r="U131" s="95"/>
      <c r="V131" s="95"/>
      <c r="W131" s="95"/>
      <c r="X131" s="95"/>
    </row>
    <row r="132" ht="15.75" customHeight="1">
      <c r="L132" s="97"/>
      <c r="M132" s="95"/>
      <c r="N132" s="95"/>
      <c r="O132" s="95"/>
      <c r="P132" s="95"/>
      <c r="Q132" s="95"/>
      <c r="R132" s="97"/>
      <c r="S132" s="95"/>
      <c r="T132" s="95"/>
      <c r="U132" s="95"/>
      <c r="V132" s="95"/>
      <c r="W132" s="95"/>
      <c r="X132" s="95"/>
    </row>
    <row r="133" ht="15.75" customHeight="1">
      <c r="L133" s="97"/>
      <c r="M133" s="95"/>
      <c r="N133" s="95"/>
      <c r="O133" s="95"/>
      <c r="P133" s="95"/>
      <c r="Q133" s="95"/>
      <c r="R133" s="97"/>
      <c r="S133" s="95"/>
      <c r="T133" s="95"/>
      <c r="U133" s="95"/>
      <c r="V133" s="95"/>
      <c r="W133" s="95"/>
      <c r="X133" s="95"/>
    </row>
    <row r="134" ht="15.75" customHeight="1">
      <c r="L134" s="97"/>
      <c r="M134" s="95"/>
      <c r="N134" s="95"/>
      <c r="O134" s="95"/>
      <c r="P134" s="95"/>
      <c r="Q134" s="95"/>
      <c r="R134" s="97"/>
      <c r="S134" s="95"/>
      <c r="T134" s="95"/>
      <c r="U134" s="95"/>
      <c r="V134" s="95"/>
      <c r="W134" s="95"/>
      <c r="X134" s="95"/>
    </row>
    <row r="135" ht="15.75" customHeight="1">
      <c r="L135" s="97"/>
      <c r="M135" s="95"/>
      <c r="N135" s="95"/>
      <c r="O135" s="95"/>
      <c r="P135" s="95"/>
      <c r="Q135" s="95"/>
      <c r="R135" s="97"/>
      <c r="S135" s="95"/>
      <c r="T135" s="95"/>
      <c r="U135" s="95"/>
      <c r="V135" s="95"/>
      <c r="W135" s="95"/>
      <c r="X135" s="95"/>
    </row>
    <row r="136" ht="15.75" customHeight="1">
      <c r="L136" s="97"/>
      <c r="M136" s="95"/>
      <c r="N136" s="95"/>
      <c r="O136" s="95"/>
      <c r="P136" s="95"/>
      <c r="Q136" s="95"/>
      <c r="R136" s="97"/>
      <c r="S136" s="95"/>
      <c r="T136" s="95"/>
      <c r="U136" s="95"/>
      <c r="V136" s="95"/>
      <c r="W136" s="95"/>
      <c r="X136" s="95"/>
    </row>
    <row r="137" ht="15.75" customHeight="1">
      <c r="L137" s="97"/>
      <c r="M137" s="95"/>
      <c r="N137" s="95"/>
      <c r="O137" s="95"/>
      <c r="P137" s="95"/>
      <c r="Q137" s="95"/>
      <c r="R137" s="97"/>
      <c r="S137" s="95"/>
      <c r="T137" s="95"/>
      <c r="U137" s="95"/>
      <c r="V137" s="95"/>
      <c r="W137" s="95"/>
      <c r="X137" s="95"/>
    </row>
    <row r="138" ht="15.75" customHeight="1">
      <c r="L138" s="97"/>
      <c r="M138" s="95"/>
      <c r="N138" s="95"/>
      <c r="O138" s="95"/>
      <c r="P138" s="95"/>
      <c r="Q138" s="95"/>
      <c r="R138" s="97"/>
      <c r="S138" s="95"/>
      <c r="T138" s="95"/>
      <c r="U138" s="95"/>
      <c r="V138" s="95"/>
      <c r="W138" s="95"/>
      <c r="X138" s="95"/>
    </row>
    <row r="139" ht="15.75" customHeight="1">
      <c r="L139" s="97"/>
      <c r="M139" s="95"/>
      <c r="N139" s="95"/>
      <c r="O139" s="95"/>
      <c r="P139" s="95"/>
      <c r="Q139" s="95"/>
      <c r="R139" s="97"/>
      <c r="S139" s="95"/>
      <c r="T139" s="95"/>
      <c r="U139" s="95"/>
      <c r="V139" s="95"/>
      <c r="W139" s="95"/>
      <c r="X139" s="95"/>
    </row>
    <row r="140" ht="15.75" customHeight="1">
      <c r="L140" s="97"/>
      <c r="M140" s="95"/>
      <c r="N140" s="95"/>
      <c r="O140" s="95"/>
      <c r="P140" s="95"/>
      <c r="Q140" s="95"/>
      <c r="R140" s="97"/>
      <c r="S140" s="95"/>
      <c r="T140" s="95"/>
      <c r="U140" s="95"/>
      <c r="V140" s="95"/>
      <c r="W140" s="95"/>
      <c r="X140" s="95"/>
    </row>
    <row r="141" ht="15.75" customHeight="1">
      <c r="L141" s="97"/>
      <c r="M141" s="95"/>
      <c r="N141" s="95"/>
      <c r="O141" s="95"/>
      <c r="P141" s="95"/>
      <c r="Q141" s="95"/>
      <c r="R141" s="97"/>
      <c r="S141" s="95"/>
      <c r="T141" s="95"/>
      <c r="U141" s="95"/>
      <c r="V141" s="95"/>
      <c r="W141" s="95"/>
      <c r="X141" s="95"/>
    </row>
    <row r="142" ht="15.75" customHeight="1">
      <c r="L142" s="97"/>
      <c r="M142" s="95"/>
      <c r="N142" s="95"/>
      <c r="O142" s="95"/>
      <c r="P142" s="95"/>
      <c r="Q142" s="95"/>
      <c r="R142" s="97"/>
      <c r="S142" s="95"/>
      <c r="T142" s="95"/>
      <c r="U142" s="95"/>
      <c r="V142" s="95"/>
      <c r="W142" s="95"/>
      <c r="X142" s="95"/>
    </row>
    <row r="143" ht="15.75" customHeight="1">
      <c r="L143" s="97"/>
      <c r="M143" s="95"/>
      <c r="N143" s="95"/>
      <c r="O143" s="95"/>
      <c r="P143" s="95"/>
      <c r="Q143" s="95"/>
      <c r="R143" s="97"/>
      <c r="S143" s="95"/>
      <c r="T143" s="95"/>
      <c r="U143" s="95"/>
      <c r="V143" s="95"/>
      <c r="W143" s="95"/>
      <c r="X143" s="95"/>
    </row>
    <row r="144" ht="15.75" customHeight="1">
      <c r="L144" s="97"/>
      <c r="M144" s="95"/>
      <c r="N144" s="95"/>
      <c r="O144" s="95"/>
      <c r="P144" s="95"/>
      <c r="Q144" s="95"/>
      <c r="R144" s="97"/>
      <c r="S144" s="95"/>
      <c r="T144" s="95"/>
      <c r="U144" s="95"/>
      <c r="V144" s="95"/>
      <c r="W144" s="95"/>
      <c r="X144" s="95"/>
    </row>
    <row r="145" ht="15.75" customHeight="1">
      <c r="L145" s="97"/>
      <c r="M145" s="95"/>
      <c r="N145" s="95"/>
      <c r="O145" s="95"/>
      <c r="P145" s="95"/>
      <c r="Q145" s="95"/>
      <c r="R145" s="97"/>
      <c r="S145" s="95"/>
      <c r="T145" s="95"/>
      <c r="U145" s="95"/>
      <c r="V145" s="95"/>
      <c r="W145" s="95"/>
      <c r="X145" s="95"/>
    </row>
    <row r="146" ht="15.75" customHeight="1">
      <c r="L146" s="97"/>
      <c r="M146" s="95"/>
      <c r="N146" s="95"/>
      <c r="O146" s="95"/>
      <c r="P146" s="95"/>
      <c r="Q146" s="95"/>
      <c r="R146" s="97"/>
      <c r="S146" s="95"/>
      <c r="T146" s="95"/>
      <c r="U146" s="95"/>
      <c r="V146" s="95"/>
      <c r="W146" s="95"/>
      <c r="X146" s="95"/>
    </row>
    <row r="147" ht="15.75" customHeight="1">
      <c r="L147" s="97"/>
      <c r="M147" s="95"/>
      <c r="N147" s="95"/>
      <c r="O147" s="95"/>
      <c r="P147" s="95"/>
      <c r="Q147" s="95"/>
      <c r="R147" s="97"/>
      <c r="S147" s="95"/>
      <c r="T147" s="95"/>
      <c r="U147" s="95"/>
      <c r="V147" s="95"/>
      <c r="W147" s="95"/>
      <c r="X147" s="95"/>
    </row>
    <row r="148" ht="15.75" customHeight="1">
      <c r="L148" s="97"/>
      <c r="M148" s="95"/>
      <c r="N148" s="95"/>
      <c r="O148" s="95"/>
      <c r="P148" s="95"/>
      <c r="Q148" s="95"/>
      <c r="R148" s="97"/>
      <c r="S148" s="95"/>
      <c r="T148" s="95"/>
      <c r="U148" s="95"/>
      <c r="V148" s="95"/>
      <c r="W148" s="95"/>
      <c r="X148" s="95"/>
    </row>
    <row r="149" ht="15.75" customHeight="1">
      <c r="L149" s="97"/>
      <c r="M149" s="95"/>
      <c r="N149" s="95"/>
      <c r="O149" s="95"/>
      <c r="P149" s="95"/>
      <c r="Q149" s="95"/>
      <c r="R149" s="97"/>
      <c r="S149" s="95"/>
      <c r="T149" s="95"/>
      <c r="U149" s="95"/>
      <c r="V149" s="95"/>
      <c r="W149" s="95"/>
      <c r="X149" s="95"/>
    </row>
    <row r="150" ht="15.75" customHeight="1">
      <c r="L150" s="97"/>
      <c r="M150" s="95"/>
      <c r="N150" s="95"/>
      <c r="O150" s="95"/>
      <c r="P150" s="95"/>
      <c r="Q150" s="95"/>
      <c r="R150" s="97"/>
      <c r="S150" s="95"/>
      <c r="T150" s="95"/>
      <c r="U150" s="95"/>
      <c r="V150" s="95"/>
      <c r="W150" s="95"/>
      <c r="X150" s="95"/>
    </row>
    <row r="151" ht="15.75" customHeight="1">
      <c r="L151" s="97"/>
      <c r="M151" s="95"/>
      <c r="N151" s="95"/>
      <c r="O151" s="95"/>
      <c r="P151" s="95"/>
      <c r="Q151" s="95"/>
      <c r="R151" s="97"/>
      <c r="S151" s="95"/>
      <c r="T151" s="95"/>
      <c r="U151" s="95"/>
      <c r="V151" s="95"/>
      <c r="W151" s="95"/>
      <c r="X151" s="95"/>
    </row>
    <row r="152" ht="15.75" customHeight="1">
      <c r="L152" s="97"/>
      <c r="M152" s="95"/>
      <c r="N152" s="95"/>
      <c r="O152" s="95"/>
      <c r="P152" s="95"/>
      <c r="Q152" s="95"/>
      <c r="R152" s="97"/>
      <c r="S152" s="95"/>
      <c r="T152" s="95"/>
      <c r="U152" s="95"/>
      <c r="V152" s="95"/>
      <c r="W152" s="95"/>
      <c r="X152" s="95"/>
    </row>
    <row r="153" ht="15.75" customHeight="1">
      <c r="L153" s="97"/>
      <c r="M153" s="95"/>
      <c r="N153" s="95"/>
      <c r="O153" s="95"/>
      <c r="P153" s="95"/>
      <c r="Q153" s="95"/>
      <c r="R153" s="97"/>
      <c r="S153" s="95"/>
      <c r="T153" s="95"/>
      <c r="U153" s="95"/>
      <c r="V153" s="95"/>
      <c r="W153" s="95"/>
      <c r="X153" s="95"/>
    </row>
    <row r="154" ht="15.75" customHeight="1">
      <c r="L154" s="97"/>
      <c r="M154" s="95"/>
      <c r="N154" s="95"/>
      <c r="O154" s="95"/>
      <c r="P154" s="95"/>
      <c r="Q154" s="95"/>
      <c r="R154" s="97"/>
      <c r="S154" s="95"/>
      <c r="T154" s="95"/>
      <c r="U154" s="95"/>
      <c r="V154" s="95"/>
      <c r="W154" s="95"/>
      <c r="X154" s="95"/>
    </row>
    <row r="155" ht="15.75" customHeight="1">
      <c r="L155" s="97"/>
      <c r="M155" s="95"/>
      <c r="N155" s="95"/>
      <c r="O155" s="95"/>
      <c r="P155" s="95"/>
      <c r="Q155" s="95"/>
      <c r="R155" s="97"/>
      <c r="S155" s="95"/>
      <c r="T155" s="95"/>
      <c r="U155" s="95"/>
      <c r="V155" s="95"/>
      <c r="W155" s="95"/>
      <c r="X155" s="95"/>
    </row>
    <row r="156" ht="15.75" customHeight="1">
      <c r="L156" s="97"/>
      <c r="M156" s="95"/>
      <c r="N156" s="95"/>
      <c r="O156" s="95"/>
      <c r="P156" s="95"/>
      <c r="Q156" s="95"/>
      <c r="R156" s="97"/>
      <c r="S156" s="95"/>
      <c r="T156" s="95"/>
      <c r="U156" s="95"/>
      <c r="V156" s="95"/>
      <c r="W156" s="95"/>
      <c r="X156" s="95"/>
    </row>
    <row r="157" ht="15.75" customHeight="1">
      <c r="L157" s="97"/>
      <c r="M157" s="95"/>
      <c r="N157" s="95"/>
      <c r="O157" s="95"/>
      <c r="P157" s="95"/>
      <c r="Q157" s="95"/>
      <c r="R157" s="97"/>
      <c r="S157" s="95"/>
      <c r="T157" s="95"/>
      <c r="U157" s="95"/>
      <c r="V157" s="95"/>
      <c r="W157" s="95"/>
      <c r="X157" s="95"/>
    </row>
    <row r="158" ht="15.75" customHeight="1">
      <c r="L158" s="97"/>
      <c r="M158" s="95"/>
      <c r="N158" s="95"/>
      <c r="O158" s="95"/>
      <c r="P158" s="95"/>
      <c r="Q158" s="95"/>
      <c r="R158" s="97"/>
      <c r="S158" s="95"/>
      <c r="T158" s="95"/>
      <c r="U158" s="95"/>
      <c r="V158" s="95"/>
      <c r="W158" s="95"/>
      <c r="X158" s="95"/>
    </row>
    <row r="159" ht="15.75" customHeight="1">
      <c r="L159" s="97"/>
      <c r="M159" s="95"/>
      <c r="N159" s="95"/>
      <c r="O159" s="95"/>
      <c r="P159" s="95"/>
      <c r="Q159" s="95"/>
      <c r="R159" s="97"/>
      <c r="S159" s="95"/>
      <c r="T159" s="95"/>
      <c r="U159" s="95"/>
      <c r="V159" s="95"/>
      <c r="W159" s="95"/>
      <c r="X159" s="95"/>
    </row>
    <row r="160" ht="15.75" customHeight="1">
      <c r="L160" s="97"/>
      <c r="M160" s="95"/>
      <c r="N160" s="95"/>
      <c r="O160" s="95"/>
      <c r="P160" s="95"/>
      <c r="Q160" s="95"/>
      <c r="R160" s="97"/>
      <c r="S160" s="95"/>
      <c r="T160" s="95"/>
      <c r="U160" s="95"/>
      <c r="V160" s="95"/>
      <c r="W160" s="95"/>
      <c r="X160" s="95"/>
    </row>
    <row r="161" ht="15.75" customHeight="1">
      <c r="L161" s="97"/>
      <c r="M161" s="95"/>
      <c r="N161" s="95"/>
      <c r="O161" s="95"/>
      <c r="P161" s="95"/>
      <c r="Q161" s="95"/>
      <c r="R161" s="97"/>
      <c r="S161" s="95"/>
      <c r="T161" s="95"/>
      <c r="U161" s="95"/>
      <c r="V161" s="95"/>
      <c r="W161" s="95"/>
      <c r="X161" s="95"/>
    </row>
    <row r="162" ht="15.75" customHeight="1">
      <c r="L162" s="97"/>
      <c r="M162" s="95"/>
      <c r="N162" s="95"/>
      <c r="O162" s="95"/>
      <c r="P162" s="95"/>
      <c r="Q162" s="95"/>
      <c r="R162" s="97"/>
      <c r="S162" s="95"/>
      <c r="T162" s="95"/>
      <c r="U162" s="95"/>
      <c r="V162" s="95"/>
      <c r="W162" s="95"/>
      <c r="X162" s="95"/>
    </row>
    <row r="163" ht="15.75" customHeight="1">
      <c r="L163" s="97"/>
      <c r="M163" s="95"/>
      <c r="N163" s="95"/>
      <c r="O163" s="95"/>
      <c r="P163" s="95"/>
      <c r="Q163" s="95"/>
      <c r="R163" s="97"/>
      <c r="S163" s="95"/>
      <c r="T163" s="95"/>
      <c r="U163" s="95"/>
      <c r="V163" s="95"/>
      <c r="W163" s="95"/>
      <c r="X163" s="95"/>
    </row>
    <row r="164" ht="15.75" customHeight="1">
      <c r="L164" s="97"/>
      <c r="M164" s="95"/>
      <c r="N164" s="95"/>
      <c r="O164" s="95"/>
      <c r="P164" s="95"/>
      <c r="Q164" s="95"/>
      <c r="R164" s="97"/>
      <c r="S164" s="95"/>
      <c r="T164" s="95"/>
      <c r="U164" s="95"/>
      <c r="V164" s="95"/>
      <c r="W164" s="95"/>
      <c r="X164" s="95"/>
    </row>
    <row r="165" ht="15.75" customHeight="1">
      <c r="L165" s="97"/>
      <c r="M165" s="95"/>
      <c r="N165" s="95"/>
      <c r="O165" s="95"/>
      <c r="P165" s="95"/>
      <c r="Q165" s="95"/>
      <c r="R165" s="97"/>
      <c r="S165" s="95"/>
      <c r="T165" s="95"/>
      <c r="U165" s="95"/>
      <c r="V165" s="95"/>
      <c r="W165" s="95"/>
      <c r="X165" s="95"/>
    </row>
    <row r="166" ht="15.75" customHeight="1">
      <c r="L166" s="97"/>
      <c r="M166" s="95"/>
      <c r="N166" s="95"/>
      <c r="O166" s="95"/>
      <c r="P166" s="95"/>
      <c r="Q166" s="95"/>
      <c r="R166" s="97"/>
      <c r="S166" s="95"/>
      <c r="T166" s="95"/>
      <c r="U166" s="95"/>
      <c r="V166" s="95"/>
      <c r="W166" s="95"/>
      <c r="X166" s="95"/>
    </row>
    <row r="167" ht="15.75" customHeight="1">
      <c r="L167" s="97"/>
      <c r="M167" s="95"/>
      <c r="N167" s="95"/>
      <c r="O167" s="95"/>
      <c r="P167" s="95"/>
      <c r="Q167" s="95"/>
      <c r="R167" s="97"/>
      <c r="S167" s="95"/>
      <c r="T167" s="95"/>
      <c r="U167" s="95"/>
      <c r="V167" s="95"/>
      <c r="W167" s="95"/>
      <c r="X167" s="95"/>
    </row>
    <row r="168" ht="15.75" customHeight="1">
      <c r="L168" s="97"/>
      <c r="M168" s="95"/>
      <c r="N168" s="95"/>
      <c r="O168" s="95"/>
      <c r="P168" s="95"/>
      <c r="Q168" s="95"/>
      <c r="R168" s="97"/>
      <c r="S168" s="95"/>
      <c r="T168" s="95"/>
      <c r="U168" s="95"/>
      <c r="V168" s="95"/>
      <c r="W168" s="95"/>
      <c r="X168" s="95"/>
    </row>
    <row r="169" ht="15.75" customHeight="1">
      <c r="L169" s="97"/>
      <c r="M169" s="95"/>
      <c r="N169" s="95"/>
      <c r="O169" s="95"/>
      <c r="P169" s="95"/>
      <c r="Q169" s="95"/>
      <c r="R169" s="97"/>
      <c r="S169" s="95"/>
      <c r="T169" s="95"/>
      <c r="U169" s="95"/>
      <c r="V169" s="95"/>
      <c r="W169" s="95"/>
      <c r="X169" s="95"/>
    </row>
    <row r="170" ht="15.75" customHeight="1">
      <c r="L170" s="97"/>
      <c r="M170" s="95"/>
      <c r="N170" s="95"/>
      <c r="O170" s="95"/>
      <c r="P170" s="95"/>
      <c r="Q170" s="95"/>
      <c r="R170" s="97"/>
      <c r="S170" s="95"/>
      <c r="T170" s="95"/>
      <c r="U170" s="95"/>
      <c r="V170" s="95"/>
      <c r="W170" s="95"/>
      <c r="X170" s="95"/>
    </row>
    <row r="171" ht="15.75" customHeight="1">
      <c r="L171" s="97"/>
      <c r="M171" s="95"/>
      <c r="N171" s="95"/>
      <c r="O171" s="95"/>
      <c r="P171" s="95"/>
      <c r="Q171" s="95"/>
      <c r="R171" s="97"/>
      <c r="S171" s="95"/>
      <c r="T171" s="95"/>
      <c r="U171" s="95"/>
      <c r="V171" s="95"/>
      <c r="W171" s="95"/>
      <c r="X171" s="95"/>
    </row>
    <row r="172" ht="15.75" customHeight="1">
      <c r="L172" s="97"/>
      <c r="M172" s="95"/>
      <c r="N172" s="95"/>
      <c r="O172" s="95"/>
      <c r="P172" s="95"/>
      <c r="Q172" s="95"/>
      <c r="R172" s="97"/>
      <c r="S172" s="95"/>
      <c r="T172" s="95"/>
      <c r="U172" s="95"/>
      <c r="V172" s="95"/>
      <c r="W172" s="95"/>
      <c r="X172" s="95"/>
    </row>
    <row r="173" ht="15.75" customHeight="1">
      <c r="L173" s="97"/>
      <c r="M173" s="95"/>
      <c r="N173" s="95"/>
      <c r="O173" s="95"/>
      <c r="P173" s="95"/>
      <c r="Q173" s="95"/>
      <c r="R173" s="97"/>
      <c r="S173" s="95"/>
      <c r="T173" s="95"/>
      <c r="U173" s="95"/>
      <c r="V173" s="95"/>
      <c r="W173" s="95"/>
      <c r="X173" s="95"/>
    </row>
    <row r="174" ht="15.75" customHeight="1">
      <c r="L174" s="97"/>
      <c r="M174" s="95"/>
      <c r="N174" s="95"/>
      <c r="O174" s="95"/>
      <c r="P174" s="95"/>
      <c r="Q174" s="95"/>
      <c r="R174" s="97"/>
      <c r="S174" s="95"/>
      <c r="T174" s="95"/>
      <c r="U174" s="95"/>
      <c r="V174" s="95"/>
      <c r="W174" s="95"/>
      <c r="X174" s="95"/>
    </row>
    <row r="175" ht="15.75" customHeight="1">
      <c r="L175" s="97"/>
      <c r="M175" s="95"/>
      <c r="N175" s="95"/>
      <c r="O175" s="95"/>
      <c r="P175" s="95"/>
      <c r="Q175" s="95"/>
      <c r="R175" s="97"/>
      <c r="S175" s="95"/>
      <c r="T175" s="95"/>
      <c r="U175" s="95"/>
      <c r="V175" s="95"/>
      <c r="W175" s="95"/>
      <c r="X175" s="95"/>
    </row>
    <row r="176" ht="15.75" customHeight="1">
      <c r="L176" s="97"/>
      <c r="M176" s="95"/>
      <c r="N176" s="95"/>
      <c r="O176" s="95"/>
      <c r="P176" s="95"/>
      <c r="Q176" s="95"/>
      <c r="R176" s="97"/>
      <c r="S176" s="95"/>
      <c r="T176" s="95"/>
      <c r="U176" s="95"/>
      <c r="V176" s="95"/>
      <c r="W176" s="95"/>
      <c r="X176" s="95"/>
    </row>
    <row r="177" ht="15.75" customHeight="1">
      <c r="L177" s="97"/>
      <c r="M177" s="95"/>
      <c r="N177" s="95"/>
      <c r="O177" s="95"/>
      <c r="P177" s="95"/>
      <c r="Q177" s="95"/>
      <c r="R177" s="97"/>
      <c r="S177" s="95"/>
      <c r="T177" s="95"/>
      <c r="U177" s="95"/>
      <c r="V177" s="95"/>
      <c r="W177" s="95"/>
      <c r="X177" s="95"/>
    </row>
    <row r="178" ht="15.75" customHeight="1">
      <c r="L178" s="97"/>
      <c r="M178" s="95"/>
      <c r="N178" s="95"/>
      <c r="O178" s="95"/>
      <c r="P178" s="95"/>
      <c r="Q178" s="95"/>
      <c r="R178" s="97"/>
      <c r="S178" s="95"/>
      <c r="T178" s="95"/>
      <c r="U178" s="95"/>
      <c r="V178" s="95"/>
      <c r="W178" s="95"/>
      <c r="X178" s="95"/>
    </row>
    <row r="179" ht="15.75" customHeight="1">
      <c r="L179" s="97"/>
      <c r="M179" s="95"/>
      <c r="N179" s="95"/>
      <c r="O179" s="95"/>
      <c r="P179" s="95"/>
      <c r="Q179" s="95"/>
      <c r="R179" s="97"/>
      <c r="S179" s="95"/>
      <c r="T179" s="95"/>
      <c r="U179" s="95"/>
      <c r="V179" s="95"/>
      <c r="W179" s="95"/>
      <c r="X179" s="95"/>
    </row>
    <row r="180" ht="15.75" customHeight="1">
      <c r="L180" s="97"/>
      <c r="M180" s="95"/>
      <c r="N180" s="95"/>
      <c r="O180" s="95"/>
      <c r="P180" s="95"/>
      <c r="Q180" s="95"/>
      <c r="R180" s="97"/>
      <c r="S180" s="95"/>
      <c r="T180" s="95"/>
      <c r="U180" s="95"/>
      <c r="V180" s="95"/>
      <c r="W180" s="95"/>
      <c r="X180" s="95"/>
    </row>
    <row r="181" ht="15.75" customHeight="1">
      <c r="L181" s="97"/>
      <c r="M181" s="95"/>
      <c r="N181" s="95"/>
      <c r="O181" s="95"/>
      <c r="P181" s="95"/>
      <c r="Q181" s="95"/>
      <c r="R181" s="97"/>
      <c r="S181" s="95"/>
      <c r="T181" s="95"/>
      <c r="U181" s="95"/>
      <c r="V181" s="95"/>
      <c r="W181" s="95"/>
      <c r="X181" s="95"/>
    </row>
    <row r="182" ht="15.75" customHeight="1">
      <c r="L182" s="97"/>
      <c r="M182" s="95"/>
      <c r="N182" s="95"/>
      <c r="O182" s="95"/>
      <c r="P182" s="95"/>
      <c r="Q182" s="95"/>
      <c r="R182" s="97"/>
      <c r="S182" s="95"/>
      <c r="T182" s="95"/>
      <c r="U182" s="95"/>
      <c r="V182" s="95"/>
      <c r="W182" s="95"/>
      <c r="X182" s="95"/>
    </row>
    <row r="183" ht="15.75" customHeight="1">
      <c r="L183" s="97"/>
      <c r="M183" s="95"/>
      <c r="N183" s="95"/>
      <c r="O183" s="95"/>
      <c r="P183" s="95"/>
      <c r="Q183" s="95"/>
      <c r="R183" s="97"/>
      <c r="S183" s="95"/>
      <c r="T183" s="95"/>
      <c r="U183" s="95"/>
      <c r="V183" s="95"/>
      <c r="W183" s="95"/>
      <c r="X183" s="95"/>
    </row>
    <row r="184" ht="15.75" customHeight="1">
      <c r="L184" s="97"/>
      <c r="M184" s="95"/>
      <c r="N184" s="95"/>
      <c r="O184" s="95"/>
      <c r="P184" s="95"/>
      <c r="Q184" s="95"/>
      <c r="R184" s="97"/>
      <c r="S184" s="95"/>
      <c r="T184" s="95"/>
      <c r="U184" s="95"/>
      <c r="V184" s="95"/>
      <c r="W184" s="95"/>
      <c r="X184" s="95"/>
    </row>
    <row r="185" ht="15.75" customHeight="1">
      <c r="L185" s="97"/>
      <c r="M185" s="95"/>
      <c r="N185" s="95"/>
      <c r="O185" s="95"/>
      <c r="P185" s="95"/>
      <c r="Q185" s="95"/>
      <c r="R185" s="97"/>
      <c r="S185" s="95"/>
      <c r="T185" s="95"/>
      <c r="U185" s="95"/>
      <c r="V185" s="95"/>
      <c r="W185" s="95"/>
      <c r="X185" s="95"/>
    </row>
    <row r="186" ht="15.75" customHeight="1">
      <c r="L186" s="97"/>
      <c r="M186" s="95"/>
      <c r="N186" s="95"/>
      <c r="O186" s="95"/>
      <c r="P186" s="95"/>
      <c r="Q186" s="95"/>
      <c r="R186" s="97"/>
      <c r="S186" s="95"/>
      <c r="T186" s="95"/>
      <c r="U186" s="95"/>
      <c r="V186" s="95"/>
      <c r="W186" s="95"/>
      <c r="X186" s="95"/>
    </row>
    <row r="187" ht="15.75" customHeight="1">
      <c r="L187" s="97"/>
      <c r="M187" s="95"/>
      <c r="N187" s="95"/>
      <c r="O187" s="95"/>
      <c r="P187" s="95"/>
      <c r="Q187" s="95"/>
      <c r="R187" s="97"/>
      <c r="S187" s="95"/>
      <c r="T187" s="95"/>
      <c r="U187" s="95"/>
      <c r="V187" s="95"/>
      <c r="W187" s="95"/>
      <c r="X187" s="95"/>
    </row>
    <row r="188" ht="15.75" customHeight="1">
      <c r="L188" s="97"/>
      <c r="M188" s="95"/>
      <c r="N188" s="95"/>
      <c r="O188" s="95"/>
      <c r="P188" s="95"/>
      <c r="Q188" s="95"/>
      <c r="R188" s="97"/>
      <c r="S188" s="95"/>
      <c r="T188" s="95"/>
      <c r="U188" s="95"/>
      <c r="V188" s="95"/>
      <c r="W188" s="95"/>
      <c r="X188" s="95"/>
    </row>
    <row r="189" ht="15.75" customHeight="1">
      <c r="L189" s="97"/>
      <c r="M189" s="95"/>
      <c r="N189" s="95"/>
      <c r="O189" s="95"/>
      <c r="P189" s="95"/>
      <c r="Q189" s="95"/>
      <c r="R189" s="97"/>
      <c r="S189" s="95"/>
      <c r="T189" s="95"/>
      <c r="U189" s="95"/>
      <c r="V189" s="95"/>
      <c r="W189" s="95"/>
      <c r="X189" s="95"/>
    </row>
    <row r="190" ht="15.75" customHeight="1">
      <c r="L190" s="97"/>
      <c r="M190" s="95"/>
      <c r="N190" s="95"/>
      <c r="O190" s="95"/>
      <c r="P190" s="95"/>
      <c r="Q190" s="95"/>
      <c r="R190" s="97"/>
      <c r="S190" s="95"/>
      <c r="T190" s="95"/>
      <c r="U190" s="95"/>
      <c r="V190" s="95"/>
      <c r="W190" s="95"/>
      <c r="X190" s="95"/>
    </row>
    <row r="191" ht="15.75" customHeight="1">
      <c r="L191" s="97"/>
      <c r="M191" s="95"/>
      <c r="N191" s="95"/>
      <c r="O191" s="95"/>
      <c r="P191" s="95"/>
      <c r="Q191" s="95"/>
      <c r="R191" s="97"/>
      <c r="S191" s="95"/>
      <c r="T191" s="95"/>
      <c r="U191" s="95"/>
      <c r="V191" s="95"/>
      <c r="W191" s="95"/>
      <c r="X191" s="95"/>
    </row>
    <row r="192" ht="15.75" customHeight="1">
      <c r="L192" s="97"/>
      <c r="M192" s="95"/>
      <c r="N192" s="95"/>
      <c r="O192" s="95"/>
      <c r="P192" s="95"/>
      <c r="Q192" s="95"/>
      <c r="R192" s="97"/>
      <c r="S192" s="95"/>
      <c r="T192" s="95"/>
      <c r="U192" s="95"/>
      <c r="V192" s="95"/>
      <c r="W192" s="95"/>
      <c r="X192" s="95"/>
    </row>
    <row r="193" ht="15.75" customHeight="1">
      <c r="L193" s="97"/>
      <c r="M193" s="95"/>
      <c r="N193" s="95"/>
      <c r="O193" s="95"/>
      <c r="P193" s="95"/>
      <c r="Q193" s="95"/>
      <c r="R193" s="97"/>
      <c r="S193" s="95"/>
      <c r="T193" s="95"/>
      <c r="U193" s="95"/>
      <c r="V193" s="95"/>
      <c r="W193" s="95"/>
      <c r="X193" s="95"/>
    </row>
    <row r="194" ht="15.75" customHeight="1">
      <c r="L194" s="97"/>
      <c r="M194" s="95"/>
      <c r="N194" s="95"/>
      <c r="O194" s="95"/>
      <c r="P194" s="95"/>
      <c r="Q194" s="95"/>
      <c r="R194" s="97"/>
      <c r="S194" s="95"/>
      <c r="T194" s="95"/>
      <c r="U194" s="95"/>
      <c r="V194" s="95"/>
      <c r="W194" s="95"/>
      <c r="X194" s="95"/>
    </row>
    <row r="195" ht="15.75" customHeight="1">
      <c r="L195" s="97"/>
      <c r="M195" s="95"/>
      <c r="N195" s="95"/>
      <c r="O195" s="95"/>
      <c r="P195" s="95"/>
      <c r="Q195" s="95"/>
      <c r="R195" s="97"/>
      <c r="S195" s="95"/>
      <c r="T195" s="95"/>
      <c r="U195" s="95"/>
      <c r="V195" s="95"/>
      <c r="W195" s="95"/>
      <c r="X195" s="95"/>
    </row>
    <row r="196" ht="15.75" customHeight="1">
      <c r="L196" s="97"/>
      <c r="M196" s="95"/>
      <c r="N196" s="95"/>
      <c r="O196" s="95"/>
      <c r="P196" s="95"/>
      <c r="Q196" s="95"/>
      <c r="R196" s="97"/>
      <c r="S196" s="95"/>
      <c r="T196" s="95"/>
      <c r="U196" s="95"/>
      <c r="V196" s="95"/>
      <c r="W196" s="95"/>
      <c r="X196" s="95"/>
    </row>
    <row r="197" ht="15.75" customHeight="1">
      <c r="L197" s="97"/>
      <c r="M197" s="95"/>
      <c r="N197" s="95"/>
      <c r="O197" s="95"/>
      <c r="P197" s="95"/>
      <c r="Q197" s="95"/>
      <c r="R197" s="97"/>
      <c r="S197" s="95"/>
      <c r="T197" s="95"/>
      <c r="U197" s="95"/>
      <c r="V197" s="95"/>
      <c r="W197" s="95"/>
      <c r="X197" s="95"/>
    </row>
    <row r="198" ht="15.75" customHeight="1">
      <c r="L198" s="97"/>
      <c r="M198" s="95"/>
      <c r="N198" s="95"/>
      <c r="O198" s="95"/>
      <c r="P198" s="95"/>
      <c r="Q198" s="95"/>
      <c r="R198" s="97"/>
      <c r="S198" s="95"/>
      <c r="T198" s="95"/>
      <c r="U198" s="95"/>
      <c r="V198" s="95"/>
      <c r="W198" s="95"/>
      <c r="X198" s="95"/>
    </row>
    <row r="199" ht="15.75" customHeight="1">
      <c r="L199" s="97"/>
      <c r="M199" s="95"/>
      <c r="N199" s="95"/>
      <c r="O199" s="95"/>
      <c r="P199" s="95"/>
      <c r="Q199" s="95"/>
      <c r="R199" s="97"/>
      <c r="S199" s="95"/>
      <c r="T199" s="95"/>
      <c r="U199" s="95"/>
      <c r="V199" s="95"/>
      <c r="W199" s="95"/>
      <c r="X199" s="95"/>
    </row>
    <row r="200" ht="15.75" customHeight="1">
      <c r="L200" s="97"/>
      <c r="M200" s="95"/>
      <c r="N200" s="95"/>
      <c r="O200" s="95"/>
      <c r="P200" s="95"/>
      <c r="Q200" s="95"/>
      <c r="R200" s="97"/>
      <c r="S200" s="95"/>
      <c r="T200" s="95"/>
      <c r="U200" s="95"/>
      <c r="V200" s="95"/>
      <c r="W200" s="95"/>
      <c r="X200" s="95"/>
    </row>
    <row r="201" ht="15.75" customHeight="1">
      <c r="L201" s="97"/>
      <c r="M201" s="95"/>
      <c r="N201" s="95"/>
      <c r="O201" s="95"/>
      <c r="P201" s="95"/>
      <c r="Q201" s="95"/>
      <c r="R201" s="97"/>
      <c r="S201" s="95"/>
      <c r="T201" s="95"/>
      <c r="U201" s="95"/>
      <c r="V201" s="95"/>
      <c r="W201" s="95"/>
      <c r="X201" s="95"/>
    </row>
    <row r="202" ht="15.75" customHeight="1">
      <c r="L202" s="97"/>
      <c r="M202" s="95"/>
      <c r="N202" s="95"/>
      <c r="O202" s="95"/>
      <c r="P202" s="95"/>
      <c r="Q202" s="95"/>
      <c r="R202" s="97"/>
      <c r="S202" s="95"/>
      <c r="T202" s="95"/>
      <c r="U202" s="95"/>
      <c r="V202" s="95"/>
      <c r="W202" s="95"/>
      <c r="X202" s="95"/>
    </row>
    <row r="203" ht="15.75" customHeight="1">
      <c r="L203" s="97"/>
      <c r="M203" s="95"/>
      <c r="N203" s="95"/>
      <c r="O203" s="95"/>
      <c r="P203" s="95"/>
      <c r="Q203" s="95"/>
      <c r="R203" s="97"/>
      <c r="S203" s="95"/>
      <c r="T203" s="95"/>
      <c r="U203" s="95"/>
      <c r="V203" s="95"/>
      <c r="W203" s="95"/>
      <c r="X203" s="95"/>
    </row>
    <row r="204" ht="15.75" customHeight="1">
      <c r="L204" s="97"/>
      <c r="M204" s="95"/>
      <c r="N204" s="95"/>
      <c r="O204" s="95"/>
      <c r="P204" s="95"/>
      <c r="Q204" s="95"/>
      <c r="R204" s="97"/>
      <c r="S204" s="95"/>
      <c r="T204" s="95"/>
      <c r="U204" s="95"/>
      <c r="V204" s="95"/>
      <c r="W204" s="95"/>
      <c r="X204" s="95"/>
    </row>
    <row r="205" ht="15.75" customHeight="1">
      <c r="L205" s="97"/>
      <c r="M205" s="95"/>
      <c r="N205" s="95"/>
      <c r="O205" s="95"/>
      <c r="P205" s="95"/>
      <c r="Q205" s="95"/>
      <c r="R205" s="97"/>
      <c r="S205" s="95"/>
      <c r="T205" s="95"/>
      <c r="U205" s="95"/>
      <c r="V205" s="95"/>
      <c r="W205" s="95"/>
      <c r="X205" s="95"/>
    </row>
    <row r="206" ht="15.75" customHeight="1">
      <c r="L206" s="97"/>
      <c r="M206" s="95"/>
      <c r="N206" s="95"/>
      <c r="O206" s="95"/>
      <c r="P206" s="95"/>
      <c r="Q206" s="95"/>
      <c r="R206" s="97"/>
      <c r="S206" s="95"/>
      <c r="T206" s="95"/>
      <c r="U206" s="95"/>
      <c r="V206" s="95"/>
      <c r="W206" s="95"/>
      <c r="X206" s="95"/>
    </row>
    <row r="207" ht="15.75" customHeight="1">
      <c r="L207" s="97"/>
      <c r="M207" s="95"/>
      <c r="N207" s="95"/>
      <c r="O207" s="95"/>
      <c r="P207" s="95"/>
      <c r="Q207" s="95"/>
      <c r="R207" s="97"/>
      <c r="S207" s="95"/>
      <c r="T207" s="95"/>
      <c r="U207" s="95"/>
      <c r="V207" s="95"/>
      <c r="W207" s="95"/>
      <c r="X207" s="95"/>
    </row>
    <row r="208" ht="15.75" customHeight="1">
      <c r="L208" s="97"/>
      <c r="M208" s="95"/>
      <c r="N208" s="95"/>
      <c r="O208" s="95"/>
      <c r="P208" s="95"/>
      <c r="Q208" s="95"/>
      <c r="R208" s="97"/>
      <c r="S208" s="95"/>
      <c r="T208" s="95"/>
      <c r="U208" s="95"/>
      <c r="V208" s="95"/>
      <c r="W208" s="95"/>
      <c r="X208" s="95"/>
    </row>
    <row r="209" ht="15.75" customHeight="1">
      <c r="L209" s="97"/>
      <c r="M209" s="95"/>
      <c r="N209" s="95"/>
      <c r="O209" s="95"/>
      <c r="P209" s="95"/>
      <c r="Q209" s="95"/>
      <c r="R209" s="97"/>
      <c r="S209" s="95"/>
      <c r="T209" s="95"/>
      <c r="U209" s="95"/>
      <c r="V209" s="95"/>
      <c r="W209" s="95"/>
      <c r="X209" s="95"/>
    </row>
    <row r="210" ht="15.75" customHeight="1">
      <c r="L210" s="97"/>
      <c r="M210" s="95"/>
      <c r="N210" s="95"/>
      <c r="O210" s="95"/>
      <c r="P210" s="95"/>
      <c r="Q210" s="95"/>
      <c r="R210" s="97"/>
      <c r="S210" s="95"/>
      <c r="T210" s="95"/>
      <c r="U210" s="95"/>
      <c r="V210" s="95"/>
      <c r="W210" s="95"/>
      <c r="X210" s="95"/>
    </row>
    <row r="211" ht="15.75" customHeight="1">
      <c r="L211" s="97"/>
      <c r="M211" s="95"/>
      <c r="N211" s="95"/>
      <c r="O211" s="95"/>
      <c r="P211" s="95"/>
      <c r="Q211" s="95"/>
      <c r="R211" s="97"/>
      <c r="S211" s="95"/>
      <c r="T211" s="95"/>
      <c r="U211" s="95"/>
      <c r="V211" s="95"/>
      <c r="W211" s="95"/>
      <c r="X211" s="95"/>
    </row>
    <row r="212" ht="15.75" customHeight="1">
      <c r="L212" s="97"/>
      <c r="M212" s="95"/>
      <c r="N212" s="95"/>
      <c r="O212" s="95"/>
      <c r="P212" s="95"/>
      <c r="Q212" s="95"/>
      <c r="R212" s="97"/>
      <c r="S212" s="95"/>
      <c r="T212" s="95"/>
      <c r="U212" s="95"/>
      <c r="V212" s="95"/>
      <c r="W212" s="95"/>
      <c r="X212" s="95"/>
    </row>
    <row r="213" ht="15.75" customHeight="1">
      <c r="L213" s="97"/>
      <c r="M213" s="95"/>
      <c r="N213" s="95"/>
      <c r="O213" s="95"/>
      <c r="P213" s="95"/>
      <c r="Q213" s="95"/>
      <c r="R213" s="97"/>
      <c r="S213" s="95"/>
      <c r="T213" s="95"/>
      <c r="U213" s="95"/>
      <c r="V213" s="95"/>
      <c r="W213" s="95"/>
      <c r="X213" s="95"/>
    </row>
    <row r="214" ht="15.75" customHeight="1">
      <c r="L214" s="97"/>
      <c r="M214" s="95"/>
      <c r="N214" s="95"/>
      <c r="O214" s="95"/>
      <c r="P214" s="95"/>
      <c r="Q214" s="95"/>
      <c r="R214" s="97"/>
      <c r="S214" s="95"/>
      <c r="T214" s="95"/>
      <c r="U214" s="95"/>
      <c r="V214" s="95"/>
      <c r="W214" s="95"/>
      <c r="X214" s="95"/>
    </row>
    <row r="215" ht="15.75" customHeight="1">
      <c r="L215" s="97"/>
      <c r="M215" s="95"/>
      <c r="N215" s="95"/>
      <c r="O215" s="95"/>
      <c r="P215" s="95"/>
      <c r="Q215" s="95"/>
      <c r="R215" s="97"/>
      <c r="S215" s="95"/>
      <c r="T215" s="95"/>
      <c r="U215" s="95"/>
      <c r="V215" s="95"/>
      <c r="W215" s="95"/>
      <c r="X215" s="95"/>
    </row>
    <row r="216" ht="15.75" customHeight="1">
      <c r="L216" s="97"/>
      <c r="M216" s="95"/>
      <c r="N216" s="95"/>
      <c r="O216" s="95"/>
      <c r="P216" s="95"/>
      <c r="Q216" s="95"/>
      <c r="R216" s="97"/>
      <c r="S216" s="95"/>
      <c r="T216" s="95"/>
      <c r="U216" s="95"/>
      <c r="V216" s="95"/>
      <c r="W216" s="95"/>
      <c r="X216" s="95"/>
    </row>
    <row r="217" ht="15.75" customHeight="1">
      <c r="L217" s="97"/>
      <c r="M217" s="95"/>
      <c r="N217" s="95"/>
      <c r="O217" s="95"/>
      <c r="P217" s="95"/>
      <c r="Q217" s="95"/>
      <c r="R217" s="97"/>
      <c r="S217" s="95"/>
      <c r="T217" s="95"/>
      <c r="U217" s="95"/>
      <c r="V217" s="95"/>
      <c r="W217" s="95"/>
      <c r="X217" s="95"/>
    </row>
    <row r="218" ht="15.75" customHeight="1">
      <c r="L218" s="97"/>
      <c r="M218" s="95"/>
      <c r="N218" s="95"/>
      <c r="O218" s="95"/>
      <c r="P218" s="95"/>
      <c r="Q218" s="95"/>
      <c r="R218" s="97"/>
      <c r="S218" s="95"/>
      <c r="T218" s="95"/>
      <c r="U218" s="95"/>
      <c r="V218" s="95"/>
      <c r="W218" s="95"/>
      <c r="X218" s="95"/>
    </row>
    <row r="219" ht="15.75" customHeight="1">
      <c r="L219" s="97"/>
      <c r="M219" s="95"/>
      <c r="N219" s="95"/>
      <c r="O219" s="95"/>
      <c r="P219" s="95"/>
      <c r="Q219" s="95"/>
      <c r="R219" s="97"/>
      <c r="S219" s="95"/>
      <c r="T219" s="95"/>
      <c r="U219" s="95"/>
      <c r="V219" s="95"/>
      <c r="W219" s="95"/>
      <c r="X219" s="95"/>
    </row>
    <row r="220" ht="15.75" customHeight="1">
      <c r="L220" s="97"/>
      <c r="M220" s="95"/>
      <c r="N220" s="95"/>
      <c r="O220" s="95"/>
      <c r="P220" s="95"/>
      <c r="Q220" s="95"/>
      <c r="R220" s="97"/>
      <c r="S220" s="95"/>
      <c r="T220" s="95"/>
      <c r="U220" s="95"/>
      <c r="V220" s="95"/>
      <c r="W220" s="95"/>
      <c r="X220" s="95"/>
    </row>
    <row r="221" ht="15.75" customHeight="1">
      <c r="L221" s="97"/>
      <c r="M221" s="95"/>
      <c r="N221" s="95"/>
      <c r="O221" s="95"/>
      <c r="P221" s="95"/>
      <c r="Q221" s="95"/>
      <c r="R221" s="97"/>
      <c r="S221" s="95"/>
      <c r="T221" s="95"/>
      <c r="U221" s="95"/>
      <c r="V221" s="95"/>
      <c r="W221" s="95"/>
      <c r="X221" s="95"/>
    </row>
    <row r="222" ht="15.75" customHeight="1">
      <c r="L222" s="97"/>
      <c r="M222" s="95"/>
      <c r="N222" s="95"/>
      <c r="O222" s="95"/>
      <c r="P222" s="95"/>
      <c r="Q222" s="95"/>
      <c r="R222" s="97"/>
      <c r="S222" s="95"/>
      <c r="T222" s="95"/>
      <c r="U222" s="95"/>
      <c r="V222" s="95"/>
      <c r="W222" s="95"/>
      <c r="X222" s="95"/>
    </row>
    <row r="223" ht="15.75" customHeight="1">
      <c r="L223" s="97"/>
      <c r="M223" s="95"/>
      <c r="N223" s="95"/>
      <c r="O223" s="95"/>
      <c r="P223" s="95"/>
      <c r="Q223" s="95"/>
      <c r="R223" s="97"/>
      <c r="S223" s="95"/>
      <c r="T223" s="95"/>
      <c r="U223" s="95"/>
      <c r="V223" s="95"/>
      <c r="W223" s="95"/>
      <c r="X223" s="95"/>
    </row>
    <row r="224" ht="15.75" customHeight="1">
      <c r="L224" s="97"/>
      <c r="M224" s="95"/>
      <c r="N224" s="95"/>
      <c r="O224" s="95"/>
      <c r="P224" s="95"/>
      <c r="Q224" s="95"/>
      <c r="R224" s="97"/>
      <c r="S224" s="95"/>
      <c r="T224" s="95"/>
      <c r="U224" s="95"/>
      <c r="V224" s="95"/>
      <c r="W224" s="95"/>
      <c r="X224" s="95"/>
    </row>
    <row r="225" ht="15.75" customHeight="1">
      <c r="L225" s="97"/>
      <c r="M225" s="95"/>
      <c r="N225" s="95"/>
      <c r="O225" s="95"/>
      <c r="P225" s="95"/>
      <c r="Q225" s="95"/>
      <c r="R225" s="97"/>
      <c r="S225" s="95"/>
      <c r="T225" s="95"/>
      <c r="U225" s="95"/>
      <c r="V225" s="95"/>
      <c r="W225" s="95"/>
      <c r="X225" s="95"/>
    </row>
    <row r="226" ht="15.75" customHeight="1">
      <c r="L226" s="97"/>
      <c r="M226" s="95"/>
      <c r="N226" s="95"/>
      <c r="O226" s="95"/>
      <c r="P226" s="95"/>
      <c r="Q226" s="95"/>
      <c r="R226" s="97"/>
      <c r="S226" s="95"/>
      <c r="T226" s="95"/>
      <c r="U226" s="95"/>
      <c r="V226" s="95"/>
      <c r="W226" s="95"/>
      <c r="X226" s="95"/>
    </row>
    <row r="227" ht="15.75" customHeight="1">
      <c r="L227" s="97"/>
      <c r="M227" s="95"/>
      <c r="N227" s="95"/>
      <c r="O227" s="95"/>
      <c r="P227" s="95"/>
      <c r="Q227" s="95"/>
      <c r="R227" s="97"/>
      <c r="S227" s="95"/>
      <c r="T227" s="95"/>
      <c r="U227" s="95"/>
      <c r="V227" s="95"/>
      <c r="W227" s="95"/>
      <c r="X227" s="95"/>
    </row>
    <row r="228" ht="15.75" customHeight="1">
      <c r="L228" s="97"/>
      <c r="M228" s="95"/>
      <c r="N228" s="95"/>
      <c r="O228" s="95"/>
      <c r="P228" s="95"/>
      <c r="Q228" s="95"/>
      <c r="R228" s="97"/>
      <c r="S228" s="95"/>
      <c r="T228" s="95"/>
      <c r="U228" s="95"/>
      <c r="V228" s="95"/>
      <c r="W228" s="95"/>
      <c r="X228" s="95"/>
    </row>
    <row r="229" ht="15.75" customHeight="1">
      <c r="L229" s="97"/>
      <c r="M229" s="95"/>
      <c r="N229" s="95"/>
      <c r="O229" s="95"/>
      <c r="P229" s="95"/>
      <c r="Q229" s="95"/>
      <c r="R229" s="97"/>
      <c r="S229" s="95"/>
      <c r="T229" s="95"/>
      <c r="U229" s="95"/>
      <c r="V229" s="95"/>
      <c r="W229" s="95"/>
      <c r="X229" s="95"/>
    </row>
    <row r="230" ht="15.75" customHeight="1">
      <c r="L230" s="97"/>
      <c r="M230" s="95"/>
      <c r="N230" s="95"/>
      <c r="O230" s="95"/>
      <c r="P230" s="95"/>
      <c r="Q230" s="95"/>
      <c r="R230" s="97"/>
      <c r="S230" s="95"/>
      <c r="T230" s="95"/>
      <c r="U230" s="95"/>
      <c r="V230" s="95"/>
      <c r="W230" s="95"/>
      <c r="X230" s="95"/>
    </row>
    <row r="231" ht="15.75" customHeight="1">
      <c r="L231" s="97"/>
      <c r="M231" s="95"/>
      <c r="N231" s="95"/>
      <c r="O231" s="95"/>
      <c r="P231" s="95"/>
      <c r="Q231" s="95"/>
      <c r="R231" s="97"/>
      <c r="S231" s="95"/>
      <c r="T231" s="95"/>
      <c r="U231" s="95"/>
      <c r="V231" s="95"/>
      <c r="W231" s="95"/>
      <c r="X231" s="95"/>
    </row>
    <row r="232" ht="15.75" customHeight="1">
      <c r="L232" s="97"/>
      <c r="M232" s="95"/>
      <c r="N232" s="95"/>
      <c r="O232" s="95"/>
      <c r="P232" s="95"/>
      <c r="Q232" s="95"/>
      <c r="R232" s="97"/>
      <c r="S232" s="95"/>
      <c r="T232" s="95"/>
      <c r="U232" s="95"/>
      <c r="V232" s="95"/>
      <c r="W232" s="95"/>
      <c r="X232" s="95"/>
    </row>
    <row r="233" ht="15.75" customHeight="1">
      <c r="L233" s="97"/>
      <c r="M233" s="95"/>
      <c r="N233" s="95"/>
      <c r="O233" s="95"/>
      <c r="P233" s="95"/>
      <c r="Q233" s="95"/>
      <c r="R233" s="97"/>
      <c r="S233" s="95"/>
      <c r="T233" s="95"/>
      <c r="U233" s="95"/>
      <c r="V233" s="95"/>
      <c r="W233" s="95"/>
      <c r="X233" s="95"/>
    </row>
    <row r="234" ht="15.75" customHeight="1">
      <c r="L234" s="97"/>
      <c r="M234" s="95"/>
      <c r="N234" s="95"/>
      <c r="O234" s="95"/>
      <c r="P234" s="95"/>
      <c r="Q234" s="95"/>
      <c r="R234" s="97"/>
      <c r="S234" s="95"/>
      <c r="T234" s="95"/>
      <c r="U234" s="95"/>
      <c r="V234" s="95"/>
      <c r="W234" s="95"/>
      <c r="X234" s="95"/>
    </row>
    <row r="235" ht="15.75" customHeight="1">
      <c r="L235" s="97"/>
      <c r="M235" s="95"/>
      <c r="N235" s="95"/>
      <c r="O235" s="95"/>
      <c r="P235" s="95"/>
      <c r="Q235" s="95"/>
      <c r="R235" s="97"/>
      <c r="S235" s="95"/>
      <c r="T235" s="95"/>
      <c r="U235" s="95"/>
      <c r="V235" s="95"/>
      <c r="W235" s="95"/>
      <c r="X235" s="95"/>
    </row>
    <row r="236" ht="15.75" customHeight="1">
      <c r="L236" s="97"/>
      <c r="M236" s="95"/>
      <c r="N236" s="95"/>
      <c r="O236" s="95"/>
      <c r="P236" s="95"/>
      <c r="Q236" s="95"/>
      <c r="R236" s="97"/>
      <c r="S236" s="95"/>
      <c r="T236" s="95"/>
      <c r="U236" s="95"/>
      <c r="V236" s="95"/>
      <c r="W236" s="95"/>
      <c r="X236" s="95"/>
    </row>
    <row r="237" ht="15.75" customHeight="1">
      <c r="L237" s="97"/>
      <c r="M237" s="95"/>
      <c r="N237" s="95"/>
      <c r="O237" s="95"/>
      <c r="P237" s="95"/>
      <c r="Q237" s="95"/>
      <c r="R237" s="97"/>
      <c r="S237" s="95"/>
      <c r="T237" s="95"/>
      <c r="U237" s="95"/>
      <c r="V237" s="95"/>
      <c r="W237" s="95"/>
      <c r="X237" s="95"/>
    </row>
    <row r="238" ht="15.75" customHeight="1">
      <c r="L238" s="97"/>
      <c r="M238" s="95"/>
      <c r="N238" s="95"/>
      <c r="O238" s="95"/>
      <c r="P238" s="95"/>
      <c r="Q238" s="95"/>
      <c r="R238" s="97"/>
      <c r="S238" s="95"/>
      <c r="T238" s="95"/>
      <c r="U238" s="95"/>
      <c r="V238" s="95"/>
      <c r="W238" s="95"/>
      <c r="X238" s="95"/>
    </row>
    <row r="239" ht="15.75" customHeight="1">
      <c r="L239" s="97"/>
      <c r="M239" s="95"/>
      <c r="N239" s="95"/>
      <c r="O239" s="95"/>
      <c r="P239" s="95"/>
      <c r="Q239" s="95"/>
      <c r="R239" s="97"/>
      <c r="S239" s="95"/>
      <c r="T239" s="95"/>
      <c r="U239" s="95"/>
      <c r="V239" s="95"/>
      <c r="W239" s="95"/>
      <c r="X239" s="95"/>
    </row>
    <row r="240" ht="15.75" customHeight="1">
      <c r="L240" s="97"/>
      <c r="M240" s="95"/>
      <c r="N240" s="95"/>
      <c r="O240" s="95"/>
      <c r="P240" s="95"/>
      <c r="Q240" s="95"/>
      <c r="R240" s="97"/>
      <c r="S240" s="95"/>
      <c r="T240" s="95"/>
      <c r="U240" s="95"/>
      <c r="V240" s="95"/>
      <c r="W240" s="95"/>
      <c r="X240" s="95"/>
    </row>
    <row r="241" ht="15.75" customHeight="1">
      <c r="L241" s="97"/>
      <c r="M241" s="95"/>
      <c r="N241" s="95"/>
      <c r="O241" s="95"/>
      <c r="P241" s="95"/>
      <c r="Q241" s="95"/>
      <c r="R241" s="97"/>
      <c r="S241" s="95"/>
      <c r="T241" s="95"/>
      <c r="U241" s="95"/>
      <c r="V241" s="95"/>
      <c r="W241" s="95"/>
      <c r="X241" s="95"/>
    </row>
    <row r="242" ht="15.75" customHeight="1">
      <c r="L242" s="97"/>
      <c r="M242" s="95"/>
      <c r="N242" s="95"/>
      <c r="O242" s="95"/>
      <c r="P242" s="95"/>
      <c r="Q242" s="95"/>
      <c r="R242" s="97"/>
      <c r="S242" s="95"/>
      <c r="T242" s="95"/>
      <c r="U242" s="95"/>
      <c r="V242" s="95"/>
      <c r="W242" s="95"/>
      <c r="X242" s="95"/>
    </row>
    <row r="243" ht="15.75" customHeight="1">
      <c r="L243" s="97"/>
      <c r="M243" s="95"/>
      <c r="N243" s="95"/>
      <c r="O243" s="95"/>
      <c r="P243" s="95"/>
      <c r="Q243" s="95"/>
      <c r="R243" s="97"/>
      <c r="S243" s="95"/>
      <c r="T243" s="95"/>
      <c r="U243" s="95"/>
      <c r="V243" s="95"/>
      <c r="W243" s="95"/>
      <c r="X243" s="95"/>
    </row>
    <row r="244" ht="15.75" customHeight="1">
      <c r="L244" s="97"/>
      <c r="M244" s="95"/>
      <c r="N244" s="95"/>
      <c r="O244" s="95"/>
      <c r="P244" s="95"/>
      <c r="Q244" s="95"/>
      <c r="R244" s="97"/>
      <c r="S244" s="95"/>
      <c r="T244" s="95"/>
      <c r="U244" s="95"/>
      <c r="V244" s="95"/>
      <c r="W244" s="95"/>
      <c r="X244" s="95"/>
    </row>
    <row r="245" ht="15.75" customHeight="1">
      <c r="L245" s="97"/>
      <c r="M245" s="95"/>
      <c r="N245" s="95"/>
      <c r="O245" s="95"/>
      <c r="P245" s="95"/>
      <c r="Q245" s="95"/>
      <c r="R245" s="97"/>
      <c r="S245" s="95"/>
      <c r="T245" s="95"/>
      <c r="U245" s="95"/>
      <c r="V245" s="95"/>
      <c r="W245" s="95"/>
      <c r="X245" s="95"/>
    </row>
    <row r="246" ht="15.75" customHeight="1">
      <c r="L246" s="97"/>
      <c r="M246" s="95"/>
      <c r="N246" s="95"/>
      <c r="O246" s="95"/>
      <c r="P246" s="95"/>
      <c r="Q246" s="95"/>
      <c r="R246" s="97"/>
      <c r="S246" s="95"/>
      <c r="T246" s="95"/>
      <c r="U246" s="95"/>
      <c r="V246" s="95"/>
      <c r="W246" s="95"/>
      <c r="X246" s="95"/>
    </row>
    <row r="247" ht="15.75" customHeight="1">
      <c r="L247" s="97"/>
      <c r="M247" s="95"/>
      <c r="N247" s="95"/>
      <c r="O247" s="95"/>
      <c r="P247" s="95"/>
      <c r="Q247" s="95"/>
      <c r="R247" s="97"/>
      <c r="S247" s="95"/>
      <c r="T247" s="95"/>
      <c r="U247" s="95"/>
      <c r="V247" s="95"/>
      <c r="W247" s="95"/>
      <c r="X247" s="95"/>
    </row>
    <row r="248" ht="15.75" customHeight="1">
      <c r="L248" s="97"/>
      <c r="M248" s="95"/>
      <c r="N248" s="95"/>
      <c r="O248" s="95"/>
      <c r="P248" s="95"/>
      <c r="Q248" s="95"/>
      <c r="R248" s="97"/>
      <c r="S248" s="95"/>
      <c r="T248" s="95"/>
      <c r="U248" s="95"/>
      <c r="V248" s="95"/>
      <c r="W248" s="95"/>
      <c r="X248" s="95"/>
    </row>
    <row r="249" ht="15.75" customHeight="1">
      <c r="L249" s="97"/>
      <c r="M249" s="95"/>
      <c r="N249" s="95"/>
      <c r="O249" s="95"/>
      <c r="P249" s="95"/>
      <c r="Q249" s="95"/>
      <c r="R249" s="97"/>
      <c r="S249" s="95"/>
      <c r="T249" s="95"/>
      <c r="U249" s="95"/>
      <c r="V249" s="95"/>
      <c r="W249" s="95"/>
      <c r="X249" s="95"/>
    </row>
    <row r="250" ht="15.75" customHeight="1">
      <c r="L250" s="97"/>
      <c r="M250" s="95"/>
      <c r="N250" s="95"/>
      <c r="O250" s="95"/>
      <c r="P250" s="95"/>
      <c r="Q250" s="95"/>
      <c r="R250" s="97"/>
      <c r="S250" s="95"/>
      <c r="T250" s="95"/>
      <c r="U250" s="95"/>
      <c r="V250" s="95"/>
      <c r="W250" s="95"/>
      <c r="X250" s="95"/>
    </row>
    <row r="251" ht="15.75" customHeight="1">
      <c r="L251" s="97"/>
      <c r="M251" s="95"/>
      <c r="N251" s="95"/>
      <c r="O251" s="95"/>
      <c r="P251" s="95"/>
      <c r="Q251" s="95"/>
      <c r="R251" s="97"/>
      <c r="S251" s="95"/>
      <c r="T251" s="95"/>
      <c r="U251" s="95"/>
      <c r="V251" s="95"/>
      <c r="W251" s="95"/>
      <c r="X251" s="95"/>
    </row>
    <row r="252" ht="15.75" customHeight="1">
      <c r="L252" s="97"/>
      <c r="M252" s="95"/>
      <c r="N252" s="95"/>
      <c r="O252" s="95"/>
      <c r="P252" s="95"/>
      <c r="Q252" s="95"/>
      <c r="R252" s="97"/>
      <c r="S252" s="95"/>
      <c r="T252" s="95"/>
      <c r="U252" s="95"/>
      <c r="V252" s="95"/>
      <c r="W252" s="95"/>
      <c r="X252" s="95"/>
    </row>
    <row r="253" ht="15.75" customHeight="1">
      <c r="L253" s="97"/>
      <c r="M253" s="95"/>
      <c r="N253" s="95"/>
      <c r="O253" s="95"/>
      <c r="P253" s="95"/>
      <c r="Q253" s="95"/>
      <c r="R253" s="97"/>
      <c r="S253" s="95"/>
      <c r="T253" s="95"/>
      <c r="U253" s="95"/>
      <c r="V253" s="95"/>
      <c r="W253" s="95"/>
      <c r="X253" s="95"/>
    </row>
    <row r="254" ht="15.75" customHeight="1">
      <c r="L254" s="97"/>
      <c r="M254" s="95"/>
      <c r="N254" s="95"/>
      <c r="O254" s="95"/>
      <c r="P254" s="95"/>
      <c r="Q254" s="95"/>
      <c r="R254" s="97"/>
      <c r="S254" s="95"/>
      <c r="T254" s="95"/>
      <c r="U254" s="95"/>
      <c r="V254" s="95"/>
      <c r="W254" s="95"/>
      <c r="X254" s="95"/>
    </row>
    <row r="255" ht="15.75" customHeight="1">
      <c r="L255" s="97"/>
      <c r="M255" s="95"/>
      <c r="N255" s="95"/>
      <c r="O255" s="95"/>
      <c r="P255" s="95"/>
      <c r="Q255" s="95"/>
      <c r="R255" s="97"/>
      <c r="S255" s="95"/>
      <c r="T255" s="95"/>
      <c r="U255" s="95"/>
      <c r="V255" s="95"/>
      <c r="W255" s="95"/>
      <c r="X255" s="95"/>
    </row>
    <row r="256" ht="15.75" customHeight="1">
      <c r="L256" s="97"/>
      <c r="M256" s="95"/>
      <c r="N256" s="95"/>
      <c r="O256" s="95"/>
      <c r="P256" s="95"/>
      <c r="Q256" s="95"/>
      <c r="R256" s="97"/>
      <c r="S256" s="95"/>
      <c r="T256" s="95"/>
      <c r="U256" s="95"/>
      <c r="V256" s="95"/>
      <c r="W256" s="95"/>
      <c r="X256" s="95"/>
    </row>
    <row r="257" ht="15.75" customHeight="1">
      <c r="L257" s="97"/>
      <c r="M257" s="95"/>
      <c r="N257" s="95"/>
      <c r="O257" s="95"/>
      <c r="P257" s="95"/>
      <c r="Q257" s="95"/>
      <c r="R257" s="97"/>
      <c r="S257" s="95"/>
      <c r="T257" s="95"/>
      <c r="U257" s="95"/>
      <c r="V257" s="95"/>
      <c r="W257" s="95"/>
      <c r="X257" s="95"/>
    </row>
    <row r="258" ht="15.75" customHeight="1">
      <c r="L258" s="97"/>
      <c r="M258" s="95"/>
      <c r="N258" s="95"/>
      <c r="O258" s="95"/>
      <c r="P258" s="95"/>
      <c r="Q258" s="95"/>
      <c r="R258" s="97"/>
      <c r="S258" s="95"/>
      <c r="T258" s="95"/>
      <c r="U258" s="95"/>
      <c r="V258" s="95"/>
      <c r="W258" s="95"/>
      <c r="X258" s="95"/>
    </row>
    <row r="259" ht="15.75" customHeight="1">
      <c r="L259" s="97"/>
      <c r="M259" s="95"/>
      <c r="N259" s="95"/>
      <c r="O259" s="95"/>
      <c r="P259" s="95"/>
      <c r="Q259" s="95"/>
      <c r="R259" s="97"/>
      <c r="S259" s="95"/>
      <c r="T259" s="95"/>
      <c r="U259" s="95"/>
      <c r="V259" s="95"/>
      <c r="W259" s="95"/>
      <c r="X259" s="95"/>
    </row>
    <row r="260" ht="15.75" customHeight="1">
      <c r="L260" s="97"/>
      <c r="M260" s="95"/>
      <c r="N260" s="95"/>
      <c r="O260" s="95"/>
      <c r="P260" s="95"/>
      <c r="Q260" s="95"/>
      <c r="R260" s="97"/>
      <c r="S260" s="95"/>
      <c r="T260" s="95"/>
      <c r="U260" s="95"/>
      <c r="V260" s="95"/>
      <c r="W260" s="95"/>
      <c r="X260" s="95"/>
    </row>
    <row r="261" ht="15.75" customHeight="1">
      <c r="L261" s="97"/>
      <c r="M261" s="95"/>
      <c r="N261" s="95"/>
      <c r="O261" s="95"/>
      <c r="P261" s="95"/>
      <c r="Q261" s="95"/>
      <c r="R261" s="97"/>
      <c r="S261" s="95"/>
      <c r="T261" s="95"/>
      <c r="U261" s="95"/>
      <c r="V261" s="95"/>
      <c r="W261" s="95"/>
      <c r="X261" s="95"/>
    </row>
    <row r="262" ht="15.75" customHeight="1">
      <c r="L262" s="97"/>
      <c r="M262" s="95"/>
      <c r="N262" s="95"/>
      <c r="O262" s="95"/>
      <c r="P262" s="95"/>
      <c r="Q262" s="95"/>
      <c r="R262" s="97"/>
      <c r="S262" s="95"/>
      <c r="T262" s="95"/>
      <c r="U262" s="95"/>
      <c r="V262" s="95"/>
      <c r="W262" s="95"/>
      <c r="X262" s="95"/>
    </row>
    <row r="263" ht="15.75" customHeight="1">
      <c r="L263" s="97"/>
      <c r="M263" s="95"/>
      <c r="N263" s="95"/>
      <c r="O263" s="95"/>
      <c r="P263" s="95"/>
      <c r="Q263" s="95"/>
      <c r="R263" s="97"/>
      <c r="S263" s="95"/>
      <c r="T263" s="95"/>
      <c r="U263" s="95"/>
      <c r="V263" s="95"/>
      <c r="W263" s="95"/>
      <c r="X263" s="95"/>
    </row>
    <row r="264" ht="15.75" customHeight="1">
      <c r="L264" s="97"/>
      <c r="M264" s="95"/>
      <c r="N264" s="95"/>
      <c r="O264" s="95"/>
      <c r="P264" s="95"/>
      <c r="Q264" s="95"/>
      <c r="R264" s="97"/>
      <c r="S264" s="95"/>
      <c r="T264" s="95"/>
      <c r="U264" s="95"/>
      <c r="V264" s="95"/>
      <c r="W264" s="95"/>
      <c r="X264" s="95"/>
    </row>
    <row r="265" ht="15.75" customHeight="1">
      <c r="L265" s="97"/>
      <c r="M265" s="95"/>
      <c r="N265" s="95"/>
      <c r="O265" s="95"/>
      <c r="P265" s="95"/>
      <c r="Q265" s="95"/>
      <c r="R265" s="97"/>
      <c r="S265" s="95"/>
      <c r="T265" s="95"/>
      <c r="U265" s="95"/>
      <c r="V265" s="95"/>
      <c r="W265" s="95"/>
      <c r="X265" s="95"/>
    </row>
    <row r="266" ht="15.75" customHeight="1">
      <c r="L266" s="97"/>
      <c r="M266" s="95"/>
      <c r="N266" s="95"/>
      <c r="O266" s="95"/>
      <c r="P266" s="95"/>
      <c r="Q266" s="95"/>
      <c r="R266" s="97"/>
      <c r="S266" s="95"/>
      <c r="T266" s="95"/>
      <c r="U266" s="95"/>
      <c r="V266" s="95"/>
      <c r="W266" s="95"/>
      <c r="X266" s="95"/>
    </row>
    <row r="267" ht="15.75" customHeight="1">
      <c r="L267" s="97"/>
      <c r="M267" s="95"/>
      <c r="N267" s="95"/>
      <c r="O267" s="95"/>
      <c r="P267" s="95"/>
      <c r="Q267" s="95"/>
      <c r="R267" s="97"/>
      <c r="S267" s="95"/>
      <c r="T267" s="95"/>
      <c r="U267" s="95"/>
      <c r="V267" s="95"/>
      <c r="W267" s="95"/>
      <c r="X267" s="95"/>
    </row>
    <row r="268" ht="15.75" customHeight="1">
      <c r="L268" s="97"/>
      <c r="M268" s="95"/>
      <c r="N268" s="95"/>
      <c r="O268" s="95"/>
      <c r="P268" s="95"/>
      <c r="Q268" s="95"/>
      <c r="R268" s="97"/>
      <c r="S268" s="95"/>
      <c r="T268" s="95"/>
      <c r="U268" s="95"/>
      <c r="V268" s="95"/>
      <c r="W268" s="95"/>
      <c r="X268" s="95"/>
    </row>
    <row r="269" ht="15.75" customHeight="1">
      <c r="L269" s="97"/>
      <c r="M269" s="95"/>
      <c r="N269" s="95"/>
      <c r="O269" s="95"/>
      <c r="P269" s="95"/>
      <c r="Q269" s="95"/>
      <c r="R269" s="97"/>
      <c r="S269" s="95"/>
      <c r="T269" s="95"/>
      <c r="U269" s="95"/>
      <c r="V269" s="95"/>
      <c r="W269" s="95"/>
      <c r="X269" s="95"/>
    </row>
    <row r="270" ht="15.75" customHeight="1">
      <c r="L270" s="97"/>
      <c r="M270" s="95"/>
      <c r="N270" s="95"/>
      <c r="O270" s="95"/>
      <c r="P270" s="95"/>
      <c r="Q270" s="95"/>
      <c r="R270" s="97"/>
      <c r="S270" s="95"/>
      <c r="T270" s="95"/>
      <c r="U270" s="95"/>
      <c r="V270" s="95"/>
      <c r="W270" s="95"/>
      <c r="X270" s="95"/>
    </row>
    <row r="271" ht="15.75" customHeight="1">
      <c r="L271" s="97"/>
      <c r="M271" s="95"/>
      <c r="N271" s="95"/>
      <c r="O271" s="95"/>
      <c r="P271" s="95"/>
      <c r="Q271" s="95"/>
      <c r="R271" s="97"/>
      <c r="S271" s="95"/>
      <c r="T271" s="95"/>
      <c r="U271" s="95"/>
      <c r="V271" s="95"/>
      <c r="W271" s="95"/>
      <c r="X271" s="95"/>
    </row>
    <row r="272" ht="15.75" customHeight="1">
      <c r="L272" s="97"/>
      <c r="M272" s="95"/>
      <c r="N272" s="95"/>
      <c r="O272" s="95"/>
      <c r="P272" s="95"/>
      <c r="Q272" s="95"/>
      <c r="R272" s="97"/>
      <c r="S272" s="95"/>
      <c r="T272" s="95"/>
      <c r="U272" s="95"/>
      <c r="V272" s="95"/>
      <c r="W272" s="95"/>
      <c r="X272" s="95"/>
    </row>
    <row r="273" ht="15.75" customHeight="1">
      <c r="L273" s="97"/>
      <c r="M273" s="95"/>
      <c r="N273" s="95"/>
      <c r="O273" s="95"/>
      <c r="P273" s="95"/>
      <c r="Q273" s="95"/>
      <c r="R273" s="97"/>
      <c r="S273" s="95"/>
      <c r="T273" s="95"/>
      <c r="U273" s="95"/>
      <c r="V273" s="95"/>
      <c r="W273" s="95"/>
      <c r="X273" s="95"/>
    </row>
    <row r="274" ht="15.75" customHeight="1">
      <c r="L274" s="97"/>
      <c r="M274" s="95"/>
      <c r="N274" s="95"/>
      <c r="O274" s="95"/>
      <c r="P274" s="95"/>
      <c r="Q274" s="95"/>
      <c r="R274" s="97"/>
      <c r="S274" s="95"/>
      <c r="T274" s="95"/>
      <c r="U274" s="95"/>
      <c r="V274" s="95"/>
      <c r="W274" s="95"/>
      <c r="X274" s="95"/>
    </row>
    <row r="275" ht="15.75" customHeight="1">
      <c r="L275" s="97"/>
      <c r="M275" s="95"/>
      <c r="N275" s="95"/>
      <c r="O275" s="95"/>
      <c r="P275" s="95"/>
      <c r="Q275" s="95"/>
      <c r="R275" s="97"/>
      <c r="S275" s="95"/>
      <c r="T275" s="95"/>
      <c r="U275" s="95"/>
      <c r="V275" s="95"/>
      <c r="W275" s="95"/>
      <c r="X275" s="95"/>
    </row>
    <row r="276" ht="15.75" customHeight="1">
      <c r="L276" s="97"/>
      <c r="M276" s="95"/>
      <c r="N276" s="95"/>
      <c r="O276" s="95"/>
      <c r="P276" s="95"/>
      <c r="Q276" s="95"/>
      <c r="R276" s="97"/>
      <c r="S276" s="95"/>
      <c r="T276" s="95"/>
      <c r="U276" s="95"/>
      <c r="V276" s="95"/>
      <c r="W276" s="95"/>
      <c r="X276" s="95"/>
    </row>
    <row r="277" ht="15.75" customHeight="1">
      <c r="L277" s="97"/>
      <c r="M277" s="95"/>
      <c r="N277" s="95"/>
      <c r="O277" s="95"/>
      <c r="P277" s="95"/>
      <c r="Q277" s="95"/>
      <c r="R277" s="97"/>
      <c r="S277" s="95"/>
      <c r="T277" s="95"/>
      <c r="U277" s="95"/>
      <c r="V277" s="95"/>
      <c r="W277" s="95"/>
      <c r="X277" s="95"/>
    </row>
    <row r="278" ht="15.75" customHeight="1">
      <c r="L278" s="97"/>
      <c r="M278" s="95"/>
      <c r="N278" s="95"/>
      <c r="O278" s="95"/>
      <c r="P278" s="95"/>
      <c r="Q278" s="95"/>
      <c r="R278" s="97"/>
      <c r="S278" s="95"/>
      <c r="T278" s="95"/>
      <c r="U278" s="95"/>
      <c r="V278" s="95"/>
      <c r="W278" s="95"/>
      <c r="X278" s="95"/>
    </row>
    <row r="279" ht="15.75" customHeight="1">
      <c r="L279" s="97"/>
      <c r="M279" s="95"/>
      <c r="N279" s="95"/>
      <c r="O279" s="95"/>
      <c r="P279" s="95"/>
      <c r="Q279" s="95"/>
      <c r="R279" s="97"/>
      <c r="S279" s="95"/>
      <c r="T279" s="95"/>
      <c r="U279" s="95"/>
      <c r="V279" s="95"/>
      <c r="W279" s="95"/>
      <c r="X279" s="95"/>
    </row>
    <row r="280" ht="15.75" customHeight="1">
      <c r="L280" s="97"/>
      <c r="M280" s="95"/>
      <c r="N280" s="95"/>
      <c r="O280" s="95"/>
      <c r="P280" s="95"/>
      <c r="Q280" s="95"/>
      <c r="R280" s="97"/>
      <c r="S280" s="95"/>
      <c r="T280" s="95"/>
      <c r="U280" s="95"/>
      <c r="V280" s="95"/>
      <c r="W280" s="95"/>
      <c r="X280" s="95"/>
    </row>
    <row r="281" ht="15.75" customHeight="1">
      <c r="L281" s="97"/>
      <c r="M281" s="95"/>
      <c r="N281" s="95"/>
      <c r="O281" s="95"/>
      <c r="P281" s="95"/>
      <c r="Q281" s="95"/>
      <c r="R281" s="97"/>
      <c r="S281" s="95"/>
      <c r="T281" s="95"/>
      <c r="U281" s="95"/>
      <c r="V281" s="95"/>
      <c r="W281" s="95"/>
      <c r="X281" s="95"/>
    </row>
    <row r="282" ht="15.75" customHeight="1">
      <c r="L282" s="97"/>
      <c r="M282" s="95"/>
      <c r="N282" s="95"/>
      <c r="O282" s="95"/>
      <c r="P282" s="95"/>
      <c r="Q282" s="95"/>
      <c r="R282" s="97"/>
      <c r="S282" s="95"/>
      <c r="T282" s="95"/>
      <c r="U282" s="95"/>
      <c r="V282" s="95"/>
      <c r="W282" s="95"/>
      <c r="X282" s="95"/>
    </row>
    <row r="283" ht="15.75" customHeight="1">
      <c r="L283" s="97"/>
      <c r="M283" s="95"/>
      <c r="N283" s="95"/>
      <c r="O283" s="95"/>
      <c r="P283" s="95"/>
      <c r="Q283" s="95"/>
      <c r="R283" s="97"/>
      <c r="S283" s="95"/>
      <c r="T283" s="95"/>
      <c r="U283" s="95"/>
      <c r="V283" s="95"/>
      <c r="W283" s="95"/>
      <c r="X283" s="95"/>
    </row>
    <row r="284" ht="15.75" customHeight="1">
      <c r="L284" s="97"/>
      <c r="M284" s="95"/>
      <c r="N284" s="95"/>
      <c r="O284" s="95"/>
      <c r="P284" s="95"/>
      <c r="Q284" s="95"/>
      <c r="R284" s="97"/>
      <c r="S284" s="95"/>
      <c r="T284" s="95"/>
      <c r="U284" s="95"/>
      <c r="V284" s="95"/>
      <c r="W284" s="95"/>
      <c r="X284" s="95"/>
    </row>
    <row r="285" ht="15.75" customHeight="1">
      <c r="L285" s="97"/>
      <c r="M285" s="95"/>
      <c r="N285" s="95"/>
      <c r="O285" s="95"/>
      <c r="P285" s="95"/>
      <c r="Q285" s="95"/>
      <c r="R285" s="97"/>
      <c r="S285" s="95"/>
      <c r="T285" s="95"/>
      <c r="U285" s="95"/>
      <c r="V285" s="95"/>
      <c r="W285" s="95"/>
      <c r="X285" s="95"/>
    </row>
    <row r="286" ht="15.75" customHeight="1">
      <c r="L286" s="97"/>
      <c r="M286" s="95"/>
      <c r="N286" s="95"/>
      <c r="O286" s="95"/>
      <c r="P286" s="95"/>
      <c r="Q286" s="95"/>
      <c r="R286" s="97"/>
      <c r="S286" s="95"/>
      <c r="T286" s="95"/>
      <c r="U286" s="95"/>
      <c r="V286" s="95"/>
      <c r="W286" s="95"/>
      <c r="X286" s="95"/>
    </row>
  </sheetData>
  <mergeCells count="51">
    <mergeCell ref="A1:U1"/>
    <mergeCell ref="A2:U2"/>
    <mergeCell ref="I4:M4"/>
    <mergeCell ref="I5:M5"/>
    <mergeCell ref="I6:M6"/>
    <mergeCell ref="I7:M7"/>
    <mergeCell ref="B42:R42"/>
    <mergeCell ref="B43:J43"/>
    <mergeCell ref="L43:T43"/>
    <mergeCell ref="B44:J44"/>
    <mergeCell ref="L44:T44"/>
    <mergeCell ref="B45:J45"/>
    <mergeCell ref="L45:T45"/>
    <mergeCell ref="L46:T46"/>
    <mergeCell ref="B46:J46"/>
    <mergeCell ref="B47:J47"/>
    <mergeCell ref="B48:J48"/>
    <mergeCell ref="B49:J49"/>
    <mergeCell ref="B50:J50"/>
    <mergeCell ref="B51:J51"/>
    <mergeCell ref="B52:J52"/>
    <mergeCell ref="L54:T54"/>
    <mergeCell ref="L55:T55"/>
    <mergeCell ref="L56:T56"/>
    <mergeCell ref="L47:T47"/>
    <mergeCell ref="L48:T48"/>
    <mergeCell ref="L49:T49"/>
    <mergeCell ref="L50:T50"/>
    <mergeCell ref="L51:T51"/>
    <mergeCell ref="L52:T52"/>
    <mergeCell ref="L53:T53"/>
    <mergeCell ref="B53:J53"/>
    <mergeCell ref="B54:J54"/>
    <mergeCell ref="B55:J55"/>
    <mergeCell ref="B56:J56"/>
    <mergeCell ref="B59:J59"/>
    <mergeCell ref="B60:J60"/>
    <mergeCell ref="B61:J61"/>
    <mergeCell ref="B69:J69"/>
    <mergeCell ref="B70:J70"/>
    <mergeCell ref="B71:J71"/>
    <mergeCell ref="B72:J72"/>
    <mergeCell ref="B77:T83"/>
    <mergeCell ref="B86:T89"/>
    <mergeCell ref="B62:J62"/>
    <mergeCell ref="B63:J63"/>
    <mergeCell ref="B64:J64"/>
    <mergeCell ref="B65:J65"/>
    <mergeCell ref="B66:J66"/>
    <mergeCell ref="B67:J67"/>
    <mergeCell ref="B68:J6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6" width="7.0"/>
  </cols>
  <sheetData>
    <row r="1" ht="15.75" customHeight="1">
      <c r="A1" s="1"/>
      <c r="B1" s="1"/>
      <c r="C1" s="2">
        <v>1.0</v>
      </c>
      <c r="G1" s="2">
        <v>2.0</v>
      </c>
      <c r="K1" s="1"/>
      <c r="L1" s="1"/>
      <c r="M1" s="1"/>
      <c r="N1" s="1"/>
      <c r="O1" s="1"/>
      <c r="P1" s="1"/>
      <c r="Q1" s="1"/>
      <c r="R1" s="1"/>
      <c r="S1" s="1"/>
      <c r="T1" s="1"/>
      <c r="U1" s="1"/>
      <c r="V1" s="1"/>
      <c r="W1" s="1"/>
      <c r="X1" s="1"/>
      <c r="Y1" s="1"/>
      <c r="Z1" s="1"/>
    </row>
    <row r="2" ht="15.75" customHeight="1">
      <c r="A2" s="2"/>
      <c r="B2" s="12"/>
      <c r="C2" s="174" t="s">
        <v>8</v>
      </c>
      <c r="D2" s="10" t="s">
        <v>9</v>
      </c>
      <c r="E2" s="10" t="s">
        <v>10</v>
      </c>
      <c r="F2" s="175" t="s">
        <v>11</v>
      </c>
      <c r="G2" s="176" t="s">
        <v>8</v>
      </c>
      <c r="H2" s="10" t="s">
        <v>9</v>
      </c>
      <c r="I2" s="10" t="s">
        <v>10</v>
      </c>
      <c r="J2" s="11" t="s">
        <v>11</v>
      </c>
      <c r="K2" s="2"/>
      <c r="L2" s="2"/>
      <c r="M2" s="2"/>
      <c r="N2" s="2"/>
      <c r="O2" s="2"/>
      <c r="P2" s="2"/>
      <c r="Q2" s="2"/>
      <c r="R2" s="2"/>
      <c r="S2" s="2"/>
      <c r="T2" s="2"/>
      <c r="U2" s="2"/>
      <c r="V2" s="2"/>
      <c r="W2" s="2"/>
      <c r="X2" s="2"/>
      <c r="Y2" s="2"/>
      <c r="Z2" s="2"/>
    </row>
    <row r="3">
      <c r="B3" s="177">
        <v>0.0</v>
      </c>
      <c r="C3" s="178">
        <v>-6.0</v>
      </c>
      <c r="D3" s="179">
        <v>-7.0</v>
      </c>
      <c r="E3" s="179">
        <v>-5.7</v>
      </c>
      <c r="F3" s="180">
        <v>-6.0</v>
      </c>
      <c r="G3" s="181">
        <v>7.5</v>
      </c>
      <c r="H3" s="179">
        <v>7.0</v>
      </c>
      <c r="I3" s="179">
        <v>7.5</v>
      </c>
      <c r="J3" s="182">
        <v>7.5</v>
      </c>
    </row>
    <row r="4">
      <c r="B4" s="183">
        <v>1.0</v>
      </c>
      <c r="C4" s="184">
        <v>-5.3</v>
      </c>
      <c r="D4" s="185">
        <v>-4.6</v>
      </c>
      <c r="E4" s="185">
        <v>-4.3</v>
      </c>
      <c r="F4" s="186">
        <v>-4.7</v>
      </c>
      <c r="G4" s="187">
        <v>6.5</v>
      </c>
      <c r="H4" s="185">
        <v>6.0</v>
      </c>
      <c r="I4" s="185">
        <v>7.0</v>
      </c>
      <c r="J4" s="188">
        <v>7.0</v>
      </c>
    </row>
    <row r="5">
      <c r="B5" s="183">
        <v>2.0</v>
      </c>
      <c r="C5" s="184">
        <v>-4.0</v>
      </c>
      <c r="D5" s="185">
        <v>-2.5</v>
      </c>
      <c r="E5" s="185">
        <v>-3.5</v>
      </c>
      <c r="F5" s="186">
        <v>-3.5</v>
      </c>
      <c r="G5" s="187">
        <v>4.3</v>
      </c>
      <c r="H5" s="185">
        <v>4.0</v>
      </c>
      <c r="I5" s="185">
        <v>6.0</v>
      </c>
      <c r="J5" s="188">
        <v>5.6</v>
      </c>
    </row>
    <row r="6">
      <c r="B6" s="183">
        <v>3.0</v>
      </c>
      <c r="C6" s="184">
        <v>-2.5</v>
      </c>
      <c r="D6" s="185">
        <v>-1.3</v>
      </c>
      <c r="E6" s="185">
        <v>-1.5</v>
      </c>
      <c r="F6" s="186">
        <v>-1.5</v>
      </c>
      <c r="G6" s="187">
        <v>2.5</v>
      </c>
      <c r="H6" s="185">
        <v>2.5</v>
      </c>
      <c r="I6" s="185">
        <v>4.0</v>
      </c>
      <c r="J6" s="188">
        <v>4.0</v>
      </c>
    </row>
    <row r="7">
      <c r="B7" s="183">
        <v>4.0</v>
      </c>
      <c r="C7" s="184">
        <v>-1.7</v>
      </c>
      <c r="D7" s="185">
        <v>1.0</v>
      </c>
      <c r="E7" s="185">
        <v>-0.7</v>
      </c>
      <c r="F7" s="186">
        <v>0.5</v>
      </c>
      <c r="G7" s="187">
        <v>1.5</v>
      </c>
      <c r="H7" s="185">
        <v>0.5</v>
      </c>
      <c r="I7" s="185">
        <v>2.5</v>
      </c>
      <c r="J7" s="188">
        <v>2.5</v>
      </c>
    </row>
    <row r="8">
      <c r="B8" s="183">
        <v>5.0</v>
      </c>
      <c r="C8" s="184">
        <v>-1.3</v>
      </c>
      <c r="D8" s="185">
        <v>3.0</v>
      </c>
      <c r="E8" s="185">
        <v>0.5</v>
      </c>
      <c r="F8" s="186">
        <v>2.0</v>
      </c>
      <c r="G8" s="187">
        <v>0.5</v>
      </c>
      <c r="H8" s="185">
        <v>0.0</v>
      </c>
      <c r="I8" s="185">
        <v>1.5</v>
      </c>
      <c r="J8" s="188">
        <v>1.5</v>
      </c>
    </row>
    <row r="9">
      <c r="B9" s="183">
        <v>6.0</v>
      </c>
      <c r="C9" s="184">
        <v>0.0</v>
      </c>
      <c r="D9" s="185">
        <v>3.5</v>
      </c>
      <c r="E9" s="185">
        <v>1.0</v>
      </c>
      <c r="F9" s="186">
        <v>3.0</v>
      </c>
      <c r="G9" s="187">
        <v>0.0</v>
      </c>
      <c r="H9" s="185">
        <v>-2.0</v>
      </c>
      <c r="I9" s="185">
        <v>0.5</v>
      </c>
      <c r="J9" s="188">
        <v>0.5</v>
      </c>
    </row>
    <row r="10">
      <c r="B10" s="183">
        <v>7.0</v>
      </c>
      <c r="C10" s="184">
        <v>0.5</v>
      </c>
      <c r="D10" s="185">
        <v>5.3</v>
      </c>
      <c r="E10" s="185">
        <v>2.5</v>
      </c>
      <c r="F10" s="186">
        <v>5.3</v>
      </c>
      <c r="G10" s="187">
        <v>-1.3</v>
      </c>
      <c r="H10" s="185">
        <v>-3.5</v>
      </c>
      <c r="I10" s="185">
        <v>-1.3</v>
      </c>
      <c r="J10" s="188">
        <v>0.0</v>
      </c>
    </row>
    <row r="11">
      <c r="B11" s="183">
        <v>8.0</v>
      </c>
      <c r="C11" s="184">
        <v>1.0</v>
      </c>
      <c r="D11" s="185">
        <v>5.7</v>
      </c>
      <c r="E11" s="185">
        <v>3.0</v>
      </c>
      <c r="F11" s="186">
        <v>5.7</v>
      </c>
      <c r="G11" s="187">
        <v>-1.5</v>
      </c>
      <c r="H11" s="185">
        <v>-4.3</v>
      </c>
      <c r="I11" s="185">
        <v>-2.0</v>
      </c>
      <c r="J11" s="188">
        <v>-1.3</v>
      </c>
    </row>
    <row r="12">
      <c r="B12" s="183">
        <v>9.0</v>
      </c>
      <c r="C12" s="184">
        <v>2.0</v>
      </c>
      <c r="D12" s="185">
        <v>6.0</v>
      </c>
      <c r="E12" s="185">
        <v>4.0</v>
      </c>
      <c r="F12" s="186">
        <v>6.0</v>
      </c>
      <c r="G12" s="187">
        <v>-2.5</v>
      </c>
      <c r="H12" s="185">
        <v>-5.3</v>
      </c>
      <c r="I12" s="185">
        <v>-3.0</v>
      </c>
      <c r="J12" s="188">
        <v>-2.5</v>
      </c>
    </row>
    <row r="13">
      <c r="B13" s="183">
        <v>10.0</v>
      </c>
      <c r="C13" s="184">
        <v>3.0</v>
      </c>
      <c r="D13" s="185">
        <v>6.5</v>
      </c>
      <c r="E13" s="185">
        <v>4.6</v>
      </c>
      <c r="F13" s="186">
        <v>6.3</v>
      </c>
      <c r="G13" s="187">
        <v>-3.0</v>
      </c>
      <c r="H13" s="185">
        <v>-6.0</v>
      </c>
      <c r="I13" s="185">
        <v>-4.3</v>
      </c>
      <c r="J13" s="188">
        <v>-3.5</v>
      </c>
    </row>
    <row r="14">
      <c r="B14" s="183">
        <v>11.0</v>
      </c>
      <c r="C14" s="184">
        <v>3.5</v>
      </c>
      <c r="D14" s="185">
        <v>7.0</v>
      </c>
      <c r="E14" s="185">
        <v>5.0</v>
      </c>
      <c r="F14" s="186">
        <v>6.5</v>
      </c>
      <c r="G14" s="187">
        <v>-3.5</v>
      </c>
      <c r="H14" s="185">
        <v>-6.5</v>
      </c>
      <c r="I14" s="185">
        <v>-5.3</v>
      </c>
      <c r="J14" s="188">
        <v>-5.3</v>
      </c>
    </row>
    <row r="15">
      <c r="B15" s="183">
        <v>12.0</v>
      </c>
      <c r="C15" s="184">
        <v>4.0</v>
      </c>
      <c r="D15" s="185">
        <v>7.0</v>
      </c>
      <c r="E15" s="185">
        <v>5.7</v>
      </c>
      <c r="F15" s="186">
        <v>6.7</v>
      </c>
      <c r="G15" s="187">
        <v>-4.3</v>
      </c>
      <c r="H15" s="185">
        <v>-7.0</v>
      </c>
      <c r="I15" s="185">
        <v>-6.0</v>
      </c>
      <c r="J15" s="188">
        <v>-5.7</v>
      </c>
    </row>
    <row r="16">
      <c r="B16" s="183">
        <v>13.0</v>
      </c>
      <c r="C16" s="184">
        <v>4.7</v>
      </c>
      <c r="D16" s="185">
        <v>7.0</v>
      </c>
      <c r="E16" s="185">
        <v>6.0</v>
      </c>
      <c r="F16" s="186">
        <v>7.0</v>
      </c>
      <c r="G16" s="187">
        <v>-5.3</v>
      </c>
      <c r="H16" s="185">
        <v>-7.2</v>
      </c>
      <c r="I16" s="185">
        <v>-6.5</v>
      </c>
      <c r="J16" s="188">
        <v>-6.0</v>
      </c>
    </row>
    <row r="17">
      <c r="B17" s="183">
        <v>14.0</v>
      </c>
      <c r="C17" s="184">
        <v>5.3</v>
      </c>
      <c r="D17" s="185">
        <v>7.0</v>
      </c>
      <c r="E17" s="185">
        <v>6.5</v>
      </c>
      <c r="F17" s="186">
        <v>7.3</v>
      </c>
      <c r="G17" s="187">
        <v>-5.7</v>
      </c>
      <c r="H17" s="185">
        <v>-7.2</v>
      </c>
      <c r="I17" s="185">
        <v>-6.7</v>
      </c>
      <c r="J17" s="188">
        <v>-6.5</v>
      </c>
    </row>
    <row r="18">
      <c r="B18" s="183">
        <v>15.0</v>
      </c>
      <c r="C18" s="184">
        <v>6.5</v>
      </c>
      <c r="D18" s="185">
        <v>7.0</v>
      </c>
      <c r="E18" s="185">
        <v>6.5</v>
      </c>
      <c r="F18" s="186">
        <v>7.3</v>
      </c>
      <c r="G18" s="187">
        <v>-6.0</v>
      </c>
      <c r="H18" s="185">
        <v>-7.2</v>
      </c>
      <c r="I18" s="185">
        <v>-6.7</v>
      </c>
      <c r="J18" s="188">
        <v>-7.0</v>
      </c>
    </row>
    <row r="19">
      <c r="B19" s="183">
        <v>16.0</v>
      </c>
      <c r="C19" s="184">
        <v>7.0</v>
      </c>
      <c r="D19" s="185">
        <v>7.5</v>
      </c>
      <c r="E19" s="185">
        <v>7.0</v>
      </c>
      <c r="F19" s="186">
        <v>7.3</v>
      </c>
      <c r="G19" s="187">
        <v>-6.5</v>
      </c>
      <c r="H19" s="185">
        <v>-7.3</v>
      </c>
      <c r="I19" s="185">
        <v>-7.0</v>
      </c>
      <c r="J19" s="188">
        <v>-7.3</v>
      </c>
    </row>
    <row r="20">
      <c r="B20" s="183">
        <v>17.0</v>
      </c>
      <c r="C20" s="184">
        <v>7.0</v>
      </c>
      <c r="D20" s="185">
        <v>7.5</v>
      </c>
      <c r="E20" s="185">
        <v>7.0</v>
      </c>
      <c r="F20" s="186">
        <v>7.5</v>
      </c>
      <c r="G20" s="187">
        <v>6.7</v>
      </c>
      <c r="H20" s="185">
        <v>-7.3</v>
      </c>
      <c r="I20" s="185">
        <v>-7.2</v>
      </c>
      <c r="J20" s="188">
        <v>-7.5</v>
      </c>
    </row>
    <row r="21" ht="15.75" customHeight="1">
      <c r="B21" s="183">
        <v>18.0</v>
      </c>
      <c r="C21" s="184">
        <v>7.0</v>
      </c>
      <c r="D21" s="185">
        <v>7.5</v>
      </c>
      <c r="E21" s="185">
        <v>7.0</v>
      </c>
      <c r="F21" s="186">
        <v>8.0</v>
      </c>
      <c r="G21" s="187">
        <v>7.0</v>
      </c>
      <c r="H21" s="185">
        <v>-7.3</v>
      </c>
      <c r="I21" s="185">
        <v>-7.3</v>
      </c>
      <c r="J21" s="188">
        <v>-7.7</v>
      </c>
    </row>
    <row r="22" ht="15.75" customHeight="1">
      <c r="B22" s="183">
        <v>19.0</v>
      </c>
      <c r="C22" s="184">
        <v>7.5</v>
      </c>
      <c r="D22" s="185">
        <v>7.5</v>
      </c>
      <c r="E22" s="185">
        <v>7.5</v>
      </c>
      <c r="F22" s="186">
        <v>8.0</v>
      </c>
      <c r="G22" s="187">
        <v>-7.3</v>
      </c>
      <c r="H22" s="185">
        <v>-7.5</v>
      </c>
      <c r="I22" s="185">
        <v>-7.5</v>
      </c>
      <c r="J22" s="188">
        <v>-7.9</v>
      </c>
    </row>
    <row r="23" ht="15.75" customHeight="1">
      <c r="B23" s="189">
        <v>20.0</v>
      </c>
      <c r="C23" s="190">
        <v>7.5</v>
      </c>
      <c r="D23" s="191">
        <v>8.0</v>
      </c>
      <c r="E23" s="191">
        <v>7.5</v>
      </c>
      <c r="F23" s="192">
        <v>8.0</v>
      </c>
      <c r="G23" s="193">
        <v>-7.5</v>
      </c>
      <c r="H23" s="191">
        <v>-8.0</v>
      </c>
      <c r="I23" s="191">
        <v>-8.0</v>
      </c>
      <c r="J23" s="194">
        <v>-8.0</v>
      </c>
    </row>
    <row r="24" ht="15.75" customHeight="1"/>
    <row r="25" ht="15.75" customHeight="1"/>
    <row r="26" ht="15.75" customHeight="1">
      <c r="C26" s="2">
        <v>3.0</v>
      </c>
    </row>
    <row r="27" ht="15.75" customHeight="1">
      <c r="C27" s="176" t="s">
        <v>8</v>
      </c>
      <c r="D27" s="10" t="s">
        <v>9</v>
      </c>
      <c r="E27" s="10" t="s">
        <v>10</v>
      </c>
      <c r="F27" s="11" t="s">
        <v>11</v>
      </c>
    </row>
    <row r="28" ht="15.75" customHeight="1">
      <c r="B28" s="138">
        <v>-22.0</v>
      </c>
      <c r="C28" s="195">
        <v>-8.0</v>
      </c>
      <c r="D28" s="196">
        <v>-8.0</v>
      </c>
      <c r="E28" s="196">
        <v>-8.0</v>
      </c>
      <c r="F28" s="197">
        <v>-7.5</v>
      </c>
    </row>
    <row r="29" ht="15.75" customHeight="1">
      <c r="B29" s="138">
        <v>-21.0</v>
      </c>
      <c r="C29" s="187">
        <v>-7.5</v>
      </c>
      <c r="D29" s="185">
        <v>-8.0</v>
      </c>
      <c r="E29" s="185">
        <v>-8.0</v>
      </c>
      <c r="F29" s="188">
        <v>-7.3</v>
      </c>
    </row>
    <row r="30" ht="15.75" customHeight="1">
      <c r="B30" s="138">
        <v>-20.0</v>
      </c>
      <c r="C30" s="187">
        <v>-7.0</v>
      </c>
      <c r="D30" s="185">
        <v>-8.0</v>
      </c>
      <c r="E30" s="185">
        <v>-8.0</v>
      </c>
      <c r="F30" s="188">
        <v>-7.3</v>
      </c>
    </row>
    <row r="31" ht="15.75" customHeight="1">
      <c r="B31" s="138">
        <v>-19.0</v>
      </c>
      <c r="C31" s="187">
        <v>-6.8</v>
      </c>
      <c r="D31" s="185">
        <v>-8.0</v>
      </c>
      <c r="E31" s="185">
        <v>-8.0</v>
      </c>
      <c r="F31" s="188">
        <v>-7.0</v>
      </c>
    </row>
    <row r="32" ht="15.75" customHeight="1">
      <c r="B32" s="138">
        <v>-18.0</v>
      </c>
      <c r="C32" s="187">
        <v>-6.75</v>
      </c>
      <c r="D32" s="185">
        <v>-7.0</v>
      </c>
      <c r="E32" s="185">
        <v>-7.5</v>
      </c>
      <c r="F32" s="188">
        <v>-6.7</v>
      </c>
    </row>
    <row r="33" ht="15.75" customHeight="1">
      <c r="B33" s="138">
        <v>-17.0</v>
      </c>
      <c r="C33" s="187">
        <v>-6.7</v>
      </c>
      <c r="D33" s="185">
        <v>-6.7</v>
      </c>
      <c r="E33" s="185">
        <v>-7.3</v>
      </c>
      <c r="F33" s="188">
        <v>-6.7</v>
      </c>
    </row>
    <row r="34" ht="15.75" customHeight="1">
      <c r="B34" s="138">
        <v>-16.0</v>
      </c>
      <c r="C34" s="187">
        <v>-6.5</v>
      </c>
      <c r="D34" s="185">
        <v>-6.7</v>
      </c>
      <c r="E34" s="185">
        <v>-7.3</v>
      </c>
      <c r="F34" s="188">
        <v>-6.7</v>
      </c>
    </row>
    <row r="35" ht="15.75" customHeight="1">
      <c r="B35" s="138">
        <v>-15.0</v>
      </c>
      <c r="C35" s="187">
        <v>-6.3</v>
      </c>
      <c r="D35" s="185">
        <v>-6.7</v>
      </c>
      <c r="E35" s="185">
        <v>-7.0</v>
      </c>
      <c r="F35" s="188">
        <v>-6.5</v>
      </c>
    </row>
    <row r="36" ht="15.75" customHeight="1">
      <c r="B36" s="138">
        <v>-14.0</v>
      </c>
      <c r="C36" s="187">
        <v>-6.1</v>
      </c>
      <c r="D36" s="185">
        <v>-6.7</v>
      </c>
      <c r="E36" s="185">
        <v>-6.5</v>
      </c>
      <c r="F36" s="188">
        <v>-6.3</v>
      </c>
    </row>
    <row r="37" ht="15.75" customHeight="1">
      <c r="B37" s="138">
        <v>-13.0</v>
      </c>
      <c r="C37" s="187">
        <v>-5.9</v>
      </c>
      <c r="D37" s="185">
        <v>-6.7</v>
      </c>
      <c r="E37" s="185">
        <v>-6.5</v>
      </c>
      <c r="F37" s="188">
        <v>-6.0</v>
      </c>
    </row>
    <row r="38" ht="15.75" customHeight="1">
      <c r="B38" s="138">
        <v>-12.0</v>
      </c>
      <c r="C38" s="187">
        <v>-5.7</v>
      </c>
      <c r="D38" s="185">
        <v>-6.7</v>
      </c>
      <c r="E38" s="185">
        <v>-6.5</v>
      </c>
      <c r="F38" s="188">
        <v>-5.85</v>
      </c>
    </row>
    <row r="39" ht="15.75" customHeight="1">
      <c r="B39" s="138">
        <v>-11.0</v>
      </c>
      <c r="C39" s="187">
        <v>-5.3</v>
      </c>
      <c r="D39" s="185">
        <v>-6.7</v>
      </c>
      <c r="E39" s="185">
        <v>-6.5</v>
      </c>
      <c r="F39" s="188">
        <v>-5.85</v>
      </c>
    </row>
    <row r="40" ht="15.75" customHeight="1">
      <c r="B40" s="138">
        <v>-10.0</v>
      </c>
      <c r="C40" s="187">
        <v>-4.3</v>
      </c>
      <c r="D40" s="185">
        <v>-6.5</v>
      </c>
      <c r="E40" s="185">
        <v>-6.0</v>
      </c>
      <c r="F40" s="188">
        <v>-5.7</v>
      </c>
    </row>
    <row r="41" ht="15.75" customHeight="1">
      <c r="B41" s="138">
        <v>-9.0</v>
      </c>
      <c r="C41" s="187">
        <v>-3.5</v>
      </c>
      <c r="D41" s="185">
        <v>-6.0</v>
      </c>
      <c r="E41" s="185">
        <v>-4.7</v>
      </c>
      <c r="F41" s="188">
        <v>-4.7</v>
      </c>
    </row>
    <row r="42" ht="15.75" customHeight="1">
      <c r="B42" s="138">
        <v>-8.0</v>
      </c>
      <c r="C42" s="187">
        <v>-3.25</v>
      </c>
      <c r="D42" s="185">
        <v>-5.7</v>
      </c>
      <c r="E42" s="185">
        <v>-4.3</v>
      </c>
      <c r="F42" s="188">
        <v>-4.3</v>
      </c>
    </row>
    <row r="43" ht="15.75" customHeight="1">
      <c r="B43" s="138">
        <v>-7.0</v>
      </c>
      <c r="C43" s="187">
        <v>-3.0</v>
      </c>
      <c r="D43" s="185">
        <v>-4.7</v>
      </c>
      <c r="E43" s="185">
        <v>-3.5</v>
      </c>
      <c r="F43" s="188">
        <v>-3.5</v>
      </c>
    </row>
    <row r="44" ht="15.75" customHeight="1">
      <c r="B44" s="138">
        <v>-6.0</v>
      </c>
      <c r="C44" s="187">
        <v>-2.75</v>
      </c>
      <c r="D44" s="185">
        <v>-4.3</v>
      </c>
      <c r="E44" s="185">
        <v>-3.0</v>
      </c>
      <c r="F44" s="188">
        <v>-3.0</v>
      </c>
    </row>
    <row r="45" ht="15.75" customHeight="1">
      <c r="B45" s="138">
        <v>-5.0</v>
      </c>
      <c r="C45" s="187">
        <v>-2.5</v>
      </c>
      <c r="D45" s="185">
        <v>-3.5</v>
      </c>
      <c r="E45" s="185">
        <v>-2.0</v>
      </c>
      <c r="F45" s="188">
        <v>-2.5</v>
      </c>
    </row>
    <row r="46" ht="15.75" customHeight="1">
      <c r="B46" s="138">
        <v>-4.0</v>
      </c>
      <c r="C46" s="187">
        <v>-1.5</v>
      </c>
      <c r="D46" s="185">
        <v>-3.0</v>
      </c>
      <c r="E46" s="185">
        <v>-1.5</v>
      </c>
      <c r="F46" s="188">
        <v>-0.5</v>
      </c>
    </row>
    <row r="47" ht="15.75" customHeight="1">
      <c r="B47" s="138">
        <v>-3.0</v>
      </c>
      <c r="C47" s="187">
        <v>-1.0</v>
      </c>
      <c r="D47" s="185">
        <v>-2.0</v>
      </c>
      <c r="E47" s="185">
        <v>-1.0</v>
      </c>
      <c r="F47" s="188">
        <v>0.0</v>
      </c>
    </row>
    <row r="48" ht="15.75" customHeight="1">
      <c r="B48" s="138">
        <v>-2.0</v>
      </c>
      <c r="C48" s="187">
        <v>-0.5</v>
      </c>
      <c r="D48" s="185">
        <v>-1.5</v>
      </c>
      <c r="E48" s="185">
        <v>-0.5</v>
      </c>
      <c r="F48" s="188">
        <v>0.3</v>
      </c>
    </row>
    <row r="49" ht="15.75" customHeight="1">
      <c r="B49" s="138">
        <v>-1.0</v>
      </c>
      <c r="C49" s="187">
        <v>-0.25</v>
      </c>
      <c r="D49" s="185">
        <v>0.0</v>
      </c>
      <c r="E49" s="185">
        <v>0.0</v>
      </c>
      <c r="F49" s="188">
        <v>0.5</v>
      </c>
    </row>
    <row r="50" ht="15.75" customHeight="1">
      <c r="B50" s="138">
        <v>0.0</v>
      </c>
      <c r="C50" s="187">
        <v>0.0</v>
      </c>
      <c r="D50" s="185">
        <v>0.5</v>
      </c>
      <c r="E50" s="185">
        <v>1.0</v>
      </c>
      <c r="F50" s="188">
        <v>1.5</v>
      </c>
    </row>
    <row r="51" ht="15.75" customHeight="1">
      <c r="B51" s="138">
        <v>1.0</v>
      </c>
      <c r="C51" s="187">
        <v>0.5</v>
      </c>
      <c r="D51" s="185">
        <v>1.0</v>
      </c>
      <c r="E51" s="185">
        <v>1.5</v>
      </c>
      <c r="F51" s="188">
        <v>3.0</v>
      </c>
    </row>
    <row r="52" ht="15.75" customHeight="1">
      <c r="B52" s="138">
        <v>2.0</v>
      </c>
      <c r="C52" s="187">
        <v>0.7</v>
      </c>
      <c r="D52" s="185">
        <v>1.5</v>
      </c>
      <c r="E52" s="185">
        <v>2.0</v>
      </c>
      <c r="F52" s="188">
        <v>4.0</v>
      </c>
    </row>
    <row r="53" ht="15.75" customHeight="1">
      <c r="B53" s="138">
        <v>3.0</v>
      </c>
      <c r="C53" s="187">
        <v>1.0</v>
      </c>
      <c r="D53" s="185">
        <v>3.0</v>
      </c>
      <c r="E53" s="185">
        <v>3.0</v>
      </c>
      <c r="F53" s="188">
        <v>4.3</v>
      </c>
    </row>
    <row r="54" ht="15.75" customHeight="1">
      <c r="B54" s="138">
        <v>4.0</v>
      </c>
      <c r="C54" s="187">
        <v>1.3</v>
      </c>
      <c r="D54" s="185">
        <v>4.0</v>
      </c>
      <c r="E54" s="185">
        <v>3.5</v>
      </c>
      <c r="F54" s="188">
        <v>5.5</v>
      </c>
    </row>
    <row r="55" ht="15.75" customHeight="1">
      <c r="B55" s="138">
        <v>5.0</v>
      </c>
      <c r="C55" s="187">
        <v>1.5</v>
      </c>
      <c r="D55" s="185">
        <v>4.3</v>
      </c>
      <c r="E55" s="185">
        <v>4.0</v>
      </c>
      <c r="F55" s="188">
        <v>5.7</v>
      </c>
    </row>
    <row r="56" ht="15.75" customHeight="1">
      <c r="B56" s="138">
        <v>6.0</v>
      </c>
      <c r="C56" s="187">
        <v>2.0</v>
      </c>
      <c r="D56" s="185">
        <v>5.0</v>
      </c>
      <c r="E56" s="185"/>
      <c r="F56" s="188">
        <v>6.0</v>
      </c>
    </row>
    <row r="57" ht="15.75" customHeight="1">
      <c r="B57" s="138">
        <v>7.0</v>
      </c>
      <c r="C57" s="187">
        <v>2.5</v>
      </c>
      <c r="D57" s="185">
        <v>5.5</v>
      </c>
      <c r="E57" s="185">
        <v>4.7</v>
      </c>
      <c r="F57" s="188">
        <v>6.3</v>
      </c>
    </row>
    <row r="58" ht="15.75" customHeight="1">
      <c r="B58" s="138">
        <v>8.0</v>
      </c>
      <c r="C58" s="187">
        <v>3.5</v>
      </c>
      <c r="D58" s="185">
        <v>6.5</v>
      </c>
      <c r="E58" s="185">
        <v>5.0</v>
      </c>
      <c r="F58" s="188">
        <v>6.5</v>
      </c>
      <c r="L58" s="138">
        <v>12.0</v>
      </c>
    </row>
    <row r="59" ht="15.75" customHeight="1">
      <c r="B59" s="138">
        <v>9.0</v>
      </c>
      <c r="C59" s="187">
        <v>4.0</v>
      </c>
      <c r="D59" s="185">
        <v>6.7</v>
      </c>
      <c r="E59" s="185">
        <v>5.5</v>
      </c>
      <c r="F59" s="188">
        <v>6.7</v>
      </c>
      <c r="L59" s="138">
        <v>250000.0</v>
      </c>
    </row>
    <row r="60" ht="15.75" customHeight="1">
      <c r="B60" s="138">
        <v>10.0</v>
      </c>
      <c r="C60" s="187">
        <v>4.7</v>
      </c>
      <c r="D60" s="185">
        <v>7.0</v>
      </c>
      <c r="E60" s="185">
        <v>6.0</v>
      </c>
      <c r="F60" s="188">
        <v>7.0</v>
      </c>
      <c r="L60" s="138">
        <f>L59*L58</f>
        <v>3000000</v>
      </c>
    </row>
    <row r="61" ht="15.75" customHeight="1">
      <c r="B61" s="138">
        <v>11.0</v>
      </c>
      <c r="C61" s="187">
        <v>4.85</v>
      </c>
      <c r="D61" s="185">
        <v>7.3</v>
      </c>
      <c r="E61" s="185">
        <v>6.2</v>
      </c>
      <c r="F61" s="188">
        <v>7.3</v>
      </c>
    </row>
    <row r="62" ht="15.75" customHeight="1">
      <c r="B62" s="138">
        <v>12.0</v>
      </c>
      <c r="C62" s="187">
        <v>5.0</v>
      </c>
      <c r="D62" s="185">
        <v>7.3</v>
      </c>
      <c r="E62" s="185">
        <v>6.3</v>
      </c>
      <c r="F62" s="188">
        <v>7.3</v>
      </c>
    </row>
    <row r="63" ht="15.75" customHeight="1">
      <c r="B63" s="138">
        <v>13.0</v>
      </c>
      <c r="C63" s="187">
        <v>5.5</v>
      </c>
      <c r="D63" s="185">
        <v>7.3</v>
      </c>
      <c r="E63" s="185">
        <v>6.5</v>
      </c>
      <c r="F63" s="188">
        <v>7.3</v>
      </c>
    </row>
    <row r="64" ht="15.75" customHeight="1">
      <c r="B64" s="138">
        <v>14.0</v>
      </c>
      <c r="C64" s="187">
        <v>6.0</v>
      </c>
      <c r="D64" s="185">
        <v>7.3</v>
      </c>
      <c r="E64" s="185">
        <v>6.7</v>
      </c>
      <c r="F64" s="188">
        <v>7.3</v>
      </c>
    </row>
    <row r="65" ht="15.75" customHeight="1">
      <c r="B65" s="138">
        <v>15.0</v>
      </c>
      <c r="C65" s="187">
        <v>6.3</v>
      </c>
      <c r="D65" s="185">
        <v>7.3</v>
      </c>
      <c r="E65" s="185">
        <v>7.0</v>
      </c>
      <c r="F65" s="188">
        <v>7.3</v>
      </c>
    </row>
    <row r="66" ht="15.75" customHeight="1">
      <c r="B66" s="138">
        <v>16.0</v>
      </c>
      <c r="C66" s="187">
        <v>6.5</v>
      </c>
      <c r="D66" s="185">
        <v>7.3</v>
      </c>
      <c r="E66" s="185">
        <v>7.3</v>
      </c>
      <c r="F66" s="188">
        <v>7.3</v>
      </c>
    </row>
    <row r="67" ht="15.75" customHeight="1">
      <c r="B67" s="138">
        <v>17.0</v>
      </c>
      <c r="C67" s="187">
        <v>6.7</v>
      </c>
      <c r="D67" s="185">
        <v>7.3</v>
      </c>
      <c r="E67" s="185">
        <v>7.3</v>
      </c>
      <c r="F67" s="188">
        <v>7.5</v>
      </c>
    </row>
    <row r="68" ht="15.75" customHeight="1">
      <c r="B68" s="138">
        <v>18.0</v>
      </c>
      <c r="C68" s="187">
        <v>7.0</v>
      </c>
      <c r="D68" s="185">
        <v>7.5</v>
      </c>
      <c r="E68" s="185">
        <v>7.3</v>
      </c>
      <c r="F68" s="188">
        <v>8.0</v>
      </c>
    </row>
    <row r="69" ht="15.75" customHeight="1">
      <c r="B69" s="138">
        <v>19.0</v>
      </c>
      <c r="C69" s="187">
        <v>7.3</v>
      </c>
      <c r="D69" s="185">
        <v>8.0</v>
      </c>
      <c r="E69" s="185">
        <v>7.3</v>
      </c>
      <c r="F69" s="188">
        <v>8.0</v>
      </c>
    </row>
    <row r="70" ht="15.75" customHeight="1">
      <c r="B70" s="138">
        <v>20.0</v>
      </c>
      <c r="C70" s="187">
        <v>7.3</v>
      </c>
      <c r="D70" s="185">
        <v>8.0</v>
      </c>
      <c r="E70" s="185">
        <v>7.5</v>
      </c>
      <c r="F70" s="188">
        <v>8.0</v>
      </c>
    </row>
    <row r="71" ht="15.75" customHeight="1">
      <c r="B71" s="138">
        <v>21.0</v>
      </c>
      <c r="C71" s="187">
        <v>7.5</v>
      </c>
      <c r="D71" s="185">
        <v>8.0</v>
      </c>
      <c r="E71" s="185">
        <v>8.0</v>
      </c>
      <c r="F71" s="188">
        <v>8.0</v>
      </c>
    </row>
    <row r="72" ht="15.75" customHeight="1">
      <c r="B72" s="138">
        <v>22.0</v>
      </c>
      <c r="C72" s="193">
        <v>8.0</v>
      </c>
      <c r="D72" s="191">
        <v>8.0</v>
      </c>
      <c r="E72" s="191">
        <v>8.0</v>
      </c>
      <c r="F72" s="194">
        <v>8.0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7.0"/>
  </cols>
  <sheetData>
    <row r="1" ht="15.75" customHeight="1">
      <c r="A1" s="1"/>
      <c r="B1" s="1"/>
      <c r="C1" s="2">
        <v>1.0</v>
      </c>
      <c r="G1" s="2">
        <v>2.0</v>
      </c>
      <c r="K1" s="1"/>
      <c r="L1" s="1"/>
      <c r="M1" s="1"/>
      <c r="N1" s="1"/>
      <c r="O1" s="1"/>
      <c r="P1" s="1"/>
      <c r="Q1" s="1"/>
      <c r="R1" s="1"/>
      <c r="S1" s="1"/>
      <c r="T1" s="1"/>
      <c r="U1" s="1"/>
      <c r="V1" s="1"/>
      <c r="W1" s="1"/>
      <c r="X1" s="1"/>
      <c r="Y1" s="1"/>
      <c r="Z1" s="1"/>
    </row>
    <row r="2" ht="15.75" customHeight="1">
      <c r="A2" s="2"/>
      <c r="B2" s="12"/>
      <c r="C2" s="174" t="s">
        <v>8</v>
      </c>
      <c r="D2" s="10" t="s">
        <v>9</v>
      </c>
      <c r="E2" s="10" t="s">
        <v>10</v>
      </c>
      <c r="F2" s="175" t="s">
        <v>11</v>
      </c>
      <c r="G2" s="176" t="s">
        <v>8</v>
      </c>
      <c r="H2" s="10" t="s">
        <v>9</v>
      </c>
      <c r="I2" s="10" t="s">
        <v>10</v>
      </c>
      <c r="J2" s="11" t="s">
        <v>11</v>
      </c>
      <c r="K2" s="2"/>
      <c r="L2" s="2"/>
      <c r="M2" s="2"/>
      <c r="N2" s="2"/>
      <c r="O2" s="2"/>
      <c r="P2" s="2"/>
      <c r="Q2" s="2"/>
      <c r="R2" s="2"/>
      <c r="S2" s="2"/>
      <c r="T2" s="2"/>
      <c r="U2" s="2"/>
      <c r="V2" s="2"/>
      <c r="W2" s="2"/>
      <c r="X2" s="2"/>
      <c r="Y2" s="2"/>
      <c r="Z2" s="2"/>
    </row>
    <row r="3">
      <c r="B3" s="177">
        <v>0.0</v>
      </c>
      <c r="C3" s="178">
        <v>-6.0</v>
      </c>
      <c r="D3" s="179">
        <v>-7.0</v>
      </c>
      <c r="E3" s="179">
        <v>-5.7</v>
      </c>
      <c r="F3" s="180">
        <v>-6.0</v>
      </c>
      <c r="G3" s="181">
        <v>7.5</v>
      </c>
      <c r="H3" s="179">
        <v>7.0</v>
      </c>
      <c r="I3" s="179">
        <v>7.5</v>
      </c>
      <c r="J3" s="182">
        <v>7.5</v>
      </c>
    </row>
    <row r="4">
      <c r="B4" s="183">
        <v>1.0</v>
      </c>
      <c r="C4" s="184">
        <v>-5.3</v>
      </c>
      <c r="D4" s="185">
        <v>-4.6</v>
      </c>
      <c r="E4" s="185">
        <v>-4.3</v>
      </c>
      <c r="F4" s="186">
        <v>-4.7</v>
      </c>
      <c r="G4" s="187">
        <v>6.5</v>
      </c>
      <c r="H4" s="185">
        <v>6.0</v>
      </c>
      <c r="I4" s="185">
        <v>7.0</v>
      </c>
      <c r="J4" s="188">
        <v>7.0</v>
      </c>
    </row>
    <row r="5">
      <c r="B5" s="183">
        <v>2.0</v>
      </c>
      <c r="C5" s="184">
        <v>-4.0</v>
      </c>
      <c r="D5" s="185">
        <v>-2.5</v>
      </c>
      <c r="E5" s="185">
        <v>-3.5</v>
      </c>
      <c r="F5" s="186">
        <v>-3.5</v>
      </c>
      <c r="G5" s="187">
        <v>4.3</v>
      </c>
      <c r="H5" s="185">
        <v>4.0</v>
      </c>
      <c r="I5" s="185">
        <v>6.0</v>
      </c>
      <c r="J5" s="188">
        <v>5.6</v>
      </c>
    </row>
    <row r="6">
      <c r="B6" s="183">
        <v>3.0</v>
      </c>
      <c r="C6" s="184">
        <v>-2.5</v>
      </c>
      <c r="D6" s="185">
        <v>-1.3</v>
      </c>
      <c r="E6" s="185">
        <v>-1.5</v>
      </c>
      <c r="F6" s="186">
        <v>-1.5</v>
      </c>
      <c r="G6" s="187">
        <v>2.5</v>
      </c>
      <c r="H6" s="185">
        <v>2.5</v>
      </c>
      <c r="I6" s="185">
        <v>4.0</v>
      </c>
      <c r="J6" s="188">
        <v>4.0</v>
      </c>
    </row>
    <row r="7">
      <c r="B7" s="183">
        <v>4.0</v>
      </c>
      <c r="C7" s="184">
        <v>-1.7</v>
      </c>
      <c r="D7" s="185">
        <v>1.0</v>
      </c>
      <c r="E7" s="185">
        <v>-0.7</v>
      </c>
      <c r="F7" s="186">
        <v>0.5</v>
      </c>
      <c r="G7" s="187">
        <v>1.5</v>
      </c>
      <c r="H7" s="185">
        <v>0.5</v>
      </c>
      <c r="I7" s="185">
        <v>2.5</v>
      </c>
      <c r="J7" s="188">
        <v>2.5</v>
      </c>
    </row>
    <row r="8">
      <c r="B8" s="183">
        <v>5.0</v>
      </c>
      <c r="C8" s="184">
        <v>-1.3</v>
      </c>
      <c r="D8" s="185">
        <v>3.0</v>
      </c>
      <c r="E8" s="185">
        <v>0.5</v>
      </c>
      <c r="F8" s="186">
        <v>2.0</v>
      </c>
      <c r="G8" s="187">
        <v>0.5</v>
      </c>
      <c r="H8" s="185">
        <v>0.0</v>
      </c>
      <c r="I8" s="185">
        <v>1.5</v>
      </c>
      <c r="J8" s="188">
        <v>1.5</v>
      </c>
    </row>
    <row r="9">
      <c r="B9" s="183">
        <v>6.0</v>
      </c>
      <c r="C9" s="184">
        <v>0.0</v>
      </c>
      <c r="D9" s="185">
        <v>3.5</v>
      </c>
      <c r="E9" s="185">
        <v>1.0</v>
      </c>
      <c r="F9" s="186">
        <v>3.0</v>
      </c>
      <c r="G9" s="187">
        <v>0.0</v>
      </c>
      <c r="H9" s="185">
        <v>-2.0</v>
      </c>
      <c r="I9" s="185">
        <v>0.5</v>
      </c>
      <c r="J9" s="188">
        <v>0.5</v>
      </c>
    </row>
    <row r="10">
      <c r="B10" s="183">
        <v>7.0</v>
      </c>
      <c r="C10" s="184">
        <v>0.5</v>
      </c>
      <c r="D10" s="185">
        <v>5.3</v>
      </c>
      <c r="E10" s="185">
        <v>2.5</v>
      </c>
      <c r="F10" s="186">
        <v>5.3</v>
      </c>
      <c r="G10" s="187">
        <v>-1.3</v>
      </c>
      <c r="H10" s="185">
        <v>-3.5</v>
      </c>
      <c r="I10" s="185">
        <v>-1.3</v>
      </c>
      <c r="J10" s="188">
        <v>0.0</v>
      </c>
    </row>
    <row r="11">
      <c r="B11" s="183">
        <v>8.0</v>
      </c>
      <c r="C11" s="184">
        <v>1.0</v>
      </c>
      <c r="D11" s="185">
        <v>5.7</v>
      </c>
      <c r="E11" s="185">
        <v>3.0</v>
      </c>
      <c r="F11" s="186">
        <v>5.7</v>
      </c>
      <c r="G11" s="187">
        <v>-1.5</v>
      </c>
      <c r="H11" s="185">
        <v>-4.3</v>
      </c>
      <c r="I11" s="185">
        <v>-2.0</v>
      </c>
      <c r="J11" s="188">
        <v>-1.3</v>
      </c>
    </row>
    <row r="12">
      <c r="B12" s="183">
        <v>9.0</v>
      </c>
      <c r="C12" s="184">
        <v>2.0</v>
      </c>
      <c r="D12" s="185">
        <v>6.0</v>
      </c>
      <c r="E12" s="185">
        <v>4.0</v>
      </c>
      <c r="F12" s="186">
        <v>6.0</v>
      </c>
      <c r="G12" s="187">
        <v>-2.5</v>
      </c>
      <c r="H12" s="185">
        <v>-5.3</v>
      </c>
      <c r="I12" s="185">
        <v>-3.0</v>
      </c>
      <c r="J12" s="188">
        <v>-2.5</v>
      </c>
    </row>
    <row r="13">
      <c r="B13" s="183">
        <v>10.0</v>
      </c>
      <c r="C13" s="184">
        <v>3.0</v>
      </c>
      <c r="D13" s="185">
        <v>6.5</v>
      </c>
      <c r="E13" s="185">
        <v>4.6</v>
      </c>
      <c r="F13" s="186">
        <v>6.3</v>
      </c>
      <c r="G13" s="187">
        <v>-3.0</v>
      </c>
      <c r="H13" s="185">
        <v>-6.0</v>
      </c>
      <c r="I13" s="185">
        <v>-4.3</v>
      </c>
      <c r="J13" s="188">
        <v>-3.5</v>
      </c>
    </row>
    <row r="14">
      <c r="B14" s="183">
        <v>11.0</v>
      </c>
      <c r="C14" s="184">
        <v>3.5</v>
      </c>
      <c r="D14" s="185">
        <v>7.0</v>
      </c>
      <c r="E14" s="185">
        <v>5.0</v>
      </c>
      <c r="F14" s="186">
        <v>6.5</v>
      </c>
      <c r="G14" s="187">
        <v>-3.5</v>
      </c>
      <c r="H14" s="185">
        <v>-6.5</v>
      </c>
      <c r="I14" s="185">
        <v>-5.3</v>
      </c>
      <c r="J14" s="188">
        <v>-5.3</v>
      </c>
    </row>
    <row r="15">
      <c r="B15" s="183">
        <v>12.0</v>
      </c>
      <c r="C15" s="184">
        <v>4.0</v>
      </c>
      <c r="D15" s="185">
        <v>7.0</v>
      </c>
      <c r="E15" s="185">
        <v>5.7</v>
      </c>
      <c r="F15" s="186">
        <v>6.7</v>
      </c>
      <c r="G15" s="187">
        <v>-4.3</v>
      </c>
      <c r="H15" s="185">
        <v>-7.0</v>
      </c>
      <c r="I15" s="185">
        <v>-6.0</v>
      </c>
      <c r="J15" s="188">
        <v>-5.7</v>
      </c>
    </row>
    <row r="16">
      <c r="B16" s="183">
        <v>13.0</v>
      </c>
      <c r="C16" s="184">
        <v>4.7</v>
      </c>
      <c r="D16" s="185">
        <v>7.0</v>
      </c>
      <c r="E16" s="185">
        <v>6.0</v>
      </c>
      <c r="F16" s="186">
        <v>7.0</v>
      </c>
      <c r="G16" s="187">
        <v>-5.3</v>
      </c>
      <c r="H16" s="185">
        <v>-7.2</v>
      </c>
      <c r="I16" s="185">
        <v>-6.5</v>
      </c>
      <c r="J16" s="188">
        <v>-6.0</v>
      </c>
    </row>
    <row r="17">
      <c r="B17" s="183">
        <v>14.0</v>
      </c>
      <c r="C17" s="184">
        <v>5.3</v>
      </c>
      <c r="D17" s="185">
        <v>7.0</v>
      </c>
      <c r="E17" s="185">
        <v>6.5</v>
      </c>
      <c r="F17" s="186">
        <v>7.3</v>
      </c>
      <c r="G17" s="187">
        <v>-5.7</v>
      </c>
      <c r="H17" s="185">
        <v>-7.2</v>
      </c>
      <c r="I17" s="185">
        <v>-6.7</v>
      </c>
      <c r="J17" s="188">
        <v>-6.5</v>
      </c>
    </row>
    <row r="18">
      <c r="B18" s="183">
        <v>15.0</v>
      </c>
      <c r="C18" s="184">
        <v>6.5</v>
      </c>
      <c r="D18" s="185">
        <v>7.0</v>
      </c>
      <c r="E18" s="185">
        <v>6.5</v>
      </c>
      <c r="F18" s="186">
        <v>7.3</v>
      </c>
      <c r="G18" s="187">
        <v>-6.0</v>
      </c>
      <c r="H18" s="185">
        <v>-7.2</v>
      </c>
      <c r="I18" s="185">
        <v>-6.7</v>
      </c>
      <c r="J18" s="188">
        <v>-7.0</v>
      </c>
    </row>
    <row r="19">
      <c r="B19" s="183">
        <v>16.0</v>
      </c>
      <c r="C19" s="184">
        <v>7.0</v>
      </c>
      <c r="D19" s="185">
        <v>7.5</v>
      </c>
      <c r="E19" s="185">
        <v>7.0</v>
      </c>
      <c r="F19" s="186">
        <v>7.3</v>
      </c>
      <c r="G19" s="187">
        <v>-6.5</v>
      </c>
      <c r="H19" s="185">
        <v>-7.3</v>
      </c>
      <c r="I19" s="185">
        <v>-7.0</v>
      </c>
      <c r="J19" s="188">
        <v>-7.3</v>
      </c>
    </row>
    <row r="20">
      <c r="B20" s="183">
        <v>17.0</v>
      </c>
      <c r="C20" s="184">
        <v>7.0</v>
      </c>
      <c r="D20" s="185">
        <v>7.5</v>
      </c>
      <c r="E20" s="185">
        <v>7.0</v>
      </c>
      <c r="F20" s="186">
        <v>7.5</v>
      </c>
      <c r="G20" s="187">
        <v>6.7</v>
      </c>
      <c r="H20" s="185">
        <v>-7.3</v>
      </c>
      <c r="I20" s="185">
        <v>-7.2</v>
      </c>
      <c r="J20" s="188">
        <v>-7.5</v>
      </c>
    </row>
    <row r="21" ht="15.75" customHeight="1">
      <c r="B21" s="183">
        <v>18.0</v>
      </c>
      <c r="C21" s="184">
        <v>7.0</v>
      </c>
      <c r="D21" s="185">
        <v>7.5</v>
      </c>
      <c r="E21" s="185">
        <v>7.0</v>
      </c>
      <c r="F21" s="186">
        <v>8.0</v>
      </c>
      <c r="G21" s="187">
        <v>7.0</v>
      </c>
      <c r="H21" s="185">
        <v>-7.3</v>
      </c>
      <c r="I21" s="185">
        <v>-7.3</v>
      </c>
      <c r="J21" s="188">
        <v>-7.7</v>
      </c>
    </row>
    <row r="22" ht="15.75" customHeight="1">
      <c r="B22" s="183">
        <v>19.0</v>
      </c>
      <c r="C22" s="184">
        <v>7.5</v>
      </c>
      <c r="D22" s="185">
        <v>7.5</v>
      </c>
      <c r="E22" s="185">
        <v>7.5</v>
      </c>
      <c r="F22" s="186">
        <v>8.0</v>
      </c>
      <c r="G22" s="187">
        <v>-7.3</v>
      </c>
      <c r="H22" s="185">
        <v>-7.5</v>
      </c>
      <c r="I22" s="185">
        <v>-7.5</v>
      </c>
      <c r="J22" s="188">
        <v>-7.9</v>
      </c>
    </row>
    <row r="23" ht="15.75" customHeight="1">
      <c r="B23" s="189">
        <v>20.0</v>
      </c>
      <c r="C23" s="190">
        <v>7.5</v>
      </c>
      <c r="D23" s="191">
        <v>8.0</v>
      </c>
      <c r="E23" s="191">
        <v>7.5</v>
      </c>
      <c r="F23" s="192">
        <v>8.0</v>
      </c>
      <c r="G23" s="193">
        <v>-7.5</v>
      </c>
      <c r="H23" s="191">
        <v>-8.0</v>
      </c>
      <c r="I23" s="191">
        <v>-8.0</v>
      </c>
      <c r="J23" s="194">
        <v>-8.0</v>
      </c>
    </row>
    <row r="24" ht="15.75" customHeight="1"/>
    <row r="25" ht="15.75" customHeight="1"/>
    <row r="26" ht="15.75" customHeight="1">
      <c r="C26" s="2">
        <v>3.0</v>
      </c>
    </row>
    <row r="27" ht="15.75" customHeight="1">
      <c r="C27" s="176" t="s">
        <v>8</v>
      </c>
      <c r="D27" s="10" t="s">
        <v>9</v>
      </c>
      <c r="E27" s="10" t="s">
        <v>10</v>
      </c>
      <c r="F27" s="11" t="s">
        <v>11</v>
      </c>
    </row>
    <row r="28" ht="15.75" customHeight="1">
      <c r="B28" s="138">
        <v>-22.0</v>
      </c>
      <c r="C28" s="195">
        <v>-8.0</v>
      </c>
      <c r="D28" s="196">
        <v>-8.0</v>
      </c>
      <c r="E28" s="196">
        <v>-8.0</v>
      </c>
      <c r="F28" s="197">
        <v>-7.5</v>
      </c>
    </row>
    <row r="29" ht="15.75" customHeight="1">
      <c r="B29" s="138">
        <v>-21.0</v>
      </c>
      <c r="C29" s="187">
        <v>-7.5</v>
      </c>
      <c r="D29" s="185">
        <v>-8.0</v>
      </c>
      <c r="E29" s="185">
        <v>-8.0</v>
      </c>
      <c r="F29" s="188">
        <v>-7.3</v>
      </c>
    </row>
    <row r="30" ht="15.75" customHeight="1">
      <c r="B30" s="138">
        <v>-20.0</v>
      </c>
      <c r="C30" s="187">
        <v>-7.0</v>
      </c>
      <c r="D30" s="185">
        <v>-8.0</v>
      </c>
      <c r="E30" s="185">
        <v>-8.0</v>
      </c>
      <c r="F30" s="188">
        <v>-7.3</v>
      </c>
    </row>
    <row r="31" ht="15.75" customHeight="1">
      <c r="B31" s="138">
        <v>-19.0</v>
      </c>
      <c r="C31" s="187">
        <v>-6.8</v>
      </c>
      <c r="D31" s="185">
        <v>-8.0</v>
      </c>
      <c r="E31" s="185">
        <v>-8.0</v>
      </c>
      <c r="F31" s="188">
        <v>-7.0</v>
      </c>
    </row>
    <row r="32" ht="15.75" customHeight="1">
      <c r="B32" s="138">
        <v>-18.0</v>
      </c>
      <c r="C32" s="187">
        <v>-6.75</v>
      </c>
      <c r="D32" s="185">
        <v>-7.0</v>
      </c>
      <c r="E32" s="185">
        <v>-7.5</v>
      </c>
      <c r="F32" s="188">
        <v>-6.7</v>
      </c>
    </row>
    <row r="33" ht="15.75" customHeight="1">
      <c r="B33" s="138">
        <v>-17.0</v>
      </c>
      <c r="C33" s="187">
        <v>-6.7</v>
      </c>
      <c r="D33" s="185">
        <v>-6.7</v>
      </c>
      <c r="E33" s="185">
        <v>-7.3</v>
      </c>
      <c r="F33" s="188">
        <v>-6.7</v>
      </c>
    </row>
    <row r="34" ht="15.75" customHeight="1">
      <c r="B34" s="138">
        <v>-16.0</v>
      </c>
      <c r="C34" s="187">
        <v>-6.5</v>
      </c>
      <c r="D34" s="185">
        <v>-6.7</v>
      </c>
      <c r="E34" s="185">
        <v>-7.3</v>
      </c>
      <c r="F34" s="188">
        <v>-6.7</v>
      </c>
    </row>
    <row r="35" ht="15.75" customHeight="1">
      <c r="B35" s="138">
        <v>-15.0</v>
      </c>
      <c r="C35" s="187">
        <v>-6.3</v>
      </c>
      <c r="D35" s="185">
        <v>-6.7</v>
      </c>
      <c r="E35" s="185">
        <v>-7.0</v>
      </c>
      <c r="F35" s="188">
        <v>-6.5</v>
      </c>
    </row>
    <row r="36" ht="15.75" customHeight="1">
      <c r="B36" s="138">
        <v>-14.0</v>
      </c>
      <c r="C36" s="187">
        <v>-6.1</v>
      </c>
      <c r="D36" s="185">
        <v>-6.7</v>
      </c>
      <c r="E36" s="185">
        <v>-6.5</v>
      </c>
      <c r="F36" s="188">
        <v>-6.3</v>
      </c>
    </row>
    <row r="37" ht="15.75" customHeight="1">
      <c r="B37" s="138">
        <v>-13.0</v>
      </c>
      <c r="C37" s="187">
        <v>-5.9</v>
      </c>
      <c r="D37" s="185">
        <v>-6.7</v>
      </c>
      <c r="E37" s="185">
        <v>-6.5</v>
      </c>
      <c r="F37" s="188">
        <v>-6.0</v>
      </c>
    </row>
    <row r="38" ht="15.75" customHeight="1">
      <c r="B38" s="138">
        <v>-12.0</v>
      </c>
      <c r="C38" s="187">
        <v>-5.7</v>
      </c>
      <c r="D38" s="185">
        <v>-6.7</v>
      </c>
      <c r="E38" s="185">
        <v>-6.5</v>
      </c>
      <c r="F38" s="188">
        <v>-5.85</v>
      </c>
    </row>
    <row r="39" ht="15.75" customHeight="1">
      <c r="B39" s="138">
        <v>-11.0</v>
      </c>
      <c r="C39" s="187">
        <v>-5.3</v>
      </c>
      <c r="D39" s="185">
        <v>-6.7</v>
      </c>
      <c r="E39" s="185">
        <v>-6.5</v>
      </c>
      <c r="F39" s="188">
        <v>-5.85</v>
      </c>
    </row>
    <row r="40" ht="15.75" customHeight="1">
      <c r="B40" s="138">
        <v>-10.0</v>
      </c>
      <c r="C40" s="187">
        <v>-4.3</v>
      </c>
      <c r="D40" s="185">
        <v>-6.5</v>
      </c>
      <c r="E40" s="185">
        <v>-6.0</v>
      </c>
      <c r="F40" s="188">
        <v>-5.7</v>
      </c>
    </row>
    <row r="41" ht="15.75" customHeight="1">
      <c r="B41" s="138">
        <v>-9.0</v>
      </c>
      <c r="C41" s="187">
        <v>-3.5</v>
      </c>
      <c r="D41" s="185">
        <v>-6.0</v>
      </c>
      <c r="E41" s="185">
        <v>-4.7</v>
      </c>
      <c r="F41" s="188">
        <v>-4.7</v>
      </c>
    </row>
    <row r="42" ht="15.75" customHeight="1">
      <c r="B42" s="138">
        <v>-8.0</v>
      </c>
      <c r="C42" s="187">
        <v>-3.25</v>
      </c>
      <c r="D42" s="185">
        <v>-5.7</v>
      </c>
      <c r="E42" s="185">
        <v>-4.3</v>
      </c>
      <c r="F42" s="188">
        <v>-4.3</v>
      </c>
    </row>
    <row r="43" ht="15.75" customHeight="1">
      <c r="B43" s="138">
        <v>-7.0</v>
      </c>
      <c r="C43" s="187">
        <v>-3.0</v>
      </c>
      <c r="D43" s="185">
        <v>-4.7</v>
      </c>
      <c r="E43" s="185">
        <v>-3.5</v>
      </c>
      <c r="F43" s="188">
        <v>-3.5</v>
      </c>
    </row>
    <row r="44" ht="15.75" customHeight="1">
      <c r="B44" s="138">
        <v>-6.0</v>
      </c>
      <c r="C44" s="187">
        <v>-2.75</v>
      </c>
      <c r="D44" s="185">
        <v>-4.3</v>
      </c>
      <c r="E44" s="185">
        <v>-3.0</v>
      </c>
      <c r="F44" s="188">
        <v>-3.0</v>
      </c>
    </row>
    <row r="45" ht="15.75" customHeight="1">
      <c r="B45" s="138">
        <v>-5.0</v>
      </c>
      <c r="C45" s="187">
        <v>-2.5</v>
      </c>
      <c r="D45" s="185">
        <v>-3.5</v>
      </c>
      <c r="E45" s="185">
        <v>-2.0</v>
      </c>
      <c r="F45" s="188">
        <v>-2.5</v>
      </c>
    </row>
    <row r="46" ht="15.75" customHeight="1">
      <c r="B46" s="138">
        <v>-4.0</v>
      </c>
      <c r="C46" s="187">
        <v>-1.5</v>
      </c>
      <c r="D46" s="185">
        <v>-3.0</v>
      </c>
      <c r="E46" s="185">
        <v>-1.5</v>
      </c>
      <c r="F46" s="188">
        <v>-0.5</v>
      </c>
    </row>
    <row r="47" ht="15.75" customHeight="1">
      <c r="B47" s="138">
        <v>-3.0</v>
      </c>
      <c r="C47" s="187">
        <v>-1.0</v>
      </c>
      <c r="D47" s="185">
        <v>-2.0</v>
      </c>
      <c r="E47" s="185">
        <v>-1.0</v>
      </c>
      <c r="F47" s="188">
        <v>0.0</v>
      </c>
    </row>
    <row r="48" ht="15.75" customHeight="1">
      <c r="B48" s="138">
        <v>-2.0</v>
      </c>
      <c r="C48" s="187">
        <v>-0.5</v>
      </c>
      <c r="D48" s="185">
        <v>-1.5</v>
      </c>
      <c r="E48" s="185">
        <v>-0.5</v>
      </c>
      <c r="F48" s="188">
        <v>0.3</v>
      </c>
    </row>
    <row r="49" ht="15.75" customHeight="1">
      <c r="B49" s="138">
        <v>-1.0</v>
      </c>
      <c r="C49" s="187">
        <v>-0.25</v>
      </c>
      <c r="D49" s="185">
        <v>0.0</v>
      </c>
      <c r="E49" s="185">
        <v>0.0</v>
      </c>
      <c r="F49" s="188">
        <v>0.5</v>
      </c>
    </row>
    <row r="50" ht="15.75" customHeight="1">
      <c r="B50" s="138">
        <v>0.0</v>
      </c>
      <c r="C50" s="187">
        <v>0.0</v>
      </c>
      <c r="D50" s="185">
        <v>0.5</v>
      </c>
      <c r="E50" s="185">
        <v>1.0</v>
      </c>
      <c r="F50" s="188">
        <v>1.5</v>
      </c>
    </row>
    <row r="51" ht="15.75" customHeight="1">
      <c r="B51" s="138">
        <v>1.0</v>
      </c>
      <c r="C51" s="187">
        <v>0.5</v>
      </c>
      <c r="D51" s="185">
        <v>1.0</v>
      </c>
      <c r="E51" s="185">
        <v>1.5</v>
      </c>
      <c r="F51" s="188">
        <v>3.0</v>
      </c>
    </row>
    <row r="52" ht="15.75" customHeight="1">
      <c r="B52" s="138">
        <v>2.0</v>
      </c>
      <c r="C52" s="187">
        <v>0.7</v>
      </c>
      <c r="D52" s="185">
        <v>1.5</v>
      </c>
      <c r="E52" s="185">
        <v>2.0</v>
      </c>
      <c r="F52" s="188">
        <v>4.0</v>
      </c>
    </row>
    <row r="53" ht="15.75" customHeight="1">
      <c r="B53" s="138">
        <v>3.0</v>
      </c>
      <c r="C53" s="187">
        <v>1.0</v>
      </c>
      <c r="D53" s="185">
        <v>3.0</v>
      </c>
      <c r="E53" s="185">
        <v>3.0</v>
      </c>
      <c r="F53" s="188">
        <v>4.3</v>
      </c>
    </row>
    <row r="54" ht="15.75" customHeight="1">
      <c r="B54" s="138">
        <v>4.0</v>
      </c>
      <c r="C54" s="187">
        <v>1.3</v>
      </c>
      <c r="D54" s="185">
        <v>4.0</v>
      </c>
      <c r="E54" s="185">
        <v>3.5</v>
      </c>
      <c r="F54" s="188">
        <v>5.5</v>
      </c>
    </row>
    <row r="55" ht="15.75" customHeight="1">
      <c r="B55" s="138">
        <v>5.0</v>
      </c>
      <c r="C55" s="187">
        <v>1.5</v>
      </c>
      <c r="D55" s="185">
        <v>4.3</v>
      </c>
      <c r="E55" s="185">
        <v>4.0</v>
      </c>
      <c r="F55" s="188">
        <v>5.7</v>
      </c>
    </row>
    <row r="56" ht="15.75" customHeight="1">
      <c r="B56" s="138">
        <v>6.0</v>
      </c>
      <c r="C56" s="187">
        <v>2.0</v>
      </c>
      <c r="D56" s="185">
        <v>5.0</v>
      </c>
      <c r="E56" s="185"/>
      <c r="F56" s="188">
        <v>6.0</v>
      </c>
    </row>
    <row r="57" ht="15.75" customHeight="1">
      <c r="B57" s="138">
        <v>7.0</v>
      </c>
      <c r="C57" s="187">
        <v>2.5</v>
      </c>
      <c r="D57" s="185">
        <v>5.5</v>
      </c>
      <c r="E57" s="185">
        <v>4.7</v>
      </c>
      <c r="F57" s="188">
        <v>6.3</v>
      </c>
    </row>
    <row r="58" ht="15.75" customHeight="1">
      <c r="B58" s="138">
        <v>8.0</v>
      </c>
      <c r="C58" s="187">
        <v>3.5</v>
      </c>
      <c r="D58" s="185">
        <v>6.5</v>
      </c>
      <c r="E58" s="185">
        <v>5.0</v>
      </c>
      <c r="F58" s="188">
        <v>6.5</v>
      </c>
    </row>
    <row r="59" ht="15.75" customHeight="1">
      <c r="B59" s="138">
        <v>9.0</v>
      </c>
      <c r="C59" s="187">
        <v>4.0</v>
      </c>
      <c r="D59" s="185">
        <v>6.7</v>
      </c>
      <c r="E59" s="185">
        <v>5.5</v>
      </c>
      <c r="F59" s="188">
        <v>6.7</v>
      </c>
    </row>
    <row r="60" ht="15.75" customHeight="1">
      <c r="B60" s="138">
        <v>10.0</v>
      </c>
      <c r="C60" s="187">
        <v>4.7</v>
      </c>
      <c r="D60" s="185">
        <v>7.0</v>
      </c>
      <c r="E60" s="185">
        <v>6.0</v>
      </c>
      <c r="F60" s="188">
        <v>7.0</v>
      </c>
    </row>
    <row r="61" ht="15.75" customHeight="1">
      <c r="B61" s="138">
        <v>11.0</v>
      </c>
      <c r="C61" s="187">
        <v>4.85</v>
      </c>
      <c r="D61" s="185">
        <v>7.3</v>
      </c>
      <c r="E61" s="185">
        <v>6.2</v>
      </c>
      <c r="F61" s="188">
        <v>7.3</v>
      </c>
    </row>
    <row r="62" ht="15.75" customHeight="1">
      <c r="B62" s="138">
        <v>12.0</v>
      </c>
      <c r="C62" s="187">
        <v>5.0</v>
      </c>
      <c r="D62" s="185">
        <v>7.3</v>
      </c>
      <c r="E62" s="185">
        <v>6.3</v>
      </c>
      <c r="F62" s="188">
        <v>7.3</v>
      </c>
    </row>
    <row r="63" ht="15.75" customHeight="1">
      <c r="B63" s="138">
        <v>13.0</v>
      </c>
      <c r="C63" s="187">
        <v>5.5</v>
      </c>
      <c r="D63" s="185">
        <v>7.3</v>
      </c>
      <c r="E63" s="185">
        <v>6.5</v>
      </c>
      <c r="F63" s="188">
        <v>7.3</v>
      </c>
    </row>
    <row r="64" ht="15.75" customHeight="1">
      <c r="B64" s="138">
        <v>14.0</v>
      </c>
      <c r="C64" s="187">
        <v>6.0</v>
      </c>
      <c r="D64" s="185">
        <v>7.3</v>
      </c>
      <c r="E64" s="185">
        <v>6.7</v>
      </c>
      <c r="F64" s="188">
        <v>7.3</v>
      </c>
    </row>
    <row r="65" ht="15.75" customHeight="1">
      <c r="B65" s="138">
        <v>15.0</v>
      </c>
      <c r="C65" s="187">
        <v>6.3</v>
      </c>
      <c r="D65" s="185">
        <v>7.3</v>
      </c>
      <c r="E65" s="185">
        <v>7.0</v>
      </c>
      <c r="F65" s="188">
        <v>7.3</v>
      </c>
    </row>
    <row r="66" ht="15.75" customHeight="1">
      <c r="B66" s="138">
        <v>16.0</v>
      </c>
      <c r="C66" s="187">
        <v>6.5</v>
      </c>
      <c r="D66" s="185">
        <v>7.3</v>
      </c>
      <c r="E66" s="185">
        <v>7.3</v>
      </c>
      <c r="F66" s="188">
        <v>7.3</v>
      </c>
    </row>
    <row r="67" ht="15.75" customHeight="1">
      <c r="B67" s="138">
        <v>17.0</v>
      </c>
      <c r="C67" s="187">
        <v>6.7</v>
      </c>
      <c r="D67" s="185">
        <v>7.3</v>
      </c>
      <c r="E67" s="185">
        <v>7.3</v>
      </c>
      <c r="F67" s="188">
        <v>7.5</v>
      </c>
    </row>
    <row r="68" ht="15.75" customHeight="1">
      <c r="B68" s="138">
        <v>18.0</v>
      </c>
      <c r="C68" s="187">
        <v>7.0</v>
      </c>
      <c r="D68" s="185">
        <v>7.5</v>
      </c>
      <c r="E68" s="185">
        <v>7.3</v>
      </c>
      <c r="F68" s="188">
        <v>8.0</v>
      </c>
    </row>
    <row r="69" ht="15.75" customHeight="1">
      <c r="B69" s="138">
        <v>19.0</v>
      </c>
      <c r="C69" s="187">
        <v>7.3</v>
      </c>
      <c r="D69" s="185">
        <v>8.0</v>
      </c>
      <c r="E69" s="185">
        <v>7.3</v>
      </c>
      <c r="F69" s="188">
        <v>8.0</v>
      </c>
    </row>
    <row r="70" ht="15.75" customHeight="1">
      <c r="B70" s="138">
        <v>20.0</v>
      </c>
      <c r="C70" s="187">
        <v>7.3</v>
      </c>
      <c r="D70" s="185">
        <v>8.0</v>
      </c>
      <c r="E70" s="185">
        <v>7.5</v>
      </c>
      <c r="F70" s="188">
        <v>8.0</v>
      </c>
    </row>
    <row r="71" ht="15.75" customHeight="1">
      <c r="B71" s="138">
        <v>21.0</v>
      </c>
      <c r="C71" s="187">
        <v>7.5</v>
      </c>
      <c r="D71" s="185">
        <v>8.0</v>
      </c>
      <c r="E71" s="185">
        <v>8.0</v>
      </c>
      <c r="F71" s="188">
        <v>8.0</v>
      </c>
    </row>
    <row r="72" ht="15.75" customHeight="1">
      <c r="B72" s="138">
        <v>22.0</v>
      </c>
      <c r="C72" s="193">
        <v>8.0</v>
      </c>
      <c r="D72" s="191">
        <v>8.0</v>
      </c>
      <c r="E72" s="191">
        <v>8.0</v>
      </c>
      <c r="F72" s="194">
        <v>8.0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6" width="7.0"/>
  </cols>
  <sheetData>
    <row r="1" ht="15.75" customHeight="1">
      <c r="A1" s="1"/>
      <c r="B1" s="1"/>
      <c r="C1" s="2">
        <v>1.0</v>
      </c>
      <c r="G1" s="2">
        <v>2.0</v>
      </c>
      <c r="K1" s="1"/>
      <c r="L1" s="1"/>
      <c r="M1" s="1"/>
      <c r="N1" s="1"/>
      <c r="O1" s="1"/>
      <c r="P1" s="1"/>
      <c r="Q1" s="1"/>
      <c r="R1" s="1"/>
      <c r="S1" s="1"/>
      <c r="T1" s="1"/>
      <c r="U1" s="1"/>
      <c r="V1" s="1"/>
      <c r="W1" s="1"/>
      <c r="X1" s="1"/>
      <c r="Y1" s="1"/>
      <c r="Z1" s="1"/>
    </row>
    <row r="2" ht="15.75" customHeight="1">
      <c r="A2" s="2"/>
      <c r="B2" s="12"/>
      <c r="C2" s="174" t="s">
        <v>8</v>
      </c>
      <c r="D2" s="10" t="s">
        <v>9</v>
      </c>
      <c r="E2" s="10" t="s">
        <v>10</v>
      </c>
      <c r="F2" s="175" t="s">
        <v>11</v>
      </c>
      <c r="G2" s="176" t="s">
        <v>8</v>
      </c>
      <c r="H2" s="10" t="s">
        <v>9</v>
      </c>
      <c r="I2" s="10" t="s">
        <v>10</v>
      </c>
      <c r="J2" s="11" t="s">
        <v>11</v>
      </c>
      <c r="K2" s="2"/>
      <c r="L2" s="2"/>
      <c r="M2" s="2"/>
      <c r="N2" s="2"/>
      <c r="O2" s="2"/>
      <c r="P2" s="2"/>
      <c r="Q2" s="2"/>
      <c r="R2" s="2"/>
      <c r="S2" s="2"/>
      <c r="T2" s="2"/>
      <c r="U2" s="2"/>
      <c r="V2" s="2"/>
      <c r="W2" s="2"/>
      <c r="X2" s="2"/>
      <c r="Y2" s="2"/>
      <c r="Z2" s="2"/>
    </row>
    <row r="3">
      <c r="B3" s="177">
        <v>0.0</v>
      </c>
      <c r="C3" s="178">
        <v>-30.0</v>
      </c>
      <c r="D3" s="179">
        <v>-36.0</v>
      </c>
      <c r="E3" s="179">
        <v>-28.0</v>
      </c>
      <c r="F3" s="180">
        <v>-30.0</v>
      </c>
      <c r="G3" s="181">
        <v>37.0</v>
      </c>
      <c r="H3" s="179">
        <v>35.0</v>
      </c>
      <c r="I3" s="179">
        <v>37.0</v>
      </c>
      <c r="J3" s="182">
        <v>37.0</v>
      </c>
    </row>
    <row r="4">
      <c r="B4" s="183">
        <v>1.0</v>
      </c>
      <c r="C4" s="184">
        <v>-26.0</v>
      </c>
      <c r="D4" s="185">
        <v>-24.0</v>
      </c>
      <c r="E4" s="185">
        <v>-22.0</v>
      </c>
      <c r="F4" s="186">
        <v>-24.0</v>
      </c>
      <c r="G4" s="187">
        <v>33.0</v>
      </c>
      <c r="H4" s="185">
        <v>30.0</v>
      </c>
      <c r="I4" s="185">
        <v>35.0</v>
      </c>
      <c r="J4" s="188">
        <v>35.0</v>
      </c>
    </row>
    <row r="5">
      <c r="B5" s="183">
        <v>2.0</v>
      </c>
      <c r="C5" s="184">
        <v>-20.0</v>
      </c>
      <c r="D5" s="185">
        <v>-13.0</v>
      </c>
      <c r="E5" s="185">
        <v>-17.0</v>
      </c>
      <c r="F5" s="186">
        <v>-17.0</v>
      </c>
      <c r="G5" s="187">
        <v>22.0</v>
      </c>
      <c r="H5" s="185">
        <v>19.0</v>
      </c>
      <c r="I5" s="185">
        <v>30.0</v>
      </c>
      <c r="J5" s="188">
        <v>28.0</v>
      </c>
    </row>
    <row r="6">
      <c r="B6" s="183">
        <v>3.0</v>
      </c>
      <c r="C6" s="184">
        <v>-13.0</v>
      </c>
      <c r="D6" s="185">
        <v>-6.0</v>
      </c>
      <c r="E6" s="185">
        <v>-8.0</v>
      </c>
      <c r="F6" s="186">
        <v>-8.0</v>
      </c>
      <c r="G6" s="187">
        <v>13.0</v>
      </c>
      <c r="H6" s="185">
        <v>13.0</v>
      </c>
      <c r="I6" s="185">
        <v>19.0</v>
      </c>
      <c r="J6" s="188">
        <v>19.0</v>
      </c>
    </row>
    <row r="7">
      <c r="B7" s="183">
        <v>4.0</v>
      </c>
      <c r="C7" s="184">
        <v>-8.0</v>
      </c>
      <c r="D7" s="185">
        <v>5.0</v>
      </c>
      <c r="E7" s="185">
        <v>-4.0</v>
      </c>
      <c r="F7" s="186">
        <v>3.0</v>
      </c>
      <c r="G7" s="187">
        <v>7.0</v>
      </c>
      <c r="H7" s="185">
        <v>3.0</v>
      </c>
      <c r="I7" s="185">
        <v>13.0</v>
      </c>
      <c r="J7" s="188">
        <v>12.0</v>
      </c>
    </row>
    <row r="8">
      <c r="B8" s="183">
        <v>5.0</v>
      </c>
      <c r="C8" s="184">
        <v>-6.0</v>
      </c>
      <c r="D8" s="185">
        <v>15.0</v>
      </c>
      <c r="E8" s="185">
        <v>3.0</v>
      </c>
      <c r="F8" s="186">
        <v>10.0</v>
      </c>
      <c r="G8" s="187">
        <v>3.0</v>
      </c>
      <c r="H8" s="185">
        <v>-2.0</v>
      </c>
      <c r="I8" s="185">
        <v>7.0</v>
      </c>
      <c r="J8" s="188">
        <v>7.0</v>
      </c>
    </row>
    <row r="9">
      <c r="B9" s="183">
        <v>6.0</v>
      </c>
      <c r="C9" s="184">
        <v>-2.0</v>
      </c>
      <c r="D9" s="185">
        <v>17.0</v>
      </c>
      <c r="E9" s="185">
        <v>5.0</v>
      </c>
      <c r="F9" s="186">
        <v>15.0</v>
      </c>
      <c r="G9" s="187">
        <v>-2.0</v>
      </c>
      <c r="H9" s="185">
        <v>-10.0</v>
      </c>
      <c r="I9" s="185">
        <v>3.0</v>
      </c>
      <c r="J9" s="188">
        <v>3.0</v>
      </c>
    </row>
    <row r="10">
      <c r="B10" s="183">
        <v>7.0</v>
      </c>
      <c r="C10" s="184">
        <v>3.0</v>
      </c>
      <c r="D10" s="185">
        <v>26.0</v>
      </c>
      <c r="E10" s="185">
        <v>13.0</v>
      </c>
      <c r="F10" s="186">
        <v>26.0</v>
      </c>
      <c r="G10" s="187">
        <v>-6.0</v>
      </c>
      <c r="H10" s="185">
        <v>-17.0</v>
      </c>
      <c r="I10" s="185">
        <v>-6.0</v>
      </c>
      <c r="J10" s="188">
        <v>-2.0</v>
      </c>
    </row>
    <row r="11">
      <c r="B11" s="183">
        <v>8.0</v>
      </c>
      <c r="C11" s="184">
        <v>5.0</v>
      </c>
      <c r="D11" s="185">
        <v>28.0</v>
      </c>
      <c r="E11" s="185">
        <v>15.0</v>
      </c>
      <c r="F11" s="186">
        <v>28.0</v>
      </c>
      <c r="G11" s="187">
        <v>-8.0</v>
      </c>
      <c r="H11" s="185">
        <v>-22.0</v>
      </c>
      <c r="I11" s="185">
        <v>-10.0</v>
      </c>
      <c r="J11" s="188">
        <v>-6.0</v>
      </c>
    </row>
    <row r="12">
      <c r="B12" s="183">
        <v>9.0</v>
      </c>
      <c r="C12" s="184">
        <v>10.0</v>
      </c>
      <c r="D12" s="185">
        <v>30.0</v>
      </c>
      <c r="E12" s="185">
        <v>19.0</v>
      </c>
      <c r="F12" s="186">
        <v>30.0</v>
      </c>
      <c r="G12" s="187">
        <v>-13.0</v>
      </c>
      <c r="H12" s="185">
        <v>-26.0</v>
      </c>
      <c r="I12" s="185">
        <v>-15.0</v>
      </c>
      <c r="J12" s="188">
        <v>-12.0</v>
      </c>
    </row>
    <row r="13">
      <c r="B13" s="183">
        <v>10.0</v>
      </c>
      <c r="C13" s="184">
        <v>15.0</v>
      </c>
      <c r="D13" s="185">
        <v>33.0</v>
      </c>
      <c r="E13" s="185">
        <v>24.0</v>
      </c>
      <c r="F13" s="186">
        <v>31.0</v>
      </c>
      <c r="G13" s="187">
        <v>-15.0</v>
      </c>
      <c r="H13" s="185">
        <v>-30.0</v>
      </c>
      <c r="I13" s="185">
        <v>-22.0</v>
      </c>
      <c r="J13" s="188">
        <v>-17.0</v>
      </c>
    </row>
    <row r="14">
      <c r="B14" s="183">
        <v>11.0</v>
      </c>
      <c r="C14" s="184">
        <v>17.0</v>
      </c>
      <c r="D14" s="185">
        <v>35.0</v>
      </c>
      <c r="E14" s="185">
        <v>26.0</v>
      </c>
      <c r="F14" s="186">
        <v>33.0</v>
      </c>
      <c r="G14" s="187">
        <v>-17.0</v>
      </c>
      <c r="H14" s="185">
        <v>-33.0</v>
      </c>
      <c r="I14" s="185">
        <v>-26.0</v>
      </c>
      <c r="J14" s="188">
        <v>-26.0</v>
      </c>
    </row>
    <row r="15">
      <c r="B15" s="183">
        <v>12.0</v>
      </c>
      <c r="C15" s="184">
        <v>19.0</v>
      </c>
      <c r="D15" s="185">
        <v>36.0</v>
      </c>
      <c r="E15" s="185">
        <v>28.0</v>
      </c>
      <c r="F15" s="186">
        <v>34.0</v>
      </c>
      <c r="G15" s="187">
        <v>-22.0</v>
      </c>
      <c r="H15" s="185">
        <v>-35.0</v>
      </c>
      <c r="I15" s="185">
        <v>-30.0</v>
      </c>
      <c r="J15" s="188">
        <v>-28.0</v>
      </c>
    </row>
    <row r="16">
      <c r="B16" s="183">
        <v>13.0</v>
      </c>
      <c r="C16" s="184">
        <v>24.0</v>
      </c>
      <c r="D16" s="185">
        <v>36.0</v>
      </c>
      <c r="E16" s="185">
        <v>30.0</v>
      </c>
      <c r="F16" s="186">
        <v>35.0</v>
      </c>
      <c r="G16" s="187">
        <v>-26.0</v>
      </c>
      <c r="H16" s="185">
        <v>-36.0</v>
      </c>
      <c r="I16" s="185">
        <v>-33.0</v>
      </c>
      <c r="J16" s="188">
        <v>-30.0</v>
      </c>
    </row>
    <row r="17">
      <c r="B17" s="183">
        <v>14.0</v>
      </c>
      <c r="C17" s="184">
        <v>26.0</v>
      </c>
      <c r="D17" s="185">
        <v>36.0</v>
      </c>
      <c r="E17" s="185">
        <v>33.0</v>
      </c>
      <c r="F17" s="186">
        <v>36.0</v>
      </c>
      <c r="G17" s="187">
        <v>-28.0</v>
      </c>
      <c r="H17" s="185">
        <v>-36.0</v>
      </c>
      <c r="I17" s="185">
        <v>-34.0</v>
      </c>
      <c r="J17" s="188">
        <v>-33.0</v>
      </c>
    </row>
    <row r="18">
      <c r="B18" s="183">
        <v>15.0</v>
      </c>
      <c r="C18" s="184">
        <v>33.0</v>
      </c>
      <c r="D18" s="185">
        <v>36.0</v>
      </c>
      <c r="E18" s="185">
        <v>35.0</v>
      </c>
      <c r="F18" s="186">
        <v>36.0</v>
      </c>
      <c r="G18" s="187">
        <v>-30.0</v>
      </c>
      <c r="H18" s="185">
        <v>-36.0</v>
      </c>
      <c r="I18" s="185">
        <v>-34.0</v>
      </c>
      <c r="J18" s="188">
        <v>-35.0</v>
      </c>
    </row>
    <row r="19">
      <c r="B19" s="183">
        <v>16.0</v>
      </c>
      <c r="C19" s="184">
        <v>35.0</v>
      </c>
      <c r="D19" s="185">
        <v>36.0</v>
      </c>
      <c r="E19" s="185">
        <v>35.0</v>
      </c>
      <c r="F19" s="186">
        <v>36.0</v>
      </c>
      <c r="G19" s="187">
        <v>-33.0</v>
      </c>
      <c r="H19" s="185">
        <v>-36.0</v>
      </c>
      <c r="I19" s="185">
        <v>-35.0</v>
      </c>
      <c r="J19" s="188">
        <v>-36.0</v>
      </c>
    </row>
    <row r="20">
      <c r="B20" s="183">
        <v>17.0</v>
      </c>
      <c r="C20" s="184">
        <v>35.0</v>
      </c>
      <c r="D20" s="185">
        <v>36.0</v>
      </c>
      <c r="E20" s="185">
        <v>35.0</v>
      </c>
      <c r="F20" s="186">
        <v>37.0</v>
      </c>
      <c r="G20" s="187">
        <v>-35.0</v>
      </c>
      <c r="H20" s="185">
        <v>-36.0</v>
      </c>
      <c r="I20" s="185">
        <v>-36.0</v>
      </c>
      <c r="J20" s="188">
        <v>-37.0</v>
      </c>
    </row>
    <row r="21" ht="15.75" customHeight="1">
      <c r="B21" s="183">
        <v>18.0</v>
      </c>
      <c r="C21" s="184">
        <v>36.0</v>
      </c>
      <c r="D21" s="185">
        <v>36.0</v>
      </c>
      <c r="E21" s="185">
        <v>35.0</v>
      </c>
      <c r="F21" s="186">
        <v>38.0</v>
      </c>
      <c r="G21" s="187">
        <v>-35.0</v>
      </c>
      <c r="H21" s="185">
        <v>-36.0</v>
      </c>
      <c r="I21" s="185">
        <v>-36.0</v>
      </c>
      <c r="J21" s="188">
        <v>-38.0</v>
      </c>
    </row>
    <row r="22" ht="15.75" customHeight="1">
      <c r="B22" s="183">
        <v>19.0</v>
      </c>
      <c r="C22" s="184">
        <v>36.0</v>
      </c>
      <c r="D22" s="185">
        <v>37.0</v>
      </c>
      <c r="E22" s="185">
        <v>35.0</v>
      </c>
      <c r="F22" s="186">
        <v>39.0</v>
      </c>
      <c r="G22" s="187">
        <v>-37.0</v>
      </c>
      <c r="H22" s="185">
        <v>-37.0</v>
      </c>
      <c r="I22" s="185">
        <v>-37.0</v>
      </c>
      <c r="J22" s="188">
        <v>-39.0</v>
      </c>
    </row>
    <row r="23" ht="15.75" customHeight="1">
      <c r="B23" s="189">
        <v>20.0</v>
      </c>
      <c r="C23" s="190">
        <v>37.0</v>
      </c>
      <c r="D23" s="191">
        <v>40.0</v>
      </c>
      <c r="E23" s="191">
        <v>37.0</v>
      </c>
      <c r="F23" s="192">
        <v>40.0</v>
      </c>
      <c r="G23" s="193">
        <v>-37.0</v>
      </c>
      <c r="H23" s="191">
        <v>-40.0</v>
      </c>
      <c r="I23" s="191">
        <v>-40.0</v>
      </c>
      <c r="J23" s="194">
        <v>-40.0</v>
      </c>
    </row>
    <row r="24" ht="15.75" customHeight="1"/>
    <row r="25" ht="15.75" customHeight="1"/>
    <row r="26" ht="15.75" customHeight="1">
      <c r="C26" s="2">
        <v>3.0</v>
      </c>
    </row>
    <row r="27" ht="15.75" customHeight="1">
      <c r="C27" s="176" t="s">
        <v>8</v>
      </c>
      <c r="D27" s="10" t="s">
        <v>9</v>
      </c>
      <c r="E27" s="10" t="s">
        <v>10</v>
      </c>
      <c r="F27" s="11" t="s">
        <v>11</v>
      </c>
    </row>
    <row r="28" ht="15.75" customHeight="1">
      <c r="B28" s="138">
        <v>-22.0</v>
      </c>
      <c r="C28" s="198">
        <v>-37.0</v>
      </c>
      <c r="D28" s="199"/>
      <c r="E28" s="199"/>
      <c r="F28" s="200"/>
    </row>
    <row r="29" ht="15.75" customHeight="1">
      <c r="B29" s="138">
        <v>-21.0</v>
      </c>
      <c r="C29" s="187">
        <v>-36.0</v>
      </c>
      <c r="D29" s="185"/>
      <c r="E29" s="185"/>
      <c r="F29" s="188"/>
    </row>
    <row r="30" ht="15.75" customHeight="1">
      <c r="B30" s="138">
        <v>-20.0</v>
      </c>
      <c r="C30" s="187">
        <v>-35.0</v>
      </c>
      <c r="D30" s="185"/>
      <c r="E30" s="185"/>
      <c r="F30" s="188"/>
    </row>
    <row r="31" ht="15.75" customHeight="1">
      <c r="B31" s="138">
        <v>-19.0</v>
      </c>
      <c r="C31" s="187">
        <v>-34.0</v>
      </c>
      <c r="D31" s="185"/>
      <c r="E31" s="185"/>
      <c r="F31" s="188"/>
    </row>
    <row r="32" ht="15.75" customHeight="1">
      <c r="B32" s="138">
        <v>-18.0</v>
      </c>
      <c r="C32" s="187">
        <v>-34.0</v>
      </c>
      <c r="D32" s="185"/>
      <c r="E32" s="185"/>
      <c r="F32" s="188"/>
    </row>
    <row r="33" ht="15.75" customHeight="1">
      <c r="B33" s="138">
        <v>-17.0</v>
      </c>
      <c r="C33" s="187">
        <v>-34.0</v>
      </c>
      <c r="D33" s="185"/>
      <c r="E33" s="185"/>
      <c r="F33" s="188"/>
    </row>
    <row r="34" ht="15.75" customHeight="1">
      <c r="B34" s="138">
        <v>-16.0</v>
      </c>
      <c r="C34" s="187">
        <v>-33.0</v>
      </c>
      <c r="D34" s="185"/>
      <c r="E34" s="185"/>
      <c r="F34" s="188"/>
    </row>
    <row r="35" ht="15.75" customHeight="1">
      <c r="B35" s="138">
        <v>-15.0</v>
      </c>
      <c r="C35" s="187">
        <v>-31.0</v>
      </c>
      <c r="D35" s="185"/>
      <c r="E35" s="185"/>
      <c r="F35" s="188"/>
    </row>
    <row r="36" ht="15.75" customHeight="1">
      <c r="B36" s="138">
        <v>-14.0</v>
      </c>
      <c r="C36" s="187">
        <v>-30.0</v>
      </c>
      <c r="D36" s="185"/>
      <c r="E36" s="185"/>
      <c r="F36" s="188"/>
    </row>
    <row r="37" ht="15.75" customHeight="1">
      <c r="B37" s="138">
        <v>-13.0</v>
      </c>
      <c r="C37" s="187">
        <v>-29.0</v>
      </c>
      <c r="D37" s="185"/>
      <c r="E37" s="185"/>
      <c r="F37" s="188"/>
    </row>
    <row r="38" ht="15.75" customHeight="1">
      <c r="B38" s="138">
        <v>-12.0</v>
      </c>
      <c r="C38" s="187">
        <v>-28.0</v>
      </c>
      <c r="D38" s="185"/>
      <c r="E38" s="185"/>
      <c r="F38" s="188"/>
    </row>
    <row r="39" ht="15.75" customHeight="1">
      <c r="B39" s="138">
        <v>-11.0</v>
      </c>
      <c r="C39" s="187">
        <v>-26.0</v>
      </c>
      <c r="D39" s="185"/>
      <c r="E39" s="185"/>
      <c r="F39" s="188"/>
    </row>
    <row r="40" ht="15.75" customHeight="1">
      <c r="B40" s="138">
        <v>-10.0</v>
      </c>
      <c r="C40" s="187">
        <v>-22.0</v>
      </c>
      <c r="D40" s="185"/>
      <c r="E40" s="185"/>
      <c r="F40" s="188"/>
    </row>
    <row r="41" ht="15.75" customHeight="1">
      <c r="B41" s="138">
        <v>-9.0</v>
      </c>
      <c r="C41" s="187">
        <v>-17.0</v>
      </c>
      <c r="D41" s="185"/>
      <c r="E41" s="185"/>
      <c r="F41" s="188"/>
    </row>
    <row r="42" ht="15.75" customHeight="1">
      <c r="B42" s="138">
        <v>-8.0</v>
      </c>
      <c r="C42" s="187">
        <v>-16.0</v>
      </c>
      <c r="D42" s="185"/>
      <c r="E42" s="185"/>
      <c r="F42" s="188"/>
    </row>
    <row r="43" ht="15.75" customHeight="1">
      <c r="B43" s="138">
        <v>-7.0</v>
      </c>
      <c r="C43" s="187">
        <v>-15.0</v>
      </c>
      <c r="D43" s="185"/>
      <c r="E43" s="185"/>
      <c r="F43" s="188"/>
    </row>
    <row r="44" ht="15.75" customHeight="1">
      <c r="B44" s="138">
        <v>-6.0</v>
      </c>
      <c r="C44" s="187">
        <v>-14.0</v>
      </c>
      <c r="D44" s="185"/>
      <c r="E44" s="185"/>
      <c r="F44" s="188"/>
    </row>
    <row r="45" ht="15.75" customHeight="1">
      <c r="B45" s="138">
        <v>-5.0</v>
      </c>
      <c r="C45" s="187">
        <v>-13.0</v>
      </c>
      <c r="D45" s="185"/>
      <c r="E45" s="185"/>
      <c r="F45" s="188"/>
    </row>
    <row r="46" ht="15.75" customHeight="1">
      <c r="B46" s="138">
        <v>-4.0</v>
      </c>
      <c r="C46" s="187">
        <v>-8.0</v>
      </c>
      <c r="D46" s="185"/>
      <c r="E46" s="185"/>
      <c r="F46" s="188"/>
    </row>
    <row r="47" ht="15.75" customHeight="1">
      <c r="B47" s="138">
        <v>-3.0</v>
      </c>
      <c r="C47" s="187">
        <v>-6.0</v>
      </c>
      <c r="D47" s="185"/>
      <c r="E47" s="185"/>
      <c r="F47" s="188"/>
    </row>
    <row r="48" ht="15.75" customHeight="1">
      <c r="B48" s="138">
        <v>-2.0</v>
      </c>
      <c r="C48" s="187">
        <v>-4.0</v>
      </c>
      <c r="D48" s="185"/>
      <c r="E48" s="185"/>
      <c r="F48" s="188"/>
    </row>
    <row r="49" ht="15.75" customHeight="1">
      <c r="B49" s="138">
        <v>-1.0</v>
      </c>
      <c r="C49" s="187">
        <v>-3.0</v>
      </c>
      <c r="D49" s="185"/>
      <c r="E49" s="185"/>
      <c r="F49" s="188"/>
    </row>
    <row r="50" ht="15.75" customHeight="1">
      <c r="B50" s="138">
        <v>0.0</v>
      </c>
      <c r="C50" s="187">
        <v>-2.0</v>
      </c>
      <c r="D50" s="185"/>
      <c r="E50" s="185"/>
      <c r="F50" s="188"/>
    </row>
    <row r="51" ht="15.75" customHeight="1">
      <c r="B51" s="138">
        <v>1.0</v>
      </c>
      <c r="C51" s="187">
        <v>3.0</v>
      </c>
      <c r="D51" s="185"/>
      <c r="E51" s="185"/>
      <c r="F51" s="188"/>
    </row>
    <row r="52" ht="15.75" customHeight="1">
      <c r="B52" s="138">
        <v>2.0</v>
      </c>
      <c r="C52" s="187">
        <v>4.0</v>
      </c>
      <c r="D52" s="185"/>
      <c r="E52" s="185"/>
      <c r="F52" s="188"/>
    </row>
    <row r="53" ht="15.75" customHeight="1">
      <c r="B53" s="138">
        <v>3.0</v>
      </c>
      <c r="C53" s="187">
        <v>5.0</v>
      </c>
      <c r="D53" s="185"/>
      <c r="E53" s="185"/>
      <c r="F53" s="188"/>
    </row>
    <row r="54" ht="15.75" customHeight="1">
      <c r="B54" s="138">
        <v>4.0</v>
      </c>
      <c r="C54" s="187">
        <v>6.0</v>
      </c>
      <c r="D54" s="185"/>
      <c r="E54" s="185"/>
      <c r="F54" s="188"/>
    </row>
    <row r="55" ht="15.75" customHeight="1">
      <c r="B55" s="138">
        <v>5.0</v>
      </c>
      <c r="C55" s="187">
        <v>7.0</v>
      </c>
      <c r="D55" s="185"/>
      <c r="E55" s="185"/>
      <c r="F55" s="188"/>
    </row>
    <row r="56" ht="15.75" customHeight="1">
      <c r="B56" s="138">
        <v>6.0</v>
      </c>
      <c r="C56" s="187">
        <v>10.0</v>
      </c>
      <c r="D56" s="185"/>
      <c r="E56" s="185"/>
      <c r="F56" s="188"/>
    </row>
    <row r="57" ht="15.75" customHeight="1">
      <c r="B57" s="138">
        <v>7.0</v>
      </c>
      <c r="C57" s="187">
        <v>12.0</v>
      </c>
      <c r="D57" s="185"/>
      <c r="E57" s="185"/>
      <c r="F57" s="188"/>
    </row>
    <row r="58" ht="15.75" customHeight="1">
      <c r="B58" s="138">
        <v>8.0</v>
      </c>
      <c r="C58" s="187">
        <v>16.0</v>
      </c>
      <c r="D58" s="185"/>
      <c r="E58" s="185"/>
      <c r="F58" s="188"/>
      <c r="L58" s="138">
        <v>12.0</v>
      </c>
    </row>
    <row r="59" ht="15.75" customHeight="1">
      <c r="B59" s="138">
        <v>9.0</v>
      </c>
      <c r="C59" s="187">
        <v>18.0</v>
      </c>
      <c r="D59" s="185"/>
      <c r="E59" s="185"/>
      <c r="F59" s="188"/>
      <c r="L59" s="138">
        <v>250000.0</v>
      </c>
    </row>
    <row r="60" ht="15.75" customHeight="1">
      <c r="B60" s="138">
        <v>10.0</v>
      </c>
      <c r="C60" s="187">
        <v>24.0</v>
      </c>
      <c r="D60" s="185"/>
      <c r="E60" s="185"/>
      <c r="F60" s="188"/>
      <c r="L60" s="138">
        <f>L59*L58</f>
        <v>3000000</v>
      </c>
    </row>
    <row r="61" ht="15.75" customHeight="1">
      <c r="B61" s="138">
        <v>11.0</v>
      </c>
      <c r="C61" s="187">
        <v>25.0</v>
      </c>
      <c r="D61" s="185"/>
      <c r="E61" s="185"/>
      <c r="F61" s="188"/>
    </row>
    <row r="62" ht="15.75" customHeight="1">
      <c r="B62" s="138">
        <v>12.0</v>
      </c>
      <c r="C62" s="187">
        <v>26.0</v>
      </c>
      <c r="D62" s="185"/>
      <c r="E62" s="185"/>
      <c r="F62" s="188"/>
    </row>
    <row r="63" ht="15.75" customHeight="1">
      <c r="B63" s="138">
        <v>13.0</v>
      </c>
      <c r="C63" s="187">
        <v>28.0</v>
      </c>
      <c r="D63" s="185"/>
      <c r="E63" s="185"/>
      <c r="F63" s="188"/>
    </row>
    <row r="64" ht="15.75" customHeight="1">
      <c r="B64" s="138">
        <v>14.0</v>
      </c>
      <c r="C64" s="187">
        <v>30.0</v>
      </c>
      <c r="D64" s="185"/>
      <c r="E64" s="185"/>
      <c r="F64" s="188"/>
    </row>
    <row r="65" ht="15.75" customHeight="1">
      <c r="B65" s="138">
        <v>15.0</v>
      </c>
      <c r="C65" s="187">
        <v>31.0</v>
      </c>
      <c r="D65" s="185"/>
      <c r="E65" s="185"/>
      <c r="F65" s="188"/>
    </row>
    <row r="66" ht="15.75" customHeight="1">
      <c r="B66" s="138">
        <v>16.0</v>
      </c>
      <c r="C66" s="187">
        <v>33.0</v>
      </c>
      <c r="D66" s="185"/>
      <c r="E66" s="185"/>
      <c r="F66" s="188"/>
    </row>
    <row r="67" ht="15.75" customHeight="1">
      <c r="B67" s="138">
        <v>17.0</v>
      </c>
      <c r="C67" s="187">
        <v>34.0</v>
      </c>
      <c r="D67" s="185"/>
      <c r="E67" s="185"/>
      <c r="F67" s="188"/>
    </row>
    <row r="68" ht="15.75" customHeight="1">
      <c r="B68" s="138">
        <v>18.0</v>
      </c>
      <c r="C68" s="187">
        <v>35.0</v>
      </c>
      <c r="D68" s="185"/>
      <c r="E68" s="185"/>
      <c r="F68" s="188"/>
    </row>
    <row r="69" ht="15.75" customHeight="1">
      <c r="B69" s="138">
        <v>19.0</v>
      </c>
      <c r="C69" s="187">
        <v>36.0</v>
      </c>
      <c r="D69" s="185"/>
      <c r="E69" s="185"/>
      <c r="F69" s="188"/>
    </row>
    <row r="70" ht="15.75" customHeight="1">
      <c r="B70" s="138">
        <v>20.0</v>
      </c>
      <c r="C70" s="187">
        <v>36.0</v>
      </c>
      <c r="D70" s="185"/>
      <c r="E70" s="185"/>
      <c r="F70" s="188"/>
    </row>
    <row r="71" ht="15.75" customHeight="1">
      <c r="B71" s="138">
        <v>21.0</v>
      </c>
      <c r="C71" s="187">
        <v>37.0</v>
      </c>
      <c r="D71" s="185"/>
      <c r="E71" s="185"/>
      <c r="F71" s="188"/>
    </row>
    <row r="72" ht="15.75" customHeight="1">
      <c r="B72" s="138">
        <v>22.0</v>
      </c>
      <c r="C72" s="193">
        <v>40.0</v>
      </c>
      <c r="D72" s="191"/>
      <c r="E72" s="191"/>
      <c r="F72" s="194"/>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J1"/>
    <mergeCell ref="C26:F2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24.71"/>
    <col customWidth="1" min="3" max="3" width="24.57"/>
    <col customWidth="1" min="4" max="4" width="21.43"/>
    <col customWidth="1" min="5" max="5" width="22.43"/>
    <col customWidth="1" min="6" max="6" width="22.86"/>
    <col customWidth="1" min="7" max="8" width="23.29"/>
    <col customWidth="1" min="9" max="9" width="22.14"/>
    <col customWidth="1" min="10" max="10" width="21.14"/>
    <col customWidth="1" min="11" max="11" width="18.14"/>
    <col customWidth="1" min="12" max="12" width="17.43"/>
    <col customWidth="1" min="13" max="13" width="21.57"/>
    <col customWidth="1" min="14" max="14" width="19.86"/>
    <col customWidth="1" min="15" max="15" width="23.71"/>
    <col customWidth="1" min="16" max="16" width="21.86"/>
    <col customWidth="1" min="17" max="17" width="19.71"/>
    <col customWidth="1" min="18" max="18" width="33.57"/>
    <col customWidth="1" min="19" max="41" width="31.29"/>
  </cols>
  <sheetData>
    <row r="2">
      <c r="B2" s="185">
        <v>1.0</v>
      </c>
      <c r="C2" s="185">
        <v>2.0</v>
      </c>
      <c r="D2" s="185">
        <v>3.0</v>
      </c>
      <c r="E2" s="185">
        <v>4.0</v>
      </c>
      <c r="F2" s="185">
        <v>5.0</v>
      </c>
      <c r="G2" s="185">
        <v>6.0</v>
      </c>
      <c r="H2" s="185">
        <v>7.0</v>
      </c>
      <c r="I2" s="185">
        <v>8.0</v>
      </c>
      <c r="J2" s="185">
        <v>9.0</v>
      </c>
      <c r="K2" s="185">
        <v>10.0</v>
      </c>
      <c r="L2" s="185">
        <v>11.0</v>
      </c>
      <c r="M2" s="185">
        <v>12.0</v>
      </c>
      <c r="N2" s="185">
        <v>13.0</v>
      </c>
      <c r="O2" s="185">
        <v>14.0</v>
      </c>
      <c r="P2" s="185">
        <v>15.0</v>
      </c>
      <c r="Q2" s="185">
        <v>16.0</v>
      </c>
      <c r="R2" s="185">
        <v>17.0</v>
      </c>
      <c r="S2" s="185">
        <v>18.0</v>
      </c>
      <c r="T2" s="185">
        <v>19.0</v>
      </c>
      <c r="U2" s="185">
        <v>20.0</v>
      </c>
      <c r="V2" s="185">
        <v>21.0</v>
      </c>
      <c r="W2" s="185">
        <v>22.0</v>
      </c>
      <c r="X2" s="185">
        <v>23.0</v>
      </c>
      <c r="Y2" s="185">
        <v>24.0</v>
      </c>
      <c r="Z2" s="185">
        <v>25.0</v>
      </c>
      <c r="AA2" s="185">
        <v>26.0</v>
      </c>
      <c r="AB2" s="185">
        <v>27.0</v>
      </c>
      <c r="AC2" s="185">
        <v>28.0</v>
      </c>
      <c r="AD2" s="185">
        <v>29.0</v>
      </c>
      <c r="AE2" s="185">
        <v>30.0</v>
      </c>
      <c r="AF2" s="185">
        <v>31.0</v>
      </c>
      <c r="AG2" s="185">
        <v>32.0</v>
      </c>
      <c r="AH2" s="185">
        <v>33.0</v>
      </c>
      <c r="AI2" s="185">
        <v>34.0</v>
      </c>
      <c r="AJ2" s="185">
        <v>35.0</v>
      </c>
      <c r="AK2" s="185">
        <v>36.0</v>
      </c>
      <c r="AL2" s="185">
        <v>37.0</v>
      </c>
      <c r="AM2" s="185">
        <v>38.0</v>
      </c>
      <c r="AN2" s="185">
        <v>39.0</v>
      </c>
      <c r="AO2" s="185">
        <v>40.0</v>
      </c>
    </row>
    <row r="3">
      <c r="A3" s="2"/>
      <c r="B3" s="201" t="s">
        <v>11</v>
      </c>
      <c r="C3" s="201" t="s">
        <v>8</v>
      </c>
      <c r="D3" s="201" t="s">
        <v>173</v>
      </c>
      <c r="E3" s="201" t="s">
        <v>174</v>
      </c>
      <c r="F3" s="201" t="s">
        <v>175</v>
      </c>
      <c r="G3" s="201" t="s">
        <v>176</v>
      </c>
      <c r="H3" s="201" t="s">
        <v>177</v>
      </c>
      <c r="I3" s="201" t="s">
        <v>178</v>
      </c>
      <c r="J3" s="201" t="s">
        <v>132</v>
      </c>
      <c r="K3" s="201" t="s">
        <v>133</v>
      </c>
      <c r="L3" s="201" t="s">
        <v>134</v>
      </c>
      <c r="M3" s="201" t="s">
        <v>179</v>
      </c>
      <c r="N3" s="201" t="s">
        <v>180</v>
      </c>
      <c r="O3" s="201" t="s">
        <v>137</v>
      </c>
      <c r="P3" s="201" t="s">
        <v>10</v>
      </c>
      <c r="Q3" s="201" t="s">
        <v>181</v>
      </c>
      <c r="R3" s="201" t="s">
        <v>139</v>
      </c>
      <c r="S3" s="201" t="s">
        <v>140</v>
      </c>
      <c r="T3" s="201" t="s">
        <v>141</v>
      </c>
      <c r="U3" s="201" t="s">
        <v>142</v>
      </c>
      <c r="V3" s="201" t="s">
        <v>143</v>
      </c>
      <c r="W3" s="201" t="s">
        <v>144</v>
      </c>
      <c r="X3" s="201" t="s">
        <v>145</v>
      </c>
      <c r="Y3" s="201" t="s">
        <v>9</v>
      </c>
      <c r="Z3" s="201" t="s">
        <v>146</v>
      </c>
      <c r="AA3" s="201" t="s">
        <v>147</v>
      </c>
      <c r="AB3" s="201" t="s">
        <v>148</v>
      </c>
      <c r="AC3" s="201" t="s">
        <v>149</v>
      </c>
      <c r="AD3" s="201" t="s">
        <v>150</v>
      </c>
      <c r="AE3" s="201" t="s">
        <v>151</v>
      </c>
      <c r="AF3" s="201" t="s">
        <v>152</v>
      </c>
      <c r="AG3" s="201" t="s">
        <v>153</v>
      </c>
      <c r="AH3" s="201" t="s">
        <v>154</v>
      </c>
      <c r="AI3" s="201" t="s">
        <v>155</v>
      </c>
      <c r="AJ3" s="201" t="s">
        <v>156</v>
      </c>
      <c r="AK3" s="201" t="s">
        <v>157</v>
      </c>
      <c r="AL3" s="201" t="s">
        <v>158</v>
      </c>
      <c r="AM3" s="201" t="s">
        <v>159</v>
      </c>
      <c r="AN3" s="201" t="s">
        <v>160</v>
      </c>
      <c r="AO3" s="201" t="s">
        <v>161</v>
      </c>
    </row>
    <row r="4" ht="12.75" customHeight="1">
      <c r="A4" s="202"/>
      <c r="B4" s="203" t="s">
        <v>182</v>
      </c>
      <c r="C4" s="203" t="s">
        <v>183</v>
      </c>
      <c r="D4" s="203" t="s">
        <v>184</v>
      </c>
      <c r="E4" s="203" t="s">
        <v>185</v>
      </c>
      <c r="F4" s="203" t="s">
        <v>186</v>
      </c>
      <c r="G4" s="203" t="s">
        <v>187</v>
      </c>
      <c r="H4" s="203" t="s">
        <v>188</v>
      </c>
      <c r="I4" s="203" t="s">
        <v>189</v>
      </c>
      <c r="J4" s="203" t="s">
        <v>190</v>
      </c>
      <c r="K4" s="203" t="s">
        <v>191</v>
      </c>
      <c r="L4" s="203" t="s">
        <v>192</v>
      </c>
      <c r="M4" s="203" t="s">
        <v>193</v>
      </c>
      <c r="N4" s="203" t="s">
        <v>194</v>
      </c>
      <c r="O4" s="203" t="s">
        <v>195</v>
      </c>
      <c r="P4" s="203" t="s">
        <v>196</v>
      </c>
      <c r="Q4" s="203" t="s">
        <v>197</v>
      </c>
      <c r="R4" s="203" t="s">
        <v>198</v>
      </c>
      <c r="S4" s="203" t="s">
        <v>199</v>
      </c>
      <c r="T4" s="203" t="s">
        <v>200</v>
      </c>
      <c r="U4" s="203" t="s">
        <v>191</v>
      </c>
      <c r="V4" s="203" t="s">
        <v>201</v>
      </c>
      <c r="W4" s="203" t="s">
        <v>199</v>
      </c>
      <c r="X4" s="203" t="s">
        <v>199</v>
      </c>
      <c r="Y4" s="203" t="s">
        <v>202</v>
      </c>
      <c r="Z4" s="203" t="s">
        <v>203</v>
      </c>
      <c r="AA4" s="203" t="s">
        <v>204</v>
      </c>
      <c r="AB4" s="203" t="s">
        <v>204</v>
      </c>
      <c r="AC4" s="203" t="s">
        <v>195</v>
      </c>
      <c r="AD4" s="203" t="s">
        <v>192</v>
      </c>
      <c r="AE4" s="203" t="s">
        <v>203</v>
      </c>
      <c r="AF4" s="203" t="s">
        <v>191</v>
      </c>
      <c r="AG4" s="203" t="s">
        <v>203</v>
      </c>
      <c r="AH4" s="203" t="s">
        <v>205</v>
      </c>
      <c r="AI4" s="203" t="s">
        <v>189</v>
      </c>
      <c r="AJ4" s="203" t="s">
        <v>205</v>
      </c>
      <c r="AK4" s="203" t="s">
        <v>204</v>
      </c>
      <c r="AL4" s="203" t="s">
        <v>199</v>
      </c>
      <c r="AM4" s="203" t="s">
        <v>206</v>
      </c>
      <c r="AN4" s="203" t="s">
        <v>204</v>
      </c>
      <c r="AO4" s="203" t="s">
        <v>207</v>
      </c>
    </row>
    <row r="5" ht="12.75" customHeight="1">
      <c r="A5" s="204"/>
      <c r="B5" s="205" t="s">
        <v>208</v>
      </c>
      <c r="C5" s="205" t="s">
        <v>209</v>
      </c>
      <c r="D5" s="205" t="s">
        <v>210</v>
      </c>
      <c r="E5" s="205" t="s">
        <v>211</v>
      </c>
      <c r="F5" s="205" t="s">
        <v>212</v>
      </c>
      <c r="G5" s="205" t="s">
        <v>213</v>
      </c>
      <c r="H5" s="205" t="s">
        <v>214</v>
      </c>
      <c r="I5" s="205" t="s">
        <v>215</v>
      </c>
      <c r="J5" s="205" t="s">
        <v>216</v>
      </c>
      <c r="K5" s="205" t="s">
        <v>217</v>
      </c>
      <c r="L5" s="205" t="s">
        <v>218</v>
      </c>
      <c r="M5" s="205" t="s">
        <v>219</v>
      </c>
      <c r="N5" s="205" t="s">
        <v>220</v>
      </c>
      <c r="O5" s="205" t="s">
        <v>221</v>
      </c>
      <c r="P5" s="205" t="s">
        <v>222</v>
      </c>
      <c r="Q5" s="205" t="s">
        <v>223</v>
      </c>
      <c r="R5" s="205" t="s">
        <v>224</v>
      </c>
      <c r="S5" s="205" t="s">
        <v>225</v>
      </c>
      <c r="T5" s="205" t="s">
        <v>226</v>
      </c>
      <c r="U5" s="205" t="s">
        <v>227</v>
      </c>
      <c r="V5" s="205" t="s">
        <v>227</v>
      </c>
      <c r="W5" s="205" t="s">
        <v>225</v>
      </c>
      <c r="X5" s="205" t="s">
        <v>225</v>
      </c>
      <c r="Y5" s="205" t="s">
        <v>228</v>
      </c>
      <c r="Z5" s="205" t="s">
        <v>229</v>
      </c>
      <c r="AA5" s="205" t="s">
        <v>230</v>
      </c>
      <c r="AB5" s="205" t="s">
        <v>231</v>
      </c>
      <c r="AC5" s="205" t="s">
        <v>221</v>
      </c>
      <c r="AD5" s="205" t="s">
        <v>218</v>
      </c>
      <c r="AE5" s="205" t="s">
        <v>229</v>
      </c>
      <c r="AF5" s="205" t="s">
        <v>227</v>
      </c>
      <c r="AG5" s="205" t="s">
        <v>229</v>
      </c>
      <c r="AH5" s="205" t="s">
        <v>232</v>
      </c>
      <c r="AI5" s="205" t="s">
        <v>233</v>
      </c>
      <c r="AJ5" s="205" t="s">
        <v>232</v>
      </c>
      <c r="AK5" s="205" t="s">
        <v>231</v>
      </c>
      <c r="AL5" s="205" t="s">
        <v>234</v>
      </c>
      <c r="AM5" s="205" t="s">
        <v>235</v>
      </c>
      <c r="AN5" s="205" t="s">
        <v>231</v>
      </c>
      <c r="AO5" s="205" t="s">
        <v>236</v>
      </c>
    </row>
    <row r="6" ht="12.75" customHeight="1">
      <c r="A6" s="204"/>
      <c r="B6" s="205" t="s">
        <v>237</v>
      </c>
      <c r="C6" s="205" t="s">
        <v>238</v>
      </c>
      <c r="D6" s="205" t="s">
        <v>239</v>
      </c>
      <c r="E6" s="205" t="s">
        <v>240</v>
      </c>
      <c r="F6" s="205" t="s">
        <v>241</v>
      </c>
      <c r="G6" s="205" t="s">
        <v>241</v>
      </c>
      <c r="H6" s="205" t="s">
        <v>242</v>
      </c>
      <c r="I6" s="205" t="s">
        <v>243</v>
      </c>
      <c r="J6" s="205" t="s">
        <v>241</v>
      </c>
      <c r="K6" s="205" t="s">
        <v>244</v>
      </c>
      <c r="L6" s="205" t="s">
        <v>245</v>
      </c>
      <c r="M6" s="205" t="s">
        <v>246</v>
      </c>
      <c r="N6" s="205" t="s">
        <v>247</v>
      </c>
      <c r="O6" s="205" t="s">
        <v>248</v>
      </c>
      <c r="P6" s="205" t="s">
        <v>249</v>
      </c>
      <c r="Q6" s="205" t="s">
        <v>250</v>
      </c>
      <c r="R6" s="205" t="s">
        <v>237</v>
      </c>
      <c r="S6" s="205" t="s">
        <v>251</v>
      </c>
      <c r="T6" s="205" t="s">
        <v>252</v>
      </c>
      <c r="U6" s="205" t="s">
        <v>253</v>
      </c>
      <c r="V6" s="205" t="s">
        <v>253</v>
      </c>
      <c r="W6" s="205" t="s">
        <v>251</v>
      </c>
      <c r="X6" s="205" t="s">
        <v>251</v>
      </c>
      <c r="Y6" s="205" t="s">
        <v>254</v>
      </c>
      <c r="Z6" s="205" t="s">
        <v>255</v>
      </c>
      <c r="AA6" s="205" t="s">
        <v>256</v>
      </c>
      <c r="AB6" s="205" t="s">
        <v>257</v>
      </c>
      <c r="AC6" s="205" t="s">
        <v>248</v>
      </c>
      <c r="AD6" s="205" t="s">
        <v>245</v>
      </c>
      <c r="AE6" s="205" t="s">
        <v>258</v>
      </c>
      <c r="AF6" s="205" t="s">
        <v>253</v>
      </c>
      <c r="AG6" s="205" t="s">
        <v>258</v>
      </c>
      <c r="AH6" s="205" t="s">
        <v>230</v>
      </c>
      <c r="AI6" s="205" t="s">
        <v>259</v>
      </c>
      <c r="AJ6" s="205" t="s">
        <v>230</v>
      </c>
      <c r="AK6" s="205" t="s">
        <v>257</v>
      </c>
      <c r="AL6" s="205" t="s">
        <v>251</v>
      </c>
      <c r="AM6" s="205" t="s">
        <v>260</v>
      </c>
      <c r="AN6" s="205" t="s">
        <v>257</v>
      </c>
      <c r="AO6" s="205" t="s">
        <v>261</v>
      </c>
    </row>
    <row r="7" ht="12.75" customHeight="1">
      <c r="A7" s="204"/>
      <c r="B7" s="205" t="s">
        <v>220</v>
      </c>
      <c r="C7" s="205" t="s">
        <v>262</v>
      </c>
      <c r="D7" s="205" t="s">
        <v>263</v>
      </c>
      <c r="E7" s="205" t="s">
        <v>264</v>
      </c>
      <c r="F7" s="205" t="s">
        <v>265</v>
      </c>
      <c r="G7" s="205" t="s">
        <v>266</v>
      </c>
      <c r="H7" s="205" t="s">
        <v>267</v>
      </c>
      <c r="I7" s="205" t="s">
        <v>268</v>
      </c>
      <c r="J7" s="205" t="s">
        <v>269</v>
      </c>
      <c r="K7" s="205" t="s">
        <v>270</v>
      </c>
      <c r="L7" s="205" t="s">
        <v>271</v>
      </c>
      <c r="M7" s="205" t="s">
        <v>272</v>
      </c>
      <c r="N7" s="205" t="s">
        <v>273</v>
      </c>
      <c r="O7" s="205" t="s">
        <v>274</v>
      </c>
      <c r="P7" s="205" t="s">
        <v>275</v>
      </c>
      <c r="Q7" s="205" t="s">
        <v>276</v>
      </c>
      <c r="R7" s="205" t="s">
        <v>277</v>
      </c>
      <c r="S7" s="205" t="s">
        <v>278</v>
      </c>
      <c r="T7" s="205" t="s">
        <v>279</v>
      </c>
      <c r="U7" s="205" t="s">
        <v>280</v>
      </c>
      <c r="V7" s="205" t="s">
        <v>280</v>
      </c>
      <c r="W7" s="205" t="s">
        <v>278</v>
      </c>
      <c r="X7" s="205" t="s">
        <v>278</v>
      </c>
      <c r="Y7" s="205" t="s">
        <v>281</v>
      </c>
      <c r="Z7" s="205" t="s">
        <v>282</v>
      </c>
      <c r="AA7" s="205" t="s">
        <v>283</v>
      </c>
      <c r="AB7" s="205" t="s">
        <v>284</v>
      </c>
      <c r="AC7" s="205" t="s">
        <v>274</v>
      </c>
      <c r="AD7" s="205" t="s">
        <v>285</v>
      </c>
      <c r="AE7" s="205" t="s">
        <v>282</v>
      </c>
      <c r="AF7" s="205" t="s">
        <v>280</v>
      </c>
      <c r="AG7" s="205" t="s">
        <v>282</v>
      </c>
      <c r="AH7" s="205" t="s">
        <v>286</v>
      </c>
      <c r="AI7" s="205" t="s">
        <v>287</v>
      </c>
      <c r="AJ7" s="205" t="s">
        <v>286</v>
      </c>
      <c r="AK7" s="205" t="s">
        <v>284</v>
      </c>
      <c r="AL7" s="205" t="s">
        <v>288</v>
      </c>
      <c r="AM7" s="205" t="s">
        <v>289</v>
      </c>
      <c r="AN7" s="205" t="s">
        <v>284</v>
      </c>
      <c r="AO7" s="205" t="s">
        <v>290</v>
      </c>
    </row>
    <row r="8" ht="12.75" customHeight="1">
      <c r="A8" s="204"/>
      <c r="B8" s="205" t="s">
        <v>291</v>
      </c>
      <c r="C8" s="205" t="s">
        <v>292</v>
      </c>
      <c r="D8" s="205" t="s">
        <v>293</v>
      </c>
      <c r="E8" s="205" t="s">
        <v>294</v>
      </c>
      <c r="F8" s="205" t="s">
        <v>295</v>
      </c>
      <c r="G8" s="205" t="s">
        <v>296</v>
      </c>
      <c r="H8" s="205" t="s">
        <v>297</v>
      </c>
      <c r="I8" s="205" t="s">
        <v>298</v>
      </c>
      <c r="J8" s="205" t="s">
        <v>299</v>
      </c>
      <c r="K8" s="205" t="s">
        <v>300</v>
      </c>
      <c r="L8" s="205" t="s">
        <v>301</v>
      </c>
      <c r="M8" s="205" t="s">
        <v>210</v>
      </c>
      <c r="N8" s="205" t="s">
        <v>302</v>
      </c>
      <c r="O8" s="205" t="s">
        <v>210</v>
      </c>
      <c r="P8" s="205" t="s">
        <v>243</v>
      </c>
      <c r="Q8" s="205" t="s">
        <v>303</v>
      </c>
      <c r="R8" s="205" t="s">
        <v>304</v>
      </c>
      <c r="S8" s="205" t="s">
        <v>305</v>
      </c>
      <c r="T8" s="205" t="s">
        <v>306</v>
      </c>
      <c r="U8" s="205" t="s">
        <v>307</v>
      </c>
      <c r="V8" s="205" t="s">
        <v>307</v>
      </c>
      <c r="W8" s="205" t="s">
        <v>305</v>
      </c>
      <c r="X8" s="205" t="s">
        <v>305</v>
      </c>
      <c r="Y8" s="205" t="s">
        <v>308</v>
      </c>
      <c r="Z8" s="205" t="s">
        <v>112</v>
      </c>
      <c r="AA8" s="205" t="s">
        <v>309</v>
      </c>
      <c r="AB8" s="205" t="s">
        <v>310</v>
      </c>
      <c r="AC8" s="205" t="s">
        <v>210</v>
      </c>
      <c r="AD8" s="205" t="s">
        <v>311</v>
      </c>
      <c r="AE8" s="205" t="s">
        <v>112</v>
      </c>
      <c r="AF8" s="205" t="s">
        <v>307</v>
      </c>
      <c r="AG8" s="205" t="s">
        <v>112</v>
      </c>
      <c r="AH8" s="205" t="s">
        <v>312</v>
      </c>
      <c r="AI8" s="205" t="s">
        <v>313</v>
      </c>
      <c r="AJ8" s="205" t="s">
        <v>312</v>
      </c>
      <c r="AK8" s="205" t="s">
        <v>310</v>
      </c>
      <c r="AL8" s="205" t="s">
        <v>314</v>
      </c>
      <c r="AM8" s="205" t="s">
        <v>315</v>
      </c>
      <c r="AN8" s="205" t="s">
        <v>310</v>
      </c>
      <c r="AO8" s="205" t="s">
        <v>316</v>
      </c>
    </row>
    <row r="9" ht="12.75" customHeight="1">
      <c r="A9" s="204"/>
      <c r="B9" s="205" t="s">
        <v>317</v>
      </c>
      <c r="C9" s="205" t="s">
        <v>318</v>
      </c>
      <c r="D9" s="205" t="s">
        <v>319</v>
      </c>
      <c r="E9" s="205" t="s">
        <v>320</v>
      </c>
      <c r="F9" s="205" t="s">
        <v>320</v>
      </c>
      <c r="G9" s="205" t="s">
        <v>321</v>
      </c>
      <c r="H9" s="205" t="s">
        <v>296</v>
      </c>
      <c r="I9" s="205" t="s">
        <v>322</v>
      </c>
      <c r="J9" s="205" t="s">
        <v>323</v>
      </c>
      <c r="K9" s="205" t="s">
        <v>320</v>
      </c>
      <c r="L9" s="205" t="s">
        <v>303</v>
      </c>
      <c r="M9" s="205" t="s">
        <v>248</v>
      </c>
      <c r="N9" s="205" t="s">
        <v>265</v>
      </c>
      <c r="O9" s="205" t="s">
        <v>324</v>
      </c>
      <c r="P9" s="205" t="s">
        <v>219</v>
      </c>
      <c r="Q9" s="205" t="s">
        <v>237</v>
      </c>
      <c r="R9" s="205" t="s">
        <v>317</v>
      </c>
      <c r="S9" s="205" t="s">
        <v>325</v>
      </c>
      <c r="T9" s="205" t="s">
        <v>326</v>
      </c>
      <c r="U9" s="205" t="s">
        <v>327</v>
      </c>
      <c r="V9" s="205" t="s">
        <v>327</v>
      </c>
      <c r="W9" s="205" t="s">
        <v>325</v>
      </c>
      <c r="X9" s="205" t="s">
        <v>325</v>
      </c>
      <c r="Y9" s="205" t="s">
        <v>328</v>
      </c>
      <c r="Z9" s="205" t="s">
        <v>329</v>
      </c>
      <c r="AA9" s="205" t="s">
        <v>330</v>
      </c>
      <c r="AB9" s="205" t="s">
        <v>309</v>
      </c>
      <c r="AC9" s="205" t="s">
        <v>324</v>
      </c>
      <c r="AD9" s="205" t="s">
        <v>105</v>
      </c>
      <c r="AE9" s="205" t="s">
        <v>329</v>
      </c>
      <c r="AF9" s="205" t="s">
        <v>327</v>
      </c>
      <c r="AG9" s="205" t="s">
        <v>329</v>
      </c>
      <c r="AH9" s="205" t="s">
        <v>331</v>
      </c>
      <c r="AI9" s="205" t="s">
        <v>332</v>
      </c>
      <c r="AJ9" s="205" t="s">
        <v>331</v>
      </c>
      <c r="AK9" s="205" t="s">
        <v>309</v>
      </c>
      <c r="AL9" s="205" t="s">
        <v>333</v>
      </c>
      <c r="AM9" s="205" t="s">
        <v>334</v>
      </c>
      <c r="AN9" s="205" t="s">
        <v>309</v>
      </c>
      <c r="AO9" s="205" t="s">
        <v>335</v>
      </c>
    </row>
    <row r="10" ht="12.75" customHeight="1">
      <c r="A10" s="204"/>
      <c r="B10" s="205" t="s">
        <v>336</v>
      </c>
      <c r="C10" s="205" t="s">
        <v>337</v>
      </c>
      <c r="D10" s="205" t="s">
        <v>237</v>
      </c>
      <c r="E10" s="205" t="s">
        <v>281</v>
      </c>
      <c r="F10" s="205" t="s">
        <v>220</v>
      </c>
      <c r="G10" s="205" t="s">
        <v>338</v>
      </c>
      <c r="H10" s="205" t="s">
        <v>270</v>
      </c>
      <c r="I10" s="205" t="s">
        <v>339</v>
      </c>
      <c r="J10" s="205" t="s">
        <v>340</v>
      </c>
      <c r="K10" s="205" t="s">
        <v>341</v>
      </c>
      <c r="L10" s="205"/>
      <c r="M10" s="205" t="s">
        <v>342</v>
      </c>
      <c r="N10" s="205" t="s">
        <v>343</v>
      </c>
      <c r="O10" s="205" t="s">
        <v>344</v>
      </c>
      <c r="P10" s="205" t="s">
        <v>345</v>
      </c>
      <c r="Q10" s="205" t="s">
        <v>346</v>
      </c>
      <c r="R10" s="205" t="s">
        <v>336</v>
      </c>
      <c r="S10" s="205" t="s">
        <v>347</v>
      </c>
      <c r="T10" s="205" t="s">
        <v>348</v>
      </c>
      <c r="U10" s="205" t="s">
        <v>279</v>
      </c>
      <c r="V10" s="205" t="s">
        <v>279</v>
      </c>
      <c r="W10" s="205" t="s">
        <v>347</v>
      </c>
      <c r="X10" s="205" t="s">
        <v>347</v>
      </c>
      <c r="Y10" s="205" t="s">
        <v>349</v>
      </c>
      <c r="Z10" s="205" t="s">
        <v>350</v>
      </c>
      <c r="AA10" s="205" t="s">
        <v>351</v>
      </c>
      <c r="AB10" s="205" t="s">
        <v>330</v>
      </c>
      <c r="AC10" s="205" t="s">
        <v>344</v>
      </c>
      <c r="AD10" s="205" t="s">
        <v>253</v>
      </c>
      <c r="AE10" s="205" t="s">
        <v>350</v>
      </c>
      <c r="AF10" s="205" t="s">
        <v>279</v>
      </c>
      <c r="AG10" s="205" t="s">
        <v>350</v>
      </c>
      <c r="AH10" s="205" t="s">
        <v>352</v>
      </c>
      <c r="AI10" s="205" t="s">
        <v>353</v>
      </c>
      <c r="AJ10" s="205" t="s">
        <v>352</v>
      </c>
      <c r="AK10" s="205" t="s">
        <v>330</v>
      </c>
      <c r="AL10" s="205" t="s">
        <v>354</v>
      </c>
      <c r="AM10" s="205" t="s">
        <v>355</v>
      </c>
      <c r="AN10" s="205" t="s">
        <v>330</v>
      </c>
      <c r="AO10" s="205" t="s">
        <v>356</v>
      </c>
    </row>
    <row r="11" ht="12.75" customHeight="1">
      <c r="A11" s="204"/>
      <c r="B11" s="205" t="s">
        <v>357</v>
      </c>
      <c r="C11" s="205" t="s">
        <v>358</v>
      </c>
      <c r="D11" s="205" t="s">
        <v>333</v>
      </c>
      <c r="E11" s="205" t="s">
        <v>270</v>
      </c>
      <c r="F11" s="205" t="s">
        <v>248</v>
      </c>
      <c r="G11" s="205" t="s">
        <v>359</v>
      </c>
      <c r="H11" s="205" t="s">
        <v>360</v>
      </c>
      <c r="I11" s="205" t="s">
        <v>361</v>
      </c>
      <c r="J11" s="205" t="s">
        <v>362</v>
      </c>
      <c r="K11" s="205" t="s">
        <v>363</v>
      </c>
      <c r="L11" s="205"/>
      <c r="M11" s="205" t="s">
        <v>265</v>
      </c>
      <c r="N11" s="205" t="s">
        <v>364</v>
      </c>
      <c r="O11" s="205" t="s">
        <v>365</v>
      </c>
      <c r="P11" s="205" t="s">
        <v>366</v>
      </c>
      <c r="Q11" s="205" t="s">
        <v>345</v>
      </c>
      <c r="R11" s="205" t="s">
        <v>367</v>
      </c>
      <c r="S11" s="205" t="s">
        <v>368</v>
      </c>
      <c r="T11" s="205" t="s">
        <v>369</v>
      </c>
      <c r="U11" s="205" t="s">
        <v>370</v>
      </c>
      <c r="V11" s="205" t="s">
        <v>370</v>
      </c>
      <c r="W11" s="205" t="s">
        <v>368</v>
      </c>
      <c r="X11" s="205" t="s">
        <v>368</v>
      </c>
      <c r="Y11" s="205" t="s">
        <v>371</v>
      </c>
      <c r="Z11" s="205" t="s">
        <v>372</v>
      </c>
      <c r="AA11" s="205" t="s">
        <v>373</v>
      </c>
      <c r="AB11" s="205" t="s">
        <v>374</v>
      </c>
      <c r="AC11" s="205" t="s">
        <v>365</v>
      </c>
      <c r="AD11" s="205" t="s">
        <v>280</v>
      </c>
      <c r="AE11" s="205" t="s">
        <v>372</v>
      </c>
      <c r="AF11" s="205" t="s">
        <v>370</v>
      </c>
      <c r="AG11" s="205" t="s">
        <v>372</v>
      </c>
      <c r="AH11" s="205" t="s">
        <v>375</v>
      </c>
      <c r="AI11" s="205" t="s">
        <v>376</v>
      </c>
      <c r="AJ11" s="205" t="s">
        <v>375</v>
      </c>
      <c r="AK11" s="205" t="s">
        <v>374</v>
      </c>
      <c r="AL11" s="205" t="s">
        <v>377</v>
      </c>
      <c r="AM11" s="205" t="s">
        <v>378</v>
      </c>
      <c r="AN11" s="205" t="s">
        <v>374</v>
      </c>
      <c r="AO11" s="205" t="s">
        <v>379</v>
      </c>
    </row>
    <row r="12" ht="12.75" customHeight="1">
      <c r="A12" s="204"/>
      <c r="B12" s="205" t="s">
        <v>380</v>
      </c>
      <c r="C12" s="205" t="s">
        <v>381</v>
      </c>
      <c r="D12" s="205" t="s">
        <v>381</v>
      </c>
      <c r="E12" s="205" t="s">
        <v>382</v>
      </c>
      <c r="F12" s="205" t="s">
        <v>264</v>
      </c>
      <c r="G12" s="205" t="s">
        <v>383</v>
      </c>
      <c r="H12" s="205"/>
      <c r="I12" s="205" t="s">
        <v>382</v>
      </c>
      <c r="J12" s="205" t="s">
        <v>384</v>
      </c>
      <c r="K12" s="205"/>
      <c r="L12" s="205"/>
      <c r="M12" s="205" t="s">
        <v>385</v>
      </c>
      <c r="N12" s="205" t="s">
        <v>386</v>
      </c>
      <c r="O12" s="205" t="s">
        <v>387</v>
      </c>
      <c r="P12" s="205" t="s">
        <v>388</v>
      </c>
      <c r="Q12" s="205" t="s">
        <v>277</v>
      </c>
      <c r="R12" s="205" t="s">
        <v>389</v>
      </c>
      <c r="S12" s="205" t="s">
        <v>390</v>
      </c>
      <c r="T12" s="205" t="s">
        <v>391</v>
      </c>
      <c r="U12" s="205" t="s">
        <v>392</v>
      </c>
      <c r="V12" s="205" t="s">
        <v>392</v>
      </c>
      <c r="W12" s="205" t="s">
        <v>390</v>
      </c>
      <c r="X12" s="205" t="s">
        <v>390</v>
      </c>
      <c r="Y12" s="205" t="s">
        <v>230</v>
      </c>
      <c r="Z12" s="205" t="s">
        <v>393</v>
      </c>
      <c r="AA12" s="205" t="s">
        <v>394</v>
      </c>
      <c r="AB12" s="205" t="s">
        <v>395</v>
      </c>
      <c r="AC12" s="205" t="s">
        <v>387</v>
      </c>
      <c r="AD12" s="205" t="s">
        <v>307</v>
      </c>
      <c r="AE12" s="205" t="s">
        <v>393</v>
      </c>
      <c r="AF12" s="205" t="s">
        <v>392</v>
      </c>
      <c r="AG12" s="205" t="s">
        <v>393</v>
      </c>
      <c r="AH12" s="205" t="s">
        <v>396</v>
      </c>
      <c r="AI12" s="205"/>
      <c r="AJ12" s="205" t="s">
        <v>396</v>
      </c>
      <c r="AK12" s="205" t="s">
        <v>395</v>
      </c>
      <c r="AL12" s="205" t="s">
        <v>397</v>
      </c>
      <c r="AM12" s="205" t="s">
        <v>398</v>
      </c>
      <c r="AN12" s="205" t="s">
        <v>395</v>
      </c>
      <c r="AO12" s="205" t="s">
        <v>399</v>
      </c>
    </row>
    <row r="13" ht="12.75" customHeight="1">
      <c r="A13" s="204"/>
      <c r="B13" s="205" t="s">
        <v>400</v>
      </c>
      <c r="C13" s="205" t="s">
        <v>401</v>
      </c>
      <c r="D13" s="205" t="s">
        <v>382</v>
      </c>
      <c r="E13" s="205"/>
      <c r="F13" s="205" t="s">
        <v>402</v>
      </c>
      <c r="G13" s="205" t="s">
        <v>403</v>
      </c>
      <c r="H13" s="205"/>
      <c r="I13" s="205" t="s">
        <v>404</v>
      </c>
      <c r="J13" s="205" t="s">
        <v>403</v>
      </c>
      <c r="K13" s="205"/>
      <c r="L13" s="205"/>
      <c r="M13" s="205" t="s">
        <v>237</v>
      </c>
      <c r="N13" s="205" t="s">
        <v>405</v>
      </c>
      <c r="O13" s="205" t="s">
        <v>406</v>
      </c>
      <c r="P13" s="205" t="s">
        <v>407</v>
      </c>
      <c r="Q13" s="205" t="s">
        <v>408</v>
      </c>
      <c r="R13" s="205" t="s">
        <v>409</v>
      </c>
      <c r="S13" s="205" t="s">
        <v>410</v>
      </c>
      <c r="T13" s="205" t="s">
        <v>411</v>
      </c>
      <c r="U13" s="205" t="s">
        <v>412</v>
      </c>
      <c r="V13" s="205" t="s">
        <v>412</v>
      </c>
      <c r="W13" s="205" t="s">
        <v>410</v>
      </c>
      <c r="X13" s="205" t="s">
        <v>410</v>
      </c>
      <c r="Y13" s="205" t="s">
        <v>413</v>
      </c>
      <c r="Z13" s="205" t="s">
        <v>414</v>
      </c>
      <c r="AA13" s="205"/>
      <c r="AB13" s="205" t="s">
        <v>415</v>
      </c>
      <c r="AC13" s="205" t="s">
        <v>406</v>
      </c>
      <c r="AD13" s="205" t="s">
        <v>232</v>
      </c>
      <c r="AE13" s="205" t="s">
        <v>414</v>
      </c>
      <c r="AF13" s="205" t="s">
        <v>412</v>
      </c>
      <c r="AG13" s="205" t="s">
        <v>414</v>
      </c>
      <c r="AH13" s="205" t="s">
        <v>416</v>
      </c>
      <c r="AI13" s="205"/>
      <c r="AJ13" s="205" t="s">
        <v>416</v>
      </c>
      <c r="AK13" s="205" t="s">
        <v>415</v>
      </c>
      <c r="AL13" s="205" t="s">
        <v>208</v>
      </c>
      <c r="AM13" s="205" t="s">
        <v>417</v>
      </c>
      <c r="AN13" s="205" t="s">
        <v>415</v>
      </c>
      <c r="AO13" s="205" t="s">
        <v>418</v>
      </c>
    </row>
    <row r="14" ht="12.75" customHeight="1">
      <c r="A14" s="204"/>
      <c r="B14" s="205"/>
      <c r="C14" s="205" t="s">
        <v>320</v>
      </c>
      <c r="D14" s="205" t="s">
        <v>362</v>
      </c>
      <c r="E14" s="205"/>
      <c r="F14" s="205" t="s">
        <v>419</v>
      </c>
      <c r="G14" s="205" t="s">
        <v>270</v>
      </c>
      <c r="H14" s="205"/>
      <c r="I14" s="205" t="s">
        <v>420</v>
      </c>
      <c r="J14" s="205" t="s">
        <v>270</v>
      </c>
      <c r="K14" s="205"/>
      <c r="L14" s="205"/>
      <c r="M14" s="205" t="s">
        <v>421</v>
      </c>
      <c r="N14" s="205"/>
      <c r="O14" s="205" t="s">
        <v>422</v>
      </c>
      <c r="P14" s="205" t="s">
        <v>408</v>
      </c>
      <c r="Q14" s="205"/>
      <c r="R14" s="205" t="s">
        <v>423</v>
      </c>
      <c r="S14" s="205"/>
      <c r="T14" s="205"/>
      <c r="U14" s="205" t="s">
        <v>424</v>
      </c>
      <c r="V14" s="205" t="s">
        <v>424</v>
      </c>
      <c r="W14" s="205"/>
      <c r="X14" s="205"/>
      <c r="Y14" s="205"/>
      <c r="Z14" s="205" t="s">
        <v>425</v>
      </c>
      <c r="AA14" s="205"/>
      <c r="AB14" s="205" t="s">
        <v>426</v>
      </c>
      <c r="AC14" s="205" t="s">
        <v>422</v>
      </c>
      <c r="AD14" s="205" t="s">
        <v>427</v>
      </c>
      <c r="AE14" s="205" t="s">
        <v>425</v>
      </c>
      <c r="AF14" s="205" t="s">
        <v>424</v>
      </c>
      <c r="AG14" s="205" t="s">
        <v>425</v>
      </c>
      <c r="AH14" s="205" t="s">
        <v>428</v>
      </c>
      <c r="AI14" s="205"/>
      <c r="AJ14" s="205" t="s">
        <v>428</v>
      </c>
      <c r="AK14" s="205" t="s">
        <v>426</v>
      </c>
      <c r="AL14" s="205" t="s">
        <v>429</v>
      </c>
      <c r="AM14" s="205" t="s">
        <v>430</v>
      </c>
      <c r="AN14" s="205" t="s">
        <v>426</v>
      </c>
      <c r="AO14" s="205" t="s">
        <v>431</v>
      </c>
    </row>
    <row r="15" ht="12.75" customHeight="1">
      <c r="A15" s="204"/>
      <c r="B15" s="205"/>
      <c r="C15" s="205" t="s">
        <v>432</v>
      </c>
      <c r="D15" s="205"/>
      <c r="E15" s="205"/>
      <c r="F15" s="205" t="s">
        <v>433</v>
      </c>
      <c r="G15" s="205" t="s">
        <v>434</v>
      </c>
      <c r="H15" s="205"/>
      <c r="I15" s="205" t="s">
        <v>435</v>
      </c>
      <c r="J15" s="205" t="s">
        <v>436</v>
      </c>
      <c r="K15" s="205"/>
      <c r="L15" s="205"/>
      <c r="M15" s="205" t="s">
        <v>437</v>
      </c>
      <c r="N15" s="205"/>
      <c r="O15" s="205" t="s">
        <v>438</v>
      </c>
      <c r="P15" s="205" t="s">
        <v>439</v>
      </c>
      <c r="Q15" s="205"/>
      <c r="R15" s="205" t="s">
        <v>219</v>
      </c>
      <c r="S15" s="205"/>
      <c r="T15" s="205"/>
      <c r="U15" s="205" t="s">
        <v>440</v>
      </c>
      <c r="V15" s="205" t="s">
        <v>440</v>
      </c>
      <c r="W15" s="205"/>
      <c r="X15" s="205"/>
      <c r="Y15" s="205"/>
      <c r="Z15" s="205"/>
      <c r="AA15" s="205"/>
      <c r="AB15" s="205" t="s">
        <v>441</v>
      </c>
      <c r="AC15" s="205" t="s">
        <v>438</v>
      </c>
      <c r="AD15" s="205"/>
      <c r="AE15" s="205"/>
      <c r="AF15" s="205" t="s">
        <v>440</v>
      </c>
      <c r="AG15" s="205"/>
      <c r="AH15" s="205" t="s">
        <v>442</v>
      </c>
      <c r="AI15" s="205"/>
      <c r="AJ15" s="205" t="s">
        <v>442</v>
      </c>
      <c r="AK15" s="205" t="s">
        <v>441</v>
      </c>
      <c r="AL15" s="205"/>
      <c r="AM15" s="205"/>
      <c r="AN15" s="205" t="s">
        <v>441</v>
      </c>
      <c r="AO15" s="205" t="s">
        <v>443</v>
      </c>
    </row>
    <row r="16" ht="12.75" customHeight="1">
      <c r="A16" s="204"/>
      <c r="B16" s="205"/>
      <c r="C16" s="205" t="s">
        <v>444</v>
      </c>
      <c r="D16" s="205"/>
      <c r="E16" s="205"/>
      <c r="F16" s="205"/>
      <c r="G16" s="205"/>
      <c r="H16" s="205"/>
      <c r="I16" s="205"/>
      <c r="J16" s="205" t="s">
        <v>445</v>
      </c>
      <c r="K16" s="205"/>
      <c r="L16" s="205"/>
      <c r="M16" s="205"/>
      <c r="N16" s="205"/>
      <c r="O16" s="205" t="s">
        <v>446</v>
      </c>
      <c r="P16" s="205"/>
      <c r="Q16" s="205"/>
      <c r="R16" s="205"/>
      <c r="S16" s="205"/>
      <c r="T16" s="205"/>
      <c r="U16" s="205" t="s">
        <v>447</v>
      </c>
      <c r="V16" s="205" t="s">
        <v>447</v>
      </c>
      <c r="W16" s="205"/>
      <c r="X16" s="205"/>
      <c r="Y16" s="205"/>
      <c r="Z16" s="205"/>
      <c r="AA16" s="205"/>
      <c r="AB16" s="205" t="s">
        <v>448</v>
      </c>
      <c r="AC16" s="205" t="s">
        <v>446</v>
      </c>
      <c r="AD16" s="205"/>
      <c r="AE16" s="205"/>
      <c r="AF16" s="205" t="s">
        <v>447</v>
      </c>
      <c r="AG16" s="205"/>
      <c r="AH16" s="205" t="s">
        <v>449</v>
      </c>
      <c r="AI16" s="205"/>
      <c r="AJ16" s="205" t="s">
        <v>449</v>
      </c>
      <c r="AK16" s="205" t="s">
        <v>448</v>
      </c>
      <c r="AL16" s="205"/>
      <c r="AM16" s="205"/>
      <c r="AN16" s="205" t="s">
        <v>448</v>
      </c>
      <c r="AO16" s="205"/>
    </row>
    <row r="18" ht="258.0" customHeight="1">
      <c r="B18" s="206" t="s">
        <v>450</v>
      </c>
      <c r="C18" s="206" t="s">
        <v>451</v>
      </c>
      <c r="D18" s="206" t="s">
        <v>452</v>
      </c>
      <c r="E18" s="206" t="s">
        <v>453</v>
      </c>
      <c r="F18" s="206" t="s">
        <v>454</v>
      </c>
      <c r="G18" s="206" t="s">
        <v>455</v>
      </c>
      <c r="H18" s="206" t="s">
        <v>456</v>
      </c>
      <c r="I18" s="206" t="s">
        <v>457</v>
      </c>
      <c r="J18" s="206" t="s">
        <v>458</v>
      </c>
      <c r="K18" s="206" t="s">
        <v>459</v>
      </c>
      <c r="L18" s="206" t="s">
        <v>460</v>
      </c>
      <c r="M18" s="206" t="s">
        <v>461</v>
      </c>
      <c r="N18" s="206" t="s">
        <v>462</v>
      </c>
      <c r="O18" s="206" t="s">
        <v>463</v>
      </c>
      <c r="P18" s="206" t="s">
        <v>464</v>
      </c>
      <c r="Q18" s="206" t="s">
        <v>465</v>
      </c>
      <c r="R18" s="206" t="s">
        <v>466</v>
      </c>
      <c r="S18" s="207" t="s">
        <v>467</v>
      </c>
      <c r="T18" s="206" t="s">
        <v>468</v>
      </c>
      <c r="U18" s="206" t="s">
        <v>469</v>
      </c>
      <c r="V18" s="206" t="s">
        <v>469</v>
      </c>
      <c r="W18" s="206" t="s">
        <v>470</v>
      </c>
      <c r="X18" s="206" t="s">
        <v>471</v>
      </c>
      <c r="Y18" s="206" t="s">
        <v>472</v>
      </c>
      <c r="Z18" s="206" t="s">
        <v>473</v>
      </c>
      <c r="AA18" s="206" t="s">
        <v>474</v>
      </c>
      <c r="AB18" s="206" t="s">
        <v>475</v>
      </c>
      <c r="AC18" s="206" t="s">
        <v>476</v>
      </c>
      <c r="AD18" s="206" t="s">
        <v>477</v>
      </c>
      <c r="AE18" s="206" t="s">
        <v>478</v>
      </c>
      <c r="AF18" s="206" t="s">
        <v>479</v>
      </c>
      <c r="AG18" s="206" t="s">
        <v>480</v>
      </c>
      <c r="AH18" s="206" t="s">
        <v>481</v>
      </c>
      <c r="AI18" s="206" t="s">
        <v>482</v>
      </c>
      <c r="AJ18" s="206" t="s">
        <v>483</v>
      </c>
      <c r="AK18" s="206" t="s">
        <v>484</v>
      </c>
      <c r="AL18" s="206" t="s">
        <v>485</v>
      </c>
      <c r="AM18" s="206" t="s">
        <v>486</v>
      </c>
      <c r="AN18" s="206" t="s">
        <v>487</v>
      </c>
      <c r="AO18" s="206" t="s">
        <v>488</v>
      </c>
    </row>
    <row r="20">
      <c r="B20" s="185">
        <v>1.0</v>
      </c>
      <c r="C20" s="185">
        <v>2.0</v>
      </c>
      <c r="D20" s="185">
        <v>3.0</v>
      </c>
      <c r="E20" s="185">
        <v>4.0</v>
      </c>
      <c r="F20" s="185">
        <v>5.0</v>
      </c>
      <c r="G20" s="185">
        <v>6.0</v>
      </c>
      <c r="H20" s="185">
        <v>7.0</v>
      </c>
      <c r="I20" s="185">
        <v>8.0</v>
      </c>
      <c r="J20" s="185">
        <v>9.0</v>
      </c>
      <c r="K20" s="185">
        <v>10.0</v>
      </c>
      <c r="L20" s="185">
        <v>11.0</v>
      </c>
      <c r="M20" s="185">
        <v>12.0</v>
      </c>
      <c r="N20" s="185">
        <v>13.0</v>
      </c>
      <c r="O20" s="185">
        <v>14.0</v>
      </c>
      <c r="P20" s="185">
        <v>15.0</v>
      </c>
      <c r="Q20" s="185">
        <v>16.0</v>
      </c>
      <c r="R20" s="185">
        <v>17.0</v>
      </c>
      <c r="S20" s="185">
        <v>18.0</v>
      </c>
      <c r="T20" s="185">
        <v>19.0</v>
      </c>
      <c r="U20" s="185">
        <v>20.0</v>
      </c>
      <c r="V20" s="185">
        <v>21.0</v>
      </c>
      <c r="W20" s="185">
        <v>22.0</v>
      </c>
      <c r="X20" s="185">
        <v>23.0</v>
      </c>
      <c r="Y20" s="185">
        <v>24.0</v>
      </c>
      <c r="Z20" s="185">
        <v>25.0</v>
      </c>
      <c r="AA20" s="185">
        <v>26.0</v>
      </c>
      <c r="AB20" s="185">
        <v>27.0</v>
      </c>
      <c r="AC20" s="185">
        <v>28.0</v>
      </c>
      <c r="AD20" s="185">
        <v>29.0</v>
      </c>
      <c r="AE20" s="185">
        <v>30.0</v>
      </c>
      <c r="AF20" s="185">
        <v>31.0</v>
      </c>
      <c r="AG20" s="185">
        <v>32.0</v>
      </c>
      <c r="AH20" s="185">
        <v>33.0</v>
      </c>
      <c r="AI20" s="185">
        <v>34.0</v>
      </c>
      <c r="AJ20" s="185">
        <v>35.0</v>
      </c>
      <c r="AK20" s="185">
        <v>36.0</v>
      </c>
      <c r="AL20" s="185">
        <v>37.0</v>
      </c>
      <c r="AM20" s="185">
        <v>38.0</v>
      </c>
      <c r="AN20" s="185">
        <v>39.0</v>
      </c>
      <c r="AO20" s="185">
        <v>40.0</v>
      </c>
    </row>
    <row r="21" ht="15.75" customHeight="1">
      <c r="B21" s="201" t="s">
        <v>11</v>
      </c>
      <c r="C21" s="201" t="s">
        <v>8</v>
      </c>
      <c r="D21" s="201" t="s">
        <v>173</v>
      </c>
      <c r="E21" s="201" t="s">
        <v>174</v>
      </c>
      <c r="F21" s="201" t="s">
        <v>175</v>
      </c>
      <c r="G21" s="201" t="s">
        <v>176</v>
      </c>
      <c r="H21" s="201" t="s">
        <v>177</v>
      </c>
      <c r="I21" s="201" t="s">
        <v>178</v>
      </c>
      <c r="J21" s="201" t="s">
        <v>132</v>
      </c>
      <c r="K21" s="201" t="s">
        <v>133</v>
      </c>
      <c r="L21" s="201" t="s">
        <v>134</v>
      </c>
      <c r="M21" s="201" t="s">
        <v>179</v>
      </c>
      <c r="N21" s="201" t="s">
        <v>180</v>
      </c>
      <c r="O21" s="201" t="s">
        <v>137</v>
      </c>
      <c r="P21" s="201" t="s">
        <v>10</v>
      </c>
      <c r="Q21" s="201" t="s">
        <v>181</v>
      </c>
      <c r="R21" s="201" t="s">
        <v>139</v>
      </c>
      <c r="S21" s="201" t="s">
        <v>140</v>
      </c>
      <c r="T21" s="201" t="s">
        <v>141</v>
      </c>
      <c r="U21" s="201" t="s">
        <v>142</v>
      </c>
      <c r="V21" s="201" t="s">
        <v>143</v>
      </c>
      <c r="W21" s="201" t="s">
        <v>144</v>
      </c>
      <c r="X21" s="201" t="s">
        <v>145</v>
      </c>
      <c r="Y21" s="201" t="s">
        <v>9</v>
      </c>
      <c r="Z21" s="201" t="s">
        <v>146</v>
      </c>
      <c r="AA21" s="201" t="s">
        <v>147</v>
      </c>
      <c r="AB21" s="201" t="s">
        <v>148</v>
      </c>
      <c r="AC21" s="201" t="s">
        <v>149</v>
      </c>
      <c r="AD21" s="201" t="s">
        <v>150</v>
      </c>
      <c r="AE21" s="201" t="s">
        <v>151</v>
      </c>
      <c r="AF21" s="201" t="s">
        <v>152</v>
      </c>
      <c r="AG21" s="201" t="s">
        <v>153</v>
      </c>
      <c r="AH21" s="201" t="s">
        <v>154</v>
      </c>
      <c r="AI21" s="201" t="s">
        <v>155</v>
      </c>
      <c r="AJ21" s="201" t="s">
        <v>156</v>
      </c>
      <c r="AK21" s="201" t="s">
        <v>157</v>
      </c>
      <c r="AL21" s="201" t="s">
        <v>158</v>
      </c>
      <c r="AM21" s="201" t="s">
        <v>159</v>
      </c>
      <c r="AN21" s="201" t="s">
        <v>160</v>
      </c>
      <c r="AO21" s="201" t="s">
        <v>161</v>
      </c>
    </row>
    <row r="22" ht="409.5" customHeight="1">
      <c r="B22" s="206" t="s">
        <v>489</v>
      </c>
      <c r="C22" s="206" t="s">
        <v>490</v>
      </c>
      <c r="D22" s="206" t="s">
        <v>491</v>
      </c>
      <c r="E22" s="206" t="s">
        <v>492</v>
      </c>
      <c r="F22" s="206" t="s">
        <v>493</v>
      </c>
      <c r="G22" s="206" t="s">
        <v>494</v>
      </c>
      <c r="H22" s="206" t="s">
        <v>495</v>
      </c>
      <c r="I22" s="206" t="s">
        <v>496</v>
      </c>
      <c r="J22" s="206" t="s">
        <v>497</v>
      </c>
      <c r="K22" s="206" t="s">
        <v>498</v>
      </c>
      <c r="L22" s="206" t="s">
        <v>499</v>
      </c>
      <c r="M22" s="206" t="s">
        <v>500</v>
      </c>
      <c r="N22" s="206" t="s">
        <v>501</v>
      </c>
      <c r="O22" s="206" t="s">
        <v>502</v>
      </c>
      <c r="P22" s="206" t="s">
        <v>503</v>
      </c>
      <c r="Q22" s="206" t="s">
        <v>504</v>
      </c>
      <c r="R22" s="206" t="s">
        <v>505</v>
      </c>
      <c r="S22" s="206" t="s">
        <v>506</v>
      </c>
      <c r="T22" s="206" t="s">
        <v>507</v>
      </c>
      <c r="U22" s="206" t="s">
        <v>499</v>
      </c>
      <c r="V22" s="206" t="s">
        <v>499</v>
      </c>
      <c r="W22" s="206" t="s">
        <v>506</v>
      </c>
      <c r="X22" s="206" t="s">
        <v>506</v>
      </c>
      <c r="Y22" s="206" t="s">
        <v>508</v>
      </c>
      <c r="Z22" s="206" t="s">
        <v>509</v>
      </c>
      <c r="AA22" s="206" t="s">
        <v>510</v>
      </c>
      <c r="AB22" s="206" t="s">
        <v>511</v>
      </c>
      <c r="AC22" s="206" t="s">
        <v>502</v>
      </c>
      <c r="AD22" s="206" t="s">
        <v>512</v>
      </c>
      <c r="AE22" s="206" t="s">
        <v>513</v>
      </c>
      <c r="AF22" s="206" t="s">
        <v>499</v>
      </c>
      <c r="AG22" s="206" t="s">
        <v>513</v>
      </c>
      <c r="AH22" s="206" t="s">
        <v>514</v>
      </c>
      <c r="AI22" s="206" t="s">
        <v>515</v>
      </c>
      <c r="AJ22" s="206" t="s">
        <v>514</v>
      </c>
      <c r="AK22" s="206" t="s">
        <v>511</v>
      </c>
      <c r="AL22" s="206" t="s">
        <v>516</v>
      </c>
      <c r="AM22" s="206" t="s">
        <v>517</v>
      </c>
      <c r="AN22" s="206" t="s">
        <v>511</v>
      </c>
      <c r="AO22" s="206" t="s">
        <v>518</v>
      </c>
    </row>
    <row r="23" ht="15.75" customHeight="1">
      <c r="AO23" s="138" t="s">
        <v>519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S18"/>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2016-05-11T11:35:54Z</dcterms:created>
  <dc:creator>Windows®™</dc:creator>
</cp:coreProperties>
</file>